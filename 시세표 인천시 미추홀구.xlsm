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0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관교동" sheetId="265" r:id="rId6"/>
    <sheet name="도화동" sheetId="266" r:id="rId7"/>
    <sheet name="숭의동" sheetId="267" r:id="rId8"/>
    <sheet name="용현동" sheetId="268" r:id="rId9"/>
    <sheet name="주안동" sheetId="269" r:id="rId10"/>
    <sheet name="학익동" sheetId="270" r:id="rId11"/>
    <sheet name="양식" sheetId="34" r:id="rId12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관교동!$A$1:$U$6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도화동!$A$1:$U$6</definedName>
    <definedName name="_xlnm.Print_Area" localSheetId="7">숭의동!$A$1:$U$6</definedName>
    <definedName name="_xlnm.Print_Area" localSheetId="11">양식!$A$1:$U$6</definedName>
    <definedName name="_xlnm.Print_Area" localSheetId="8">용현동!$A$1:$U$6</definedName>
    <definedName name="_xlnm.Print_Area" localSheetId="9">주안동!$A$1:$U$6</definedName>
    <definedName name="_xlnm.Print_Area" localSheetId="10">학익동!$A$1:$U$6</definedName>
    <definedName name="_xlnm.Print_Titles" localSheetId="5">관교동!$1:$3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도화동!$1:$3</definedName>
    <definedName name="_xlnm.Print_Titles" localSheetId="7">숭의동!$1:$3</definedName>
    <definedName name="_xlnm.Print_Titles" localSheetId="11">양식!$1:$3</definedName>
    <definedName name="_xlnm.Print_Titles" localSheetId="8">용현동!$1:$3</definedName>
    <definedName name="_xlnm.Print_Titles" localSheetId="9">주안동!$1:$3</definedName>
    <definedName name="_xlnm.Print_Titles" localSheetId="10">학익동!$1:$3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109" i="270" l="1"/>
  <c r="AO109" i="270"/>
  <c r="AV109" i="270" s="1"/>
  <c r="AI109" i="270"/>
  <c r="AH109" i="270"/>
  <c r="AF109" i="270"/>
  <c r="AE109" i="270"/>
  <c r="AD109" i="270"/>
  <c r="AC109" i="270"/>
  <c r="AB109" i="270"/>
  <c r="AA109" i="270"/>
  <c r="Z109" i="270"/>
  <c r="Y109" i="270"/>
  <c r="X109" i="270"/>
  <c r="W109" i="270"/>
  <c r="P109" i="270"/>
  <c r="O109" i="270"/>
  <c r="N109" i="270"/>
  <c r="M109" i="270"/>
  <c r="AT108" i="270"/>
  <c r="AP108" i="270"/>
  <c r="AI108" i="270"/>
  <c r="AH108" i="270"/>
  <c r="AF108" i="270"/>
  <c r="AE108" i="270"/>
  <c r="AD108" i="270"/>
  <c r="AC108" i="270"/>
  <c r="AA108" i="270"/>
  <c r="Z108" i="270"/>
  <c r="Y108" i="270"/>
  <c r="X108" i="270"/>
  <c r="W108" i="270"/>
  <c r="P108" i="270"/>
  <c r="O108" i="270"/>
  <c r="N108" i="270"/>
  <c r="AO108" i="270" s="1"/>
  <c r="AV108" i="270" s="1"/>
  <c r="M108" i="270"/>
  <c r="AP107" i="270"/>
  <c r="AI107" i="270"/>
  <c r="AT107" i="270" s="1"/>
  <c r="AH107" i="270"/>
  <c r="AF107" i="270"/>
  <c r="AE107" i="270"/>
  <c r="AD107" i="270"/>
  <c r="AA107" i="270"/>
  <c r="Z107" i="270"/>
  <c r="Y107" i="270"/>
  <c r="X107" i="270"/>
  <c r="W107" i="270"/>
  <c r="P107" i="270"/>
  <c r="O107" i="270"/>
  <c r="AQ107" i="270" s="1"/>
  <c r="N107" i="270"/>
  <c r="AO107" i="270" s="1"/>
  <c r="AV107" i="270" s="1"/>
  <c r="M107" i="270"/>
  <c r="AP106" i="270"/>
  <c r="AO106" i="270"/>
  <c r="AV106" i="270" s="1"/>
  <c r="AI106" i="270"/>
  <c r="AH106" i="270"/>
  <c r="AF106" i="270"/>
  <c r="AE106" i="270"/>
  <c r="AA106" i="270"/>
  <c r="Z106" i="270"/>
  <c r="Y106" i="270"/>
  <c r="X106" i="270"/>
  <c r="W106" i="270"/>
  <c r="P106" i="270"/>
  <c r="O106" i="270"/>
  <c r="N106" i="270"/>
  <c r="AC106" i="270" s="1"/>
  <c r="M106" i="270"/>
  <c r="AP105" i="270"/>
  <c r="AI105" i="270"/>
  <c r="AT105" i="270" s="1"/>
  <c r="AH105" i="270"/>
  <c r="AF105" i="270"/>
  <c r="AE105" i="270"/>
  <c r="AB105" i="270"/>
  <c r="AA105" i="270"/>
  <c r="Z105" i="270"/>
  <c r="Y105" i="270"/>
  <c r="X105" i="270"/>
  <c r="W105" i="270"/>
  <c r="P105" i="270"/>
  <c r="O105" i="270"/>
  <c r="N105" i="270"/>
  <c r="M105" i="270"/>
  <c r="AT104" i="270"/>
  <c r="AP104" i="270"/>
  <c r="AO104" i="270"/>
  <c r="AV104" i="270" s="1"/>
  <c r="AI104" i="270"/>
  <c r="AH104" i="270"/>
  <c r="AF104" i="270"/>
  <c r="AE104" i="270"/>
  <c r="AC104" i="270"/>
  <c r="AB104" i="270"/>
  <c r="AA104" i="270"/>
  <c r="Z104" i="270"/>
  <c r="Y104" i="270"/>
  <c r="X104" i="270"/>
  <c r="W104" i="270"/>
  <c r="P104" i="270"/>
  <c r="O104" i="270"/>
  <c r="N104" i="270"/>
  <c r="M104" i="270"/>
  <c r="AP103" i="270"/>
  <c r="AO103" i="270"/>
  <c r="AV103" i="270" s="1"/>
  <c r="AI103" i="270"/>
  <c r="AH103" i="270"/>
  <c r="AF103" i="270"/>
  <c r="AE103" i="270"/>
  <c r="AD103" i="270"/>
  <c r="AC103" i="270"/>
  <c r="AB103" i="270"/>
  <c r="AA103" i="270"/>
  <c r="Z103" i="270"/>
  <c r="Y103" i="270"/>
  <c r="X103" i="270"/>
  <c r="W103" i="270"/>
  <c r="P103" i="270"/>
  <c r="O103" i="270"/>
  <c r="N103" i="270"/>
  <c r="M103" i="270"/>
  <c r="AT102" i="270"/>
  <c r="AP102" i="270"/>
  <c r="AO102" i="270"/>
  <c r="AV102" i="270" s="1"/>
  <c r="AI102" i="270"/>
  <c r="AH102" i="270"/>
  <c r="AF102" i="270"/>
  <c r="AE102" i="270"/>
  <c r="AD102" i="270"/>
  <c r="AC102" i="270"/>
  <c r="AA102" i="270"/>
  <c r="Z102" i="270"/>
  <c r="Y102" i="270"/>
  <c r="X102" i="270"/>
  <c r="W102" i="270"/>
  <c r="P102" i="270"/>
  <c r="O102" i="270"/>
  <c r="N102" i="270"/>
  <c r="M102" i="270"/>
  <c r="AP101" i="270"/>
  <c r="AI101" i="270"/>
  <c r="AT101" i="270" s="1"/>
  <c r="AH101" i="270"/>
  <c r="AF101" i="270"/>
  <c r="AE101" i="270"/>
  <c r="AD101" i="270"/>
  <c r="AA101" i="270"/>
  <c r="Z101" i="270"/>
  <c r="Y101" i="270"/>
  <c r="X101" i="270"/>
  <c r="W101" i="270"/>
  <c r="P101" i="270"/>
  <c r="O101" i="270"/>
  <c r="N101" i="270"/>
  <c r="AO101" i="270" s="1"/>
  <c r="AV101" i="270" s="1"/>
  <c r="M101" i="270"/>
  <c r="AV100" i="270"/>
  <c r="AP100" i="270"/>
  <c r="AO100" i="270"/>
  <c r="AI100" i="270"/>
  <c r="AH100" i="270"/>
  <c r="AF100" i="270"/>
  <c r="AE100" i="270"/>
  <c r="AA100" i="270"/>
  <c r="Z100" i="270"/>
  <c r="Y100" i="270"/>
  <c r="X100" i="270"/>
  <c r="W100" i="270"/>
  <c r="P100" i="270"/>
  <c r="O100" i="270"/>
  <c r="N100" i="270"/>
  <c r="AC100" i="270" s="1"/>
  <c r="M100" i="270"/>
  <c r="AP99" i="270"/>
  <c r="AI99" i="270"/>
  <c r="AT99" i="270" s="1"/>
  <c r="AH99" i="270"/>
  <c r="AF99" i="270"/>
  <c r="AE99" i="270"/>
  <c r="AB99" i="270"/>
  <c r="AA99" i="270"/>
  <c r="Z99" i="270"/>
  <c r="Y99" i="270"/>
  <c r="X99" i="270"/>
  <c r="W99" i="270"/>
  <c r="P99" i="270"/>
  <c r="O99" i="270"/>
  <c r="N99" i="270"/>
  <c r="M99" i="270"/>
  <c r="AT98" i="270"/>
  <c r="AP98" i="270"/>
  <c r="AO98" i="270"/>
  <c r="AV98" i="270" s="1"/>
  <c r="AI98" i="270"/>
  <c r="AH98" i="270"/>
  <c r="AF98" i="270"/>
  <c r="AE98" i="270"/>
  <c r="AC98" i="270"/>
  <c r="AB98" i="270"/>
  <c r="AA98" i="270"/>
  <c r="Z98" i="270"/>
  <c r="Y98" i="270"/>
  <c r="X98" i="270"/>
  <c r="W98" i="270"/>
  <c r="P98" i="270"/>
  <c r="O98" i="270"/>
  <c r="AD98" i="270" s="1"/>
  <c r="N98" i="270"/>
  <c r="M98" i="270"/>
  <c r="AP97" i="270"/>
  <c r="AO97" i="270"/>
  <c r="AV97" i="270" s="1"/>
  <c r="AI97" i="270"/>
  <c r="AH97" i="270"/>
  <c r="AF97" i="270"/>
  <c r="AE97" i="270"/>
  <c r="AD97" i="270"/>
  <c r="AC97" i="270"/>
  <c r="AB97" i="270"/>
  <c r="AA97" i="270"/>
  <c r="Z97" i="270"/>
  <c r="Y97" i="270"/>
  <c r="X97" i="270"/>
  <c r="W97" i="270"/>
  <c r="P97" i="270"/>
  <c r="O97" i="270"/>
  <c r="N97" i="270"/>
  <c r="M97" i="270"/>
  <c r="AI96" i="270"/>
  <c r="AH96" i="270"/>
  <c r="W96" i="270"/>
  <c r="AP95" i="270"/>
  <c r="AI95" i="270"/>
  <c r="AT95" i="270" s="1"/>
  <c r="AH95" i="270"/>
  <c r="AF95" i="270"/>
  <c r="AE95" i="270"/>
  <c r="AB95" i="270"/>
  <c r="AA95" i="270"/>
  <c r="Z95" i="270"/>
  <c r="Y95" i="270"/>
  <c r="X95" i="270"/>
  <c r="W95" i="270"/>
  <c r="P95" i="270"/>
  <c r="O95" i="270"/>
  <c r="N95" i="270"/>
  <c r="M95" i="270"/>
  <c r="AT94" i="270"/>
  <c r="AP94" i="270"/>
  <c r="AO94" i="270"/>
  <c r="AV94" i="270" s="1"/>
  <c r="AI94" i="270"/>
  <c r="AH94" i="270"/>
  <c r="AF94" i="270"/>
  <c r="AE94" i="270"/>
  <c r="AC94" i="270"/>
  <c r="AB94" i="270"/>
  <c r="AA94" i="270"/>
  <c r="Z94" i="270"/>
  <c r="Y94" i="270"/>
  <c r="X94" i="270"/>
  <c r="W94" i="270"/>
  <c r="P94" i="270"/>
  <c r="O94" i="270"/>
  <c r="AD94" i="270" s="1"/>
  <c r="N94" i="270"/>
  <c r="M94" i="270"/>
  <c r="AP93" i="270"/>
  <c r="AO93" i="270"/>
  <c r="AV93" i="270" s="1"/>
  <c r="AI93" i="270"/>
  <c r="AH93" i="270"/>
  <c r="AF93" i="270"/>
  <c r="AE93" i="270"/>
  <c r="AD93" i="270"/>
  <c r="AC93" i="270"/>
  <c r="AB93" i="270"/>
  <c r="AA93" i="270"/>
  <c r="Z93" i="270"/>
  <c r="Y93" i="270"/>
  <c r="X93" i="270"/>
  <c r="W93" i="270"/>
  <c r="P93" i="270"/>
  <c r="O93" i="270"/>
  <c r="N93" i="270"/>
  <c r="M93" i="270"/>
  <c r="AT92" i="270"/>
  <c r="AP92" i="270"/>
  <c r="AO92" i="270"/>
  <c r="AV92" i="270" s="1"/>
  <c r="AI92" i="270"/>
  <c r="AH92" i="270"/>
  <c r="AF92" i="270"/>
  <c r="AE92" i="270"/>
  <c r="AD92" i="270"/>
  <c r="AC92" i="270"/>
  <c r="AA92" i="270"/>
  <c r="Z92" i="270"/>
  <c r="Y92" i="270"/>
  <c r="X92" i="270"/>
  <c r="W92" i="270"/>
  <c r="P92" i="270"/>
  <c r="O92" i="270"/>
  <c r="N92" i="270"/>
  <c r="M92" i="270"/>
  <c r="AP91" i="270"/>
  <c r="AN91" i="270"/>
  <c r="AI91" i="270"/>
  <c r="AT91" i="270" s="1"/>
  <c r="AH91" i="270"/>
  <c r="AF91" i="270"/>
  <c r="AE91" i="270"/>
  <c r="AD91" i="270"/>
  <c r="AA91" i="270"/>
  <c r="Z91" i="270"/>
  <c r="Y91" i="270"/>
  <c r="X91" i="270"/>
  <c r="W91" i="270"/>
  <c r="P91" i="270"/>
  <c r="O91" i="270"/>
  <c r="N91" i="270"/>
  <c r="AO91" i="270" s="1"/>
  <c r="AV91" i="270" s="1"/>
  <c r="M91" i="270"/>
  <c r="AV90" i="270"/>
  <c r="AP90" i="270"/>
  <c r="AO90" i="270"/>
  <c r="AI90" i="270"/>
  <c r="AN90" i="270" s="1"/>
  <c r="AH90" i="270"/>
  <c r="AF90" i="270"/>
  <c r="AE90" i="270"/>
  <c r="AA90" i="270"/>
  <c r="Z90" i="270"/>
  <c r="Y90" i="270"/>
  <c r="X90" i="270"/>
  <c r="W90" i="270"/>
  <c r="P90" i="270"/>
  <c r="O90" i="270"/>
  <c r="N90" i="270"/>
  <c r="AC90" i="270" s="1"/>
  <c r="M90" i="270"/>
  <c r="AP89" i="270"/>
  <c r="AI89" i="270"/>
  <c r="AT89" i="270" s="1"/>
  <c r="AH89" i="270"/>
  <c r="AF89" i="270"/>
  <c r="AE89" i="270"/>
  <c r="AB89" i="270"/>
  <c r="AA89" i="270"/>
  <c r="Z89" i="270"/>
  <c r="Y89" i="270"/>
  <c r="X89" i="270"/>
  <c r="W89" i="270"/>
  <c r="P89" i="270"/>
  <c r="O89" i="270"/>
  <c r="N89" i="270"/>
  <c r="M89" i="270"/>
  <c r="AT88" i="270"/>
  <c r="AP88" i="270"/>
  <c r="AO88" i="270"/>
  <c r="AV88" i="270" s="1"/>
  <c r="AI88" i="270"/>
  <c r="AH88" i="270"/>
  <c r="AF88" i="270"/>
  <c r="AE88" i="270"/>
  <c r="AC88" i="270"/>
  <c r="AB88" i="270"/>
  <c r="AA88" i="270"/>
  <c r="Z88" i="270"/>
  <c r="Y88" i="270"/>
  <c r="X88" i="270"/>
  <c r="W88" i="270"/>
  <c r="P88" i="270"/>
  <c r="O88" i="270"/>
  <c r="AD88" i="270" s="1"/>
  <c r="N88" i="270"/>
  <c r="M88" i="270"/>
  <c r="AP87" i="270"/>
  <c r="AO87" i="270"/>
  <c r="AV87" i="270" s="1"/>
  <c r="AI87" i="270"/>
  <c r="AH87" i="270"/>
  <c r="AF87" i="270"/>
  <c r="AE87" i="270"/>
  <c r="AD87" i="270"/>
  <c r="AC87" i="270"/>
  <c r="AB87" i="270"/>
  <c r="AA87" i="270"/>
  <c r="Z87" i="270"/>
  <c r="Y87" i="270"/>
  <c r="X87" i="270"/>
  <c r="W87" i="270"/>
  <c r="P87" i="270"/>
  <c r="O87" i="270"/>
  <c r="N87" i="270"/>
  <c r="M87" i="270"/>
  <c r="AT86" i="270"/>
  <c r="AP86" i="270"/>
  <c r="AO86" i="270"/>
  <c r="AV86" i="270" s="1"/>
  <c r="AI86" i="270"/>
  <c r="AH86" i="270"/>
  <c r="AF86" i="270"/>
  <c r="AE86" i="270"/>
  <c r="AD86" i="270"/>
  <c r="AC86" i="270"/>
  <c r="AA86" i="270"/>
  <c r="Z86" i="270"/>
  <c r="Y86" i="270"/>
  <c r="X86" i="270"/>
  <c r="W86" i="270"/>
  <c r="P86" i="270"/>
  <c r="O86" i="270"/>
  <c r="N86" i="270"/>
  <c r="M86" i="270"/>
  <c r="AI85" i="270"/>
  <c r="AH85" i="270"/>
  <c r="W85" i="270"/>
  <c r="AT84" i="270"/>
  <c r="AP84" i="270"/>
  <c r="AO84" i="270"/>
  <c r="AV84" i="270" s="1"/>
  <c r="AI84" i="270"/>
  <c r="AH84" i="270"/>
  <c r="AF84" i="270"/>
  <c r="AE84" i="270"/>
  <c r="AC84" i="270"/>
  <c r="AB84" i="270"/>
  <c r="AA84" i="270"/>
  <c r="Z84" i="270"/>
  <c r="Y84" i="270"/>
  <c r="X84" i="270"/>
  <c r="W84" i="270"/>
  <c r="P84" i="270"/>
  <c r="O84" i="270"/>
  <c r="N84" i="270"/>
  <c r="M84" i="270"/>
  <c r="AP83" i="270"/>
  <c r="AO83" i="270"/>
  <c r="AV83" i="270" s="1"/>
  <c r="AI83" i="270"/>
  <c r="AH83" i="270"/>
  <c r="AF83" i="270"/>
  <c r="AE83" i="270"/>
  <c r="AD83" i="270"/>
  <c r="AC83" i="270"/>
  <c r="AB83" i="270"/>
  <c r="AA83" i="270"/>
  <c r="Z83" i="270"/>
  <c r="Y83" i="270"/>
  <c r="X83" i="270"/>
  <c r="W83" i="270"/>
  <c r="P83" i="270"/>
  <c r="O83" i="270"/>
  <c r="N83" i="270"/>
  <c r="M83" i="270"/>
  <c r="AV82" i="270"/>
  <c r="AT82" i="270"/>
  <c r="AP82" i="270"/>
  <c r="AO82" i="270"/>
  <c r="AI82" i="270"/>
  <c r="AH82" i="270"/>
  <c r="AF82" i="270"/>
  <c r="AE82" i="270"/>
  <c r="AD82" i="270"/>
  <c r="AA82" i="270"/>
  <c r="Z82" i="270"/>
  <c r="Y82" i="270"/>
  <c r="X82" i="270"/>
  <c r="W82" i="270"/>
  <c r="P82" i="270"/>
  <c r="O82" i="270"/>
  <c r="N82" i="270"/>
  <c r="AC82" i="270" s="1"/>
  <c r="M82" i="270"/>
  <c r="AP81" i="270"/>
  <c r="AI81" i="270"/>
  <c r="AT81" i="270" s="1"/>
  <c r="AH81" i="270"/>
  <c r="AF81" i="270"/>
  <c r="AE81" i="270"/>
  <c r="AD81" i="270"/>
  <c r="AA81" i="270"/>
  <c r="Z81" i="270"/>
  <c r="Y81" i="270"/>
  <c r="X81" i="270"/>
  <c r="W81" i="270"/>
  <c r="P81" i="270"/>
  <c r="O81" i="270"/>
  <c r="N81" i="270"/>
  <c r="M81" i="270"/>
  <c r="AP80" i="270"/>
  <c r="AI80" i="270"/>
  <c r="AH80" i="270"/>
  <c r="AF80" i="270"/>
  <c r="AE80" i="270"/>
  <c r="AA80" i="270"/>
  <c r="Z80" i="270"/>
  <c r="Y80" i="270"/>
  <c r="X80" i="270"/>
  <c r="W80" i="270"/>
  <c r="P80" i="270"/>
  <c r="O80" i="270"/>
  <c r="N80" i="270"/>
  <c r="AC80" i="270" s="1"/>
  <c r="M80" i="270"/>
  <c r="AB80" i="270" s="1"/>
  <c r="AT79" i="270"/>
  <c r="AP79" i="270"/>
  <c r="AI79" i="270"/>
  <c r="AH79" i="270"/>
  <c r="AF79" i="270"/>
  <c r="AE79" i="270"/>
  <c r="AB79" i="270"/>
  <c r="AA79" i="270"/>
  <c r="Z79" i="270"/>
  <c r="Y79" i="270"/>
  <c r="X79" i="270"/>
  <c r="W79" i="270"/>
  <c r="P79" i="270"/>
  <c r="O79" i="270"/>
  <c r="AD79" i="270" s="1"/>
  <c r="N79" i="270"/>
  <c r="AO79" i="270" s="1"/>
  <c r="AV79" i="270" s="1"/>
  <c r="M79" i="270"/>
  <c r="AT78" i="270"/>
  <c r="AP78" i="270"/>
  <c r="AO78" i="270"/>
  <c r="AV78" i="270" s="1"/>
  <c r="AI78" i="270"/>
  <c r="AH78" i="270"/>
  <c r="AF78" i="270"/>
  <c r="AE78" i="270"/>
  <c r="AC78" i="270"/>
  <c r="AB78" i="270"/>
  <c r="AA78" i="270"/>
  <c r="Z78" i="270"/>
  <c r="Y78" i="270"/>
  <c r="X78" i="270"/>
  <c r="W78" i="270"/>
  <c r="P78" i="270"/>
  <c r="O78" i="270"/>
  <c r="AD78" i="270" s="1"/>
  <c r="N78" i="270"/>
  <c r="M78" i="270"/>
  <c r="AI77" i="270"/>
  <c r="AH77" i="270"/>
  <c r="W77" i="270"/>
  <c r="AP76" i="270"/>
  <c r="AI76" i="270"/>
  <c r="AH76" i="270"/>
  <c r="AF76" i="270"/>
  <c r="AE76" i="270"/>
  <c r="AB76" i="270"/>
  <c r="AA76" i="270"/>
  <c r="Z76" i="270"/>
  <c r="Y76" i="270"/>
  <c r="X76" i="270"/>
  <c r="W76" i="270"/>
  <c r="P76" i="270"/>
  <c r="O76" i="270"/>
  <c r="AD76" i="270" s="1"/>
  <c r="N76" i="270"/>
  <c r="AO76" i="270" s="1"/>
  <c r="AV76" i="270" s="1"/>
  <c r="M76" i="270"/>
  <c r="AT75" i="270"/>
  <c r="AP75" i="270"/>
  <c r="AI75" i="270"/>
  <c r="AH75" i="270"/>
  <c r="AF75" i="270"/>
  <c r="AE75" i="270"/>
  <c r="AB75" i="270"/>
  <c r="AA75" i="270"/>
  <c r="Z75" i="270"/>
  <c r="Y75" i="270"/>
  <c r="X75" i="270"/>
  <c r="W75" i="270"/>
  <c r="P75" i="270"/>
  <c r="O75" i="270"/>
  <c r="N75" i="270"/>
  <c r="AO75" i="270" s="1"/>
  <c r="AV75" i="270" s="1"/>
  <c r="M75" i="270"/>
  <c r="AR74" i="270"/>
  <c r="AP74" i="270"/>
  <c r="AO74" i="270"/>
  <c r="AV74" i="270" s="1"/>
  <c r="AI74" i="270"/>
  <c r="AT74" i="270" s="1"/>
  <c r="AH74" i="270"/>
  <c r="AF74" i="270"/>
  <c r="AE74" i="270"/>
  <c r="AC74" i="270"/>
  <c r="AB74" i="270"/>
  <c r="AA74" i="270"/>
  <c r="Z74" i="270"/>
  <c r="Y74" i="270"/>
  <c r="X74" i="270"/>
  <c r="W74" i="270"/>
  <c r="P74" i="270"/>
  <c r="O74" i="270"/>
  <c r="AD74" i="270" s="1"/>
  <c r="N74" i="270"/>
  <c r="M74" i="270"/>
  <c r="AI73" i="270"/>
  <c r="AH73" i="270"/>
  <c r="W73" i="270"/>
  <c r="AT72" i="270"/>
  <c r="AP72" i="270"/>
  <c r="AO72" i="270"/>
  <c r="AV72" i="270" s="1"/>
  <c r="AI72" i="270"/>
  <c r="AH72" i="270"/>
  <c r="AF72" i="270"/>
  <c r="AE72" i="270"/>
  <c r="AC72" i="270"/>
  <c r="AB72" i="270"/>
  <c r="AA72" i="270"/>
  <c r="Z72" i="270"/>
  <c r="Y72" i="270"/>
  <c r="X72" i="270"/>
  <c r="W72" i="270"/>
  <c r="P72" i="270"/>
  <c r="O72" i="270"/>
  <c r="N72" i="270"/>
  <c r="M72" i="270"/>
  <c r="AP71" i="270"/>
  <c r="AI71" i="270"/>
  <c r="AT71" i="270" s="1"/>
  <c r="AH71" i="270"/>
  <c r="AF71" i="270"/>
  <c r="AE71" i="270"/>
  <c r="AB71" i="270"/>
  <c r="AA71" i="270"/>
  <c r="Z71" i="270"/>
  <c r="Y71" i="270"/>
  <c r="X71" i="270"/>
  <c r="W71" i="270"/>
  <c r="P71" i="270"/>
  <c r="O71" i="270"/>
  <c r="AD71" i="270" s="1"/>
  <c r="N71" i="270"/>
  <c r="AO71" i="270" s="1"/>
  <c r="AV71" i="270" s="1"/>
  <c r="M71" i="270"/>
  <c r="AU70" i="270"/>
  <c r="AT70" i="270"/>
  <c r="AP70" i="270"/>
  <c r="AO70" i="270"/>
  <c r="AV70" i="270" s="1"/>
  <c r="AI70" i="270"/>
  <c r="AH70" i="270"/>
  <c r="AF70" i="270"/>
  <c r="AE70" i="270"/>
  <c r="AD70" i="270"/>
  <c r="AC70" i="270"/>
  <c r="AB70" i="270"/>
  <c r="AA70" i="270"/>
  <c r="Z70" i="270"/>
  <c r="Y70" i="270"/>
  <c r="X70" i="270"/>
  <c r="W70" i="270"/>
  <c r="P70" i="270"/>
  <c r="O70" i="270"/>
  <c r="AQ70" i="270" s="1"/>
  <c r="N70" i="270"/>
  <c r="M70" i="270"/>
  <c r="AU69" i="270"/>
  <c r="AP69" i="270"/>
  <c r="AI69" i="270"/>
  <c r="AT69" i="270" s="1"/>
  <c r="AH69" i="270"/>
  <c r="AF69" i="270"/>
  <c r="AE69" i="270"/>
  <c r="AD69" i="270"/>
  <c r="AC69" i="270"/>
  <c r="AB69" i="270"/>
  <c r="AA69" i="270"/>
  <c r="Z69" i="270"/>
  <c r="Y69" i="270"/>
  <c r="X69" i="270"/>
  <c r="W69" i="270"/>
  <c r="P69" i="270"/>
  <c r="O69" i="270"/>
  <c r="AQ69" i="270" s="1"/>
  <c r="N69" i="270"/>
  <c r="AO69" i="270" s="1"/>
  <c r="AV69" i="270" s="1"/>
  <c r="M69" i="270"/>
  <c r="AV68" i="270"/>
  <c r="AT68" i="270"/>
  <c r="AP68" i="270"/>
  <c r="AI68" i="270"/>
  <c r="AH68" i="270"/>
  <c r="AF68" i="270"/>
  <c r="AE68" i="270"/>
  <c r="AD68" i="270"/>
  <c r="AC68" i="270"/>
  <c r="AA68" i="270"/>
  <c r="Z68" i="270"/>
  <c r="Y68" i="270"/>
  <c r="X68" i="270"/>
  <c r="W68" i="270"/>
  <c r="P68" i="270"/>
  <c r="O68" i="270"/>
  <c r="N68" i="270"/>
  <c r="AO68" i="270" s="1"/>
  <c r="M68" i="270"/>
  <c r="AP67" i="270"/>
  <c r="AO67" i="270"/>
  <c r="AV67" i="270" s="1"/>
  <c r="AI67" i="270"/>
  <c r="AH67" i="270"/>
  <c r="AF67" i="270"/>
  <c r="AE67" i="270"/>
  <c r="AA67" i="270"/>
  <c r="Z67" i="270"/>
  <c r="Y67" i="270"/>
  <c r="X67" i="270"/>
  <c r="W67" i="270"/>
  <c r="P67" i="270"/>
  <c r="O67" i="270"/>
  <c r="N67" i="270"/>
  <c r="AC67" i="270" s="1"/>
  <c r="M67" i="270"/>
  <c r="AB67" i="270" s="1"/>
  <c r="AI66" i="270"/>
  <c r="AH66" i="270"/>
  <c r="W66" i="270"/>
  <c r="AR65" i="270"/>
  <c r="AP65" i="270"/>
  <c r="AI65" i="270"/>
  <c r="AT65" i="270" s="1"/>
  <c r="AH65" i="270"/>
  <c r="AF65" i="270"/>
  <c r="AE65" i="270"/>
  <c r="AD65" i="270"/>
  <c r="AB65" i="270"/>
  <c r="AA65" i="270"/>
  <c r="Z65" i="270"/>
  <c r="Y65" i="270"/>
  <c r="X65" i="270"/>
  <c r="W65" i="270"/>
  <c r="P65" i="270"/>
  <c r="O65" i="270"/>
  <c r="N65" i="270"/>
  <c r="M65" i="270"/>
  <c r="AT64" i="270"/>
  <c r="AP64" i="270"/>
  <c r="AI64" i="270"/>
  <c r="AH64" i="270"/>
  <c r="AF64" i="270"/>
  <c r="AE64" i="270"/>
  <c r="AD64" i="270"/>
  <c r="AA64" i="270"/>
  <c r="Z64" i="270"/>
  <c r="Y64" i="270"/>
  <c r="X64" i="270"/>
  <c r="W64" i="270"/>
  <c r="P64" i="270"/>
  <c r="O64" i="270"/>
  <c r="N64" i="270"/>
  <c r="AO64" i="270" s="1"/>
  <c r="AV64" i="270" s="1"/>
  <c r="M64" i="270"/>
  <c r="AP63" i="270"/>
  <c r="AI63" i="270"/>
  <c r="AH63" i="270"/>
  <c r="AF63" i="270"/>
  <c r="AE63" i="270"/>
  <c r="AA63" i="270"/>
  <c r="Z63" i="270"/>
  <c r="Y63" i="270"/>
  <c r="X63" i="270"/>
  <c r="W63" i="270"/>
  <c r="P63" i="270"/>
  <c r="O63" i="270"/>
  <c r="N63" i="270"/>
  <c r="AC63" i="270" s="1"/>
  <c r="M63" i="270"/>
  <c r="AB63" i="270" s="1"/>
  <c r="AV62" i="270"/>
  <c r="AP62" i="270"/>
  <c r="AO62" i="270"/>
  <c r="AI62" i="270"/>
  <c r="AH62" i="270"/>
  <c r="AF62" i="270"/>
  <c r="AE62" i="270"/>
  <c r="AC62" i="270"/>
  <c r="AB62" i="270"/>
  <c r="AA62" i="270"/>
  <c r="Z62" i="270"/>
  <c r="Y62" i="270"/>
  <c r="X62" i="270"/>
  <c r="W62" i="270"/>
  <c r="P62" i="270"/>
  <c r="O62" i="270"/>
  <c r="N62" i="270"/>
  <c r="M62" i="270"/>
  <c r="AR61" i="270"/>
  <c r="AP61" i="270"/>
  <c r="AI61" i="270"/>
  <c r="AT61" i="270" s="1"/>
  <c r="AH61" i="270"/>
  <c r="AF61" i="270"/>
  <c r="AE61" i="270"/>
  <c r="AB61" i="270"/>
  <c r="AA61" i="270"/>
  <c r="Z61" i="270"/>
  <c r="Y61" i="270"/>
  <c r="X61" i="270"/>
  <c r="W61" i="270"/>
  <c r="P61" i="270"/>
  <c r="O61" i="270"/>
  <c r="AD61" i="270" s="1"/>
  <c r="N61" i="270"/>
  <c r="AO61" i="270" s="1"/>
  <c r="AV61" i="270" s="1"/>
  <c r="M61" i="270"/>
  <c r="AI60" i="270"/>
  <c r="AH60" i="270"/>
  <c r="W60" i="270"/>
  <c r="AV59" i="270"/>
  <c r="AQ59" i="270"/>
  <c r="AP59" i="270"/>
  <c r="AO59" i="270"/>
  <c r="AI59" i="270"/>
  <c r="AH59" i="270"/>
  <c r="AF59" i="270"/>
  <c r="AE59" i="270"/>
  <c r="AA59" i="270"/>
  <c r="Z59" i="270"/>
  <c r="Y59" i="270"/>
  <c r="X59" i="270"/>
  <c r="W59" i="270"/>
  <c r="P59" i="270"/>
  <c r="O59" i="270"/>
  <c r="AD59" i="270" s="1"/>
  <c r="N59" i="270"/>
  <c r="AC59" i="270" s="1"/>
  <c r="M59" i="270"/>
  <c r="AV58" i="270"/>
  <c r="AP58" i="270"/>
  <c r="AO58" i="270"/>
  <c r="AI58" i="270"/>
  <c r="AH58" i="270"/>
  <c r="AF58" i="270"/>
  <c r="AE58" i="270"/>
  <c r="AC58" i="270"/>
  <c r="AB58" i="270"/>
  <c r="AA58" i="270"/>
  <c r="Z58" i="270"/>
  <c r="Y58" i="270"/>
  <c r="X58" i="270"/>
  <c r="W58" i="270"/>
  <c r="P58" i="270"/>
  <c r="O58" i="270"/>
  <c r="AD58" i="270" s="1"/>
  <c r="N58" i="270"/>
  <c r="M58" i="270"/>
  <c r="AT57" i="270"/>
  <c r="AR57" i="270"/>
  <c r="AP57" i="270"/>
  <c r="AN57" i="270"/>
  <c r="AI57" i="270"/>
  <c r="AH57" i="270"/>
  <c r="AF57" i="270"/>
  <c r="AE57" i="270"/>
  <c r="AB57" i="270"/>
  <c r="AA57" i="270"/>
  <c r="Z57" i="270"/>
  <c r="Y57" i="270"/>
  <c r="X57" i="270"/>
  <c r="W57" i="270"/>
  <c r="P57" i="270"/>
  <c r="O57" i="270"/>
  <c r="AD57" i="270" s="1"/>
  <c r="N57" i="270"/>
  <c r="AO57" i="270" s="1"/>
  <c r="AV57" i="270" s="1"/>
  <c r="M57" i="270"/>
  <c r="AI56" i="270"/>
  <c r="AH56" i="270"/>
  <c r="W56" i="270"/>
  <c r="AP55" i="270"/>
  <c r="AI55" i="270"/>
  <c r="AT55" i="270" s="1"/>
  <c r="AH55" i="270"/>
  <c r="AF55" i="270"/>
  <c r="AE55" i="270"/>
  <c r="AD55" i="270"/>
  <c r="AC55" i="270"/>
  <c r="AA55" i="270"/>
  <c r="Z55" i="270"/>
  <c r="Y55" i="270"/>
  <c r="X55" i="270"/>
  <c r="W55" i="270"/>
  <c r="P55" i="270"/>
  <c r="O55" i="270"/>
  <c r="N55" i="270"/>
  <c r="AO55" i="270" s="1"/>
  <c r="AV55" i="270" s="1"/>
  <c r="M55" i="270"/>
  <c r="AB55" i="270" s="1"/>
  <c r="AT54" i="270"/>
  <c r="AP54" i="270"/>
  <c r="AN54" i="270"/>
  <c r="AI54" i="270"/>
  <c r="AH54" i="270"/>
  <c r="AF54" i="270"/>
  <c r="AE54" i="270"/>
  <c r="AD54" i="270"/>
  <c r="AA54" i="270"/>
  <c r="Z54" i="270"/>
  <c r="Y54" i="270"/>
  <c r="X54" i="270"/>
  <c r="W54" i="270"/>
  <c r="P54" i="270"/>
  <c r="O54" i="270"/>
  <c r="N54" i="270"/>
  <c r="M54" i="270"/>
  <c r="AR53" i="270"/>
  <c r="AP53" i="270"/>
  <c r="AO53" i="270"/>
  <c r="AV53" i="270" s="1"/>
  <c r="AI53" i="270"/>
  <c r="AH53" i="270"/>
  <c r="AF53" i="270"/>
  <c r="AE53" i="270"/>
  <c r="AA53" i="270"/>
  <c r="Z53" i="270"/>
  <c r="Y53" i="270"/>
  <c r="X53" i="270"/>
  <c r="W53" i="270"/>
  <c r="P53" i="270"/>
  <c r="O53" i="270"/>
  <c r="AD53" i="270" s="1"/>
  <c r="N53" i="270"/>
  <c r="AC53" i="270" s="1"/>
  <c r="M53" i="270"/>
  <c r="AB53" i="270" s="1"/>
  <c r="AV52" i="270"/>
  <c r="AP52" i="270"/>
  <c r="AO52" i="270"/>
  <c r="AI52" i="270"/>
  <c r="AH52" i="270"/>
  <c r="AF52" i="270"/>
  <c r="AE52" i="270"/>
  <c r="AC52" i="270"/>
  <c r="AB52" i="270"/>
  <c r="AA52" i="270"/>
  <c r="Z52" i="270"/>
  <c r="Y52" i="270"/>
  <c r="X52" i="270"/>
  <c r="W52" i="270"/>
  <c r="P52" i="270"/>
  <c r="O52" i="270"/>
  <c r="AD52" i="270" s="1"/>
  <c r="N52" i="270"/>
  <c r="M52" i="270"/>
  <c r="AR52" i="270" s="1"/>
  <c r="AT51" i="270"/>
  <c r="AP51" i="270"/>
  <c r="AI51" i="270"/>
  <c r="AH51" i="270"/>
  <c r="AF51" i="270"/>
  <c r="AE51" i="270"/>
  <c r="AB51" i="270"/>
  <c r="AA51" i="270"/>
  <c r="Z51" i="270"/>
  <c r="Y51" i="270"/>
  <c r="X51" i="270"/>
  <c r="W51" i="270"/>
  <c r="P51" i="270"/>
  <c r="O51" i="270"/>
  <c r="AD51" i="270" s="1"/>
  <c r="N51" i="270"/>
  <c r="AO51" i="270" s="1"/>
  <c r="AV51" i="270" s="1"/>
  <c r="M51" i="270"/>
  <c r="AP50" i="270"/>
  <c r="AO50" i="270"/>
  <c r="AV50" i="270" s="1"/>
  <c r="AI50" i="270"/>
  <c r="AH50" i="270"/>
  <c r="AF50" i="270"/>
  <c r="AE50" i="270"/>
  <c r="AD50" i="270"/>
  <c r="AC50" i="270"/>
  <c r="AA50" i="270"/>
  <c r="Z50" i="270"/>
  <c r="Y50" i="270"/>
  <c r="X50" i="270"/>
  <c r="W50" i="270"/>
  <c r="P50" i="270"/>
  <c r="O50" i="270"/>
  <c r="N50" i="270"/>
  <c r="M50" i="270"/>
  <c r="AB50" i="270" s="1"/>
  <c r="AI49" i="270"/>
  <c r="AH49" i="270"/>
  <c r="W49" i="270"/>
  <c r="AT48" i="270"/>
  <c r="AP48" i="270"/>
  <c r="AI48" i="270"/>
  <c r="AN48" i="270" s="1"/>
  <c r="AH48" i="270"/>
  <c r="AF48" i="270"/>
  <c r="AE48" i="270"/>
  <c r="AA48" i="270"/>
  <c r="Z48" i="270"/>
  <c r="Y48" i="270"/>
  <c r="X48" i="270"/>
  <c r="W48" i="270"/>
  <c r="P48" i="270"/>
  <c r="O48" i="270"/>
  <c r="N48" i="270"/>
  <c r="AO48" i="270" s="1"/>
  <c r="AV48" i="270" s="1"/>
  <c r="M48" i="270"/>
  <c r="AB48" i="270" s="1"/>
  <c r="AU47" i="270"/>
  <c r="AP47" i="270"/>
  <c r="AI47" i="270"/>
  <c r="AT47" i="270" s="1"/>
  <c r="AH47" i="270"/>
  <c r="AF47" i="270"/>
  <c r="AE47" i="270"/>
  <c r="AD47" i="270"/>
  <c r="AC47" i="270"/>
  <c r="AB47" i="270"/>
  <c r="AA47" i="270"/>
  <c r="Z47" i="270"/>
  <c r="Y47" i="270"/>
  <c r="X47" i="270"/>
  <c r="W47" i="270"/>
  <c r="P47" i="270"/>
  <c r="O47" i="270"/>
  <c r="N47" i="270"/>
  <c r="AO47" i="270" s="1"/>
  <c r="AV47" i="270" s="1"/>
  <c r="M47" i="270"/>
  <c r="AT46" i="270"/>
  <c r="AP46" i="270"/>
  <c r="AO46" i="270"/>
  <c r="AV46" i="270" s="1"/>
  <c r="AN46" i="270"/>
  <c r="AI46" i="270"/>
  <c r="AH46" i="270"/>
  <c r="AF46" i="270"/>
  <c r="AE46" i="270"/>
  <c r="AD46" i="270"/>
  <c r="AC46" i="270"/>
  <c r="AA46" i="270"/>
  <c r="Z46" i="270"/>
  <c r="Y46" i="270"/>
  <c r="X46" i="270"/>
  <c r="W46" i="270"/>
  <c r="P46" i="270"/>
  <c r="O46" i="270"/>
  <c r="AQ46" i="270" s="1"/>
  <c r="N46" i="270"/>
  <c r="M46" i="270"/>
  <c r="AR46" i="270" s="1"/>
  <c r="AR45" i="270"/>
  <c r="AP45" i="270"/>
  <c r="AN45" i="270"/>
  <c r="AI45" i="270"/>
  <c r="AT45" i="270" s="1"/>
  <c r="AH45" i="270"/>
  <c r="AF45" i="270"/>
  <c r="AE45" i="270"/>
  <c r="AD45" i="270"/>
  <c r="AA45" i="270"/>
  <c r="Z45" i="270"/>
  <c r="Y45" i="270"/>
  <c r="X45" i="270"/>
  <c r="W45" i="270"/>
  <c r="P45" i="270"/>
  <c r="O45" i="270"/>
  <c r="N45" i="270"/>
  <c r="AC45" i="270" s="1"/>
  <c r="M45" i="270"/>
  <c r="AB45" i="270" s="1"/>
  <c r="AT44" i="270"/>
  <c r="AP44" i="270"/>
  <c r="AN44" i="270"/>
  <c r="AI44" i="270"/>
  <c r="AH44" i="270"/>
  <c r="AF44" i="270"/>
  <c r="AE44" i="270"/>
  <c r="AD44" i="270"/>
  <c r="AA44" i="270"/>
  <c r="Z44" i="270"/>
  <c r="Y44" i="270"/>
  <c r="X44" i="270"/>
  <c r="W44" i="270"/>
  <c r="P44" i="270"/>
  <c r="O44" i="270"/>
  <c r="N44" i="270"/>
  <c r="AC44" i="270" s="1"/>
  <c r="M44" i="270"/>
  <c r="AU43" i="270"/>
  <c r="AP43" i="270"/>
  <c r="AO43" i="270"/>
  <c r="AV43" i="270" s="1"/>
  <c r="AI43" i="270"/>
  <c r="AH43" i="270"/>
  <c r="AF43" i="270"/>
  <c r="AE43" i="270"/>
  <c r="AB43" i="270"/>
  <c r="AA43" i="270"/>
  <c r="Z43" i="270"/>
  <c r="Y43" i="270"/>
  <c r="X43" i="270"/>
  <c r="W43" i="270"/>
  <c r="P43" i="270"/>
  <c r="O43" i="270"/>
  <c r="N43" i="270"/>
  <c r="AC43" i="270" s="1"/>
  <c r="M43" i="270"/>
  <c r="AP42" i="270"/>
  <c r="AI42" i="270"/>
  <c r="AN42" i="270" s="1"/>
  <c r="AH42" i="270"/>
  <c r="AF42" i="270"/>
  <c r="AE42" i="270"/>
  <c r="AA42" i="270"/>
  <c r="Z42" i="270"/>
  <c r="Y42" i="270"/>
  <c r="X42" i="270"/>
  <c r="W42" i="270"/>
  <c r="P42" i="270"/>
  <c r="O42" i="270"/>
  <c r="AD42" i="270" s="1"/>
  <c r="N42" i="270"/>
  <c r="AO42" i="270" s="1"/>
  <c r="AV42" i="270" s="1"/>
  <c r="M42" i="270"/>
  <c r="AI41" i="270"/>
  <c r="AH41" i="270"/>
  <c r="W41" i="270"/>
  <c r="AV40" i="270"/>
  <c r="AT40" i="270"/>
  <c r="AP40" i="270"/>
  <c r="AO40" i="270"/>
  <c r="AN40" i="270"/>
  <c r="AI40" i="270"/>
  <c r="AH40" i="270"/>
  <c r="AF40" i="270"/>
  <c r="AE40" i="270"/>
  <c r="AA40" i="270"/>
  <c r="Z40" i="270"/>
  <c r="Y40" i="270"/>
  <c r="X40" i="270"/>
  <c r="W40" i="270"/>
  <c r="P40" i="270"/>
  <c r="O40" i="270"/>
  <c r="N40" i="270"/>
  <c r="AC40" i="270" s="1"/>
  <c r="M40" i="270"/>
  <c r="AP39" i="270"/>
  <c r="AI39" i="270"/>
  <c r="AH39" i="270"/>
  <c r="AF39" i="270"/>
  <c r="AE39" i="270"/>
  <c r="AA39" i="270"/>
  <c r="Z39" i="270"/>
  <c r="Y39" i="270"/>
  <c r="X39" i="270"/>
  <c r="W39" i="270"/>
  <c r="P39" i="270"/>
  <c r="O39" i="270"/>
  <c r="AD39" i="270" s="1"/>
  <c r="N39" i="270"/>
  <c r="AC39" i="270" s="1"/>
  <c r="M39" i="270"/>
  <c r="AP38" i="270"/>
  <c r="AO38" i="270"/>
  <c r="AV38" i="270" s="1"/>
  <c r="AI38" i="270"/>
  <c r="AH38" i="270"/>
  <c r="AF38" i="270"/>
  <c r="AE38" i="270"/>
  <c r="AC38" i="270"/>
  <c r="AA38" i="270"/>
  <c r="Z38" i="270"/>
  <c r="Y38" i="270"/>
  <c r="X38" i="270"/>
  <c r="W38" i="270"/>
  <c r="P38" i="270"/>
  <c r="O38" i="270"/>
  <c r="AD38" i="270" s="1"/>
  <c r="N38" i="270"/>
  <c r="M38" i="270"/>
  <c r="AB38" i="270" s="1"/>
  <c r="AI37" i="270"/>
  <c r="AH37" i="270"/>
  <c r="W37" i="270"/>
  <c r="AT36" i="270"/>
  <c r="AP36" i="270"/>
  <c r="AO36" i="270"/>
  <c r="AV36" i="270" s="1"/>
  <c r="AI36" i="270"/>
  <c r="AH36" i="270"/>
  <c r="AF36" i="270"/>
  <c r="AE36" i="270"/>
  <c r="AC36" i="270"/>
  <c r="AA36" i="270"/>
  <c r="Z36" i="270"/>
  <c r="Y36" i="270"/>
  <c r="X36" i="270"/>
  <c r="W36" i="270"/>
  <c r="P36" i="270"/>
  <c r="O36" i="270"/>
  <c r="AD36" i="270" s="1"/>
  <c r="N36" i="270"/>
  <c r="M36" i="270"/>
  <c r="AP35" i="270"/>
  <c r="AO35" i="270"/>
  <c r="AV35" i="270" s="1"/>
  <c r="AN35" i="270"/>
  <c r="AI35" i="270"/>
  <c r="AH35" i="270"/>
  <c r="AF35" i="270"/>
  <c r="AE35" i="270"/>
  <c r="AD35" i="270"/>
  <c r="AA35" i="270"/>
  <c r="Z35" i="270"/>
  <c r="Y35" i="270"/>
  <c r="X35" i="270"/>
  <c r="W35" i="270"/>
  <c r="P35" i="270"/>
  <c r="O35" i="270"/>
  <c r="N35" i="270"/>
  <c r="AC35" i="270" s="1"/>
  <c r="M35" i="270"/>
  <c r="AB35" i="270" s="1"/>
  <c r="AT34" i="270"/>
  <c r="AP34" i="270"/>
  <c r="AO34" i="270"/>
  <c r="AV34" i="270" s="1"/>
  <c r="AI34" i="270"/>
  <c r="AH34" i="270"/>
  <c r="AF34" i="270"/>
  <c r="AE34" i="270"/>
  <c r="AC34" i="270"/>
  <c r="AB34" i="270"/>
  <c r="AA34" i="270"/>
  <c r="Z34" i="270"/>
  <c r="Y34" i="270"/>
  <c r="X34" i="270"/>
  <c r="W34" i="270"/>
  <c r="P34" i="270"/>
  <c r="O34" i="270"/>
  <c r="N34" i="270"/>
  <c r="M34" i="270"/>
  <c r="AP33" i="270"/>
  <c r="AI33" i="270"/>
  <c r="AN33" i="270" s="1"/>
  <c r="AH33" i="270"/>
  <c r="AF33" i="270"/>
  <c r="AE33" i="270"/>
  <c r="AB33" i="270"/>
  <c r="AA33" i="270"/>
  <c r="Z33" i="270"/>
  <c r="Y33" i="270"/>
  <c r="X33" i="270"/>
  <c r="W33" i="270"/>
  <c r="P33" i="270"/>
  <c r="O33" i="270"/>
  <c r="AD33" i="270" s="1"/>
  <c r="N33" i="270"/>
  <c r="M33" i="270"/>
  <c r="AR33" i="270" s="1"/>
  <c r="AT32" i="270"/>
  <c r="AP32" i="270"/>
  <c r="AN32" i="270"/>
  <c r="AI32" i="270"/>
  <c r="AH32" i="270"/>
  <c r="AF32" i="270"/>
  <c r="AE32" i="270"/>
  <c r="AC32" i="270"/>
  <c r="AB32" i="270"/>
  <c r="AA32" i="270"/>
  <c r="Z32" i="270"/>
  <c r="Y32" i="270"/>
  <c r="X32" i="270"/>
  <c r="W32" i="270"/>
  <c r="P32" i="270"/>
  <c r="O32" i="270"/>
  <c r="N32" i="270"/>
  <c r="AO32" i="270" s="1"/>
  <c r="AV32" i="270" s="1"/>
  <c r="M32" i="270"/>
  <c r="AR31" i="270"/>
  <c r="AP31" i="270"/>
  <c r="AO31" i="270"/>
  <c r="AV31" i="270" s="1"/>
  <c r="AI31" i="270"/>
  <c r="AH31" i="270"/>
  <c r="AF31" i="270"/>
  <c r="AE31" i="270"/>
  <c r="AD31" i="270"/>
  <c r="AC31" i="270"/>
  <c r="AB31" i="270"/>
  <c r="AA31" i="270"/>
  <c r="Z31" i="270"/>
  <c r="Y31" i="270"/>
  <c r="X31" i="270"/>
  <c r="W31" i="270"/>
  <c r="P31" i="270"/>
  <c r="O31" i="270"/>
  <c r="N31" i="270"/>
  <c r="M31" i="270"/>
  <c r="AT30" i="270"/>
  <c r="AP30" i="270"/>
  <c r="AO30" i="270"/>
  <c r="AV30" i="270" s="1"/>
  <c r="AI30" i="270"/>
  <c r="AN30" i="270" s="1"/>
  <c r="AH30" i="270"/>
  <c r="AF30" i="270"/>
  <c r="AE30" i="270"/>
  <c r="AD30" i="270"/>
  <c r="AC30" i="270"/>
  <c r="AA30" i="270"/>
  <c r="Z30" i="270"/>
  <c r="Y30" i="270"/>
  <c r="X30" i="270"/>
  <c r="W30" i="270"/>
  <c r="P30" i="270"/>
  <c r="O30" i="270"/>
  <c r="N30" i="270"/>
  <c r="M30" i="270"/>
  <c r="AR30" i="270" s="1"/>
  <c r="AI29" i="270"/>
  <c r="AH29" i="270"/>
  <c r="W29" i="270"/>
  <c r="AT28" i="270"/>
  <c r="AP28" i="270"/>
  <c r="AN28" i="270"/>
  <c r="AI28" i="270"/>
  <c r="AH28" i="270"/>
  <c r="AF28" i="270"/>
  <c r="AE28" i="270"/>
  <c r="AC28" i="270"/>
  <c r="AB28" i="270"/>
  <c r="AA28" i="270"/>
  <c r="Z28" i="270"/>
  <c r="Y28" i="270"/>
  <c r="X28" i="270"/>
  <c r="W28" i="270"/>
  <c r="P28" i="270"/>
  <c r="O28" i="270"/>
  <c r="N28" i="270"/>
  <c r="AO28" i="270" s="1"/>
  <c r="AV28" i="270" s="1"/>
  <c r="M28" i="270"/>
  <c r="AR27" i="270"/>
  <c r="AP27" i="270"/>
  <c r="AO27" i="270"/>
  <c r="AV27" i="270" s="1"/>
  <c r="AI27" i="270"/>
  <c r="AH27" i="270"/>
  <c r="AF27" i="270"/>
  <c r="AE27" i="270"/>
  <c r="AD27" i="270"/>
  <c r="AC27" i="270"/>
  <c r="AB27" i="270"/>
  <c r="AA27" i="270"/>
  <c r="Z27" i="270"/>
  <c r="Y27" i="270"/>
  <c r="X27" i="270"/>
  <c r="W27" i="270"/>
  <c r="P27" i="270"/>
  <c r="O27" i="270"/>
  <c r="N27" i="270"/>
  <c r="M27" i="270"/>
  <c r="AI26" i="270"/>
  <c r="AH26" i="270"/>
  <c r="W26" i="270"/>
  <c r="AR25" i="270"/>
  <c r="AP25" i="270"/>
  <c r="AI25" i="270"/>
  <c r="AN25" i="270" s="1"/>
  <c r="AH25" i="270"/>
  <c r="AF25" i="270"/>
  <c r="AE25" i="270"/>
  <c r="AB25" i="270"/>
  <c r="AA25" i="270"/>
  <c r="Z25" i="270"/>
  <c r="Y25" i="270"/>
  <c r="X25" i="270"/>
  <c r="W25" i="270"/>
  <c r="P25" i="270"/>
  <c r="O25" i="270"/>
  <c r="AD25" i="270" s="1"/>
  <c r="N25" i="270"/>
  <c r="M25" i="270"/>
  <c r="AT24" i="270"/>
  <c r="AQ24" i="270"/>
  <c r="AP24" i="270"/>
  <c r="AN24" i="270"/>
  <c r="AI24" i="270"/>
  <c r="AH24" i="270"/>
  <c r="AF24" i="270"/>
  <c r="AE24" i="270"/>
  <c r="AC24" i="270"/>
  <c r="AB24" i="270"/>
  <c r="AA24" i="270"/>
  <c r="Z24" i="270"/>
  <c r="Y24" i="270"/>
  <c r="X24" i="270"/>
  <c r="W24" i="270"/>
  <c r="P24" i="270"/>
  <c r="O24" i="270"/>
  <c r="AD24" i="270" s="1"/>
  <c r="N24" i="270"/>
  <c r="AO24" i="270" s="1"/>
  <c r="AV24" i="270" s="1"/>
  <c r="M24" i="270"/>
  <c r="AR23" i="270"/>
  <c r="AP23" i="270"/>
  <c r="AO23" i="270"/>
  <c r="AV23" i="270" s="1"/>
  <c r="AI23" i="270"/>
  <c r="AH23" i="270"/>
  <c r="AF23" i="270"/>
  <c r="AE23" i="270"/>
  <c r="AD23" i="270"/>
  <c r="AC23" i="270"/>
  <c r="AB23" i="270"/>
  <c r="AA23" i="270"/>
  <c r="Z23" i="270"/>
  <c r="Y23" i="270"/>
  <c r="X23" i="270"/>
  <c r="W23" i="270"/>
  <c r="P23" i="270"/>
  <c r="O23" i="270"/>
  <c r="N23" i="270"/>
  <c r="M23" i="270"/>
  <c r="AI22" i="270"/>
  <c r="AH22" i="270"/>
  <c r="W22" i="270"/>
  <c r="AR21" i="270"/>
  <c r="AP21" i="270"/>
  <c r="AI21" i="270"/>
  <c r="AH21" i="270"/>
  <c r="AF21" i="270"/>
  <c r="AE21" i="270"/>
  <c r="AB21" i="270"/>
  <c r="AA21" i="270"/>
  <c r="Z21" i="270"/>
  <c r="Y21" i="270"/>
  <c r="X21" i="270"/>
  <c r="W21" i="270"/>
  <c r="P21" i="270"/>
  <c r="O21" i="270"/>
  <c r="AD21" i="270" s="1"/>
  <c r="N21" i="270"/>
  <c r="M21" i="270"/>
  <c r="AT20" i="270"/>
  <c r="AP20" i="270"/>
  <c r="AN20" i="270"/>
  <c r="AJ20" i="270"/>
  <c r="AI20" i="270"/>
  <c r="AH20" i="270"/>
  <c r="AF20" i="270"/>
  <c r="AE20" i="270"/>
  <c r="AC20" i="270"/>
  <c r="AB20" i="270"/>
  <c r="AA20" i="270"/>
  <c r="Z20" i="270"/>
  <c r="Y20" i="270"/>
  <c r="X20" i="270"/>
  <c r="W20" i="270"/>
  <c r="P20" i="270"/>
  <c r="O20" i="270"/>
  <c r="AD20" i="270" s="1"/>
  <c r="N20" i="270"/>
  <c r="AO20" i="270" s="1"/>
  <c r="AV20" i="270" s="1"/>
  <c r="M20" i="270"/>
  <c r="AU19" i="270"/>
  <c r="AR19" i="270"/>
  <c r="AP19" i="270"/>
  <c r="AO19" i="270"/>
  <c r="AV19" i="270" s="1"/>
  <c r="AI19" i="270"/>
  <c r="AH19" i="270"/>
  <c r="AF19" i="270"/>
  <c r="AE19" i="270"/>
  <c r="AD19" i="270"/>
  <c r="AC19" i="270"/>
  <c r="AB19" i="270"/>
  <c r="AA19" i="270"/>
  <c r="Z19" i="270"/>
  <c r="Y19" i="270"/>
  <c r="X19" i="270"/>
  <c r="W19" i="270"/>
  <c r="P19" i="270"/>
  <c r="O19" i="270"/>
  <c r="N19" i="270"/>
  <c r="M19" i="270"/>
  <c r="AI18" i="270"/>
  <c r="AH18" i="270"/>
  <c r="W18" i="270"/>
  <c r="AR17" i="270"/>
  <c r="AP17" i="270"/>
  <c r="AI17" i="270"/>
  <c r="AH17" i="270"/>
  <c r="AF17" i="270"/>
  <c r="AE17" i="270"/>
  <c r="AB17" i="270"/>
  <c r="AA17" i="270"/>
  <c r="Z17" i="270"/>
  <c r="Y17" i="270"/>
  <c r="X17" i="270"/>
  <c r="W17" i="270"/>
  <c r="P17" i="270"/>
  <c r="O17" i="270"/>
  <c r="AD17" i="270" s="1"/>
  <c r="N17" i="270"/>
  <c r="M17" i="270"/>
  <c r="AT16" i="270"/>
  <c r="AP16" i="270"/>
  <c r="AN16" i="270"/>
  <c r="AJ16" i="270"/>
  <c r="AI16" i="270"/>
  <c r="AH16" i="270"/>
  <c r="AF16" i="270"/>
  <c r="AE16" i="270"/>
  <c r="AC16" i="270"/>
  <c r="AB16" i="270"/>
  <c r="AA16" i="270"/>
  <c r="Z16" i="270"/>
  <c r="Y16" i="270"/>
  <c r="X16" i="270"/>
  <c r="W16" i="270"/>
  <c r="P16" i="270"/>
  <c r="O16" i="270"/>
  <c r="AD16" i="270" s="1"/>
  <c r="N16" i="270"/>
  <c r="AO16" i="270" s="1"/>
  <c r="AV16" i="270" s="1"/>
  <c r="M16" i="270"/>
  <c r="AI15" i="270"/>
  <c r="AH15" i="270"/>
  <c r="W15" i="270"/>
  <c r="AP14" i="270"/>
  <c r="AO14" i="270"/>
  <c r="AV14" i="270" s="1"/>
  <c r="AI14" i="270"/>
  <c r="AN14" i="270" s="1"/>
  <c r="AH14" i="270"/>
  <c r="AF14" i="270"/>
  <c r="AE14" i="270"/>
  <c r="AA14" i="270"/>
  <c r="Z14" i="270"/>
  <c r="Y14" i="270"/>
  <c r="X14" i="270"/>
  <c r="W14" i="270"/>
  <c r="P14" i="270"/>
  <c r="O14" i="270"/>
  <c r="AD14" i="270" s="1"/>
  <c r="N14" i="270"/>
  <c r="AC14" i="270" s="1"/>
  <c r="M14" i="270"/>
  <c r="AR13" i="270"/>
  <c r="AP13" i="270"/>
  <c r="AI13" i="270"/>
  <c r="AH13" i="270"/>
  <c r="AF13" i="270"/>
  <c r="AE13" i="270"/>
  <c r="AB13" i="270"/>
  <c r="AA13" i="270"/>
  <c r="Z13" i="270"/>
  <c r="Y13" i="270"/>
  <c r="X13" i="270"/>
  <c r="W13" i="270"/>
  <c r="P13" i="270"/>
  <c r="O13" i="270"/>
  <c r="AD13" i="270" s="1"/>
  <c r="N13" i="270"/>
  <c r="M13" i="270"/>
  <c r="AT12" i="270"/>
  <c r="AP12" i="270"/>
  <c r="AN12" i="270"/>
  <c r="AI12" i="270"/>
  <c r="AH12" i="270"/>
  <c r="AF12" i="270"/>
  <c r="AE12" i="270"/>
  <c r="AC12" i="270"/>
  <c r="AB12" i="270"/>
  <c r="AA12" i="270"/>
  <c r="Z12" i="270"/>
  <c r="Y12" i="270"/>
  <c r="X12" i="270"/>
  <c r="W12" i="270"/>
  <c r="P12" i="270"/>
  <c r="O12" i="270"/>
  <c r="AD12" i="270" s="1"/>
  <c r="N12" i="270"/>
  <c r="AO12" i="270" s="1"/>
  <c r="AV12" i="270" s="1"/>
  <c r="M12" i="270"/>
  <c r="AU11" i="270"/>
  <c r="AR11" i="270"/>
  <c r="AP11" i="270"/>
  <c r="AO11" i="270"/>
  <c r="AV11" i="270" s="1"/>
  <c r="AN11" i="270"/>
  <c r="AI11" i="270"/>
  <c r="AH11" i="270"/>
  <c r="AF11" i="270"/>
  <c r="AE11" i="270"/>
  <c r="AD11" i="270"/>
  <c r="AC11" i="270"/>
  <c r="AB11" i="270"/>
  <c r="AA11" i="270"/>
  <c r="Z11" i="270"/>
  <c r="Y11" i="270"/>
  <c r="X11" i="270"/>
  <c r="W11" i="270"/>
  <c r="P11" i="270"/>
  <c r="O11" i="270"/>
  <c r="AQ11" i="270" s="1"/>
  <c r="N11" i="270"/>
  <c r="M11" i="270"/>
  <c r="AT10" i="270"/>
  <c r="AP10" i="270"/>
  <c r="AO10" i="270"/>
  <c r="AV10" i="270" s="1"/>
  <c r="AI10" i="270"/>
  <c r="AN10" i="270" s="1"/>
  <c r="AH10" i="270"/>
  <c r="AF10" i="270"/>
  <c r="AE10" i="270"/>
  <c r="AD10" i="270"/>
  <c r="AC10" i="270"/>
  <c r="AA10" i="270"/>
  <c r="Z10" i="270"/>
  <c r="Y10" i="270"/>
  <c r="X10" i="270"/>
  <c r="W10" i="270"/>
  <c r="P10" i="270"/>
  <c r="O10" i="270"/>
  <c r="N10" i="270"/>
  <c r="M10" i="270"/>
  <c r="AT9" i="270"/>
  <c r="AP9" i="270"/>
  <c r="AN9" i="270"/>
  <c r="AI9" i="270"/>
  <c r="AH9" i="270"/>
  <c r="AF9" i="270"/>
  <c r="AE9" i="270"/>
  <c r="AD9" i="270"/>
  <c r="AA9" i="270"/>
  <c r="Z9" i="270"/>
  <c r="Y9" i="270"/>
  <c r="X9" i="270"/>
  <c r="W9" i="270"/>
  <c r="P9" i="270"/>
  <c r="O9" i="270"/>
  <c r="N9" i="270"/>
  <c r="M9" i="270"/>
  <c r="AR9" i="270" s="1"/>
  <c r="AQ8" i="270"/>
  <c r="AP8" i="270"/>
  <c r="AO8" i="270"/>
  <c r="AV8" i="270" s="1"/>
  <c r="AI8" i="270"/>
  <c r="AN8" i="270" s="1"/>
  <c r="AH8" i="270"/>
  <c r="AF8" i="270"/>
  <c r="AE8" i="270"/>
  <c r="AA8" i="270"/>
  <c r="Z8" i="270"/>
  <c r="Y8" i="270"/>
  <c r="X8" i="270"/>
  <c r="W8" i="270"/>
  <c r="P8" i="270"/>
  <c r="O8" i="270"/>
  <c r="AD8" i="270" s="1"/>
  <c r="N8" i="270"/>
  <c r="AC8" i="270" s="1"/>
  <c r="M8" i="270"/>
  <c r="AR7" i="270"/>
  <c r="AP7" i="270"/>
  <c r="AI7" i="270"/>
  <c r="AH7" i="270"/>
  <c r="AF7" i="270"/>
  <c r="AE7" i="270"/>
  <c r="AB7" i="270"/>
  <c r="AA7" i="270"/>
  <c r="Z7" i="270"/>
  <c r="Y7" i="270"/>
  <c r="X7" i="270"/>
  <c r="W7" i="270"/>
  <c r="P7" i="270"/>
  <c r="O7" i="270"/>
  <c r="AD7" i="270" s="1"/>
  <c r="N7" i="270"/>
  <c r="M7" i="270"/>
  <c r="AT6" i="270"/>
  <c r="AP6" i="270"/>
  <c r="AN6" i="270"/>
  <c r="AJ6" i="270"/>
  <c r="AI6" i="270"/>
  <c r="AH6" i="270"/>
  <c r="AF6" i="270"/>
  <c r="AE6" i="270"/>
  <c r="AC6" i="270"/>
  <c r="AB6" i="270"/>
  <c r="AA6" i="270"/>
  <c r="Z6" i="270"/>
  <c r="Y6" i="270"/>
  <c r="X6" i="270"/>
  <c r="W6" i="270"/>
  <c r="P6" i="270"/>
  <c r="O6" i="270"/>
  <c r="AD6" i="270" s="1"/>
  <c r="N6" i="270"/>
  <c r="AO6" i="270" s="1"/>
  <c r="AV6" i="270" s="1"/>
  <c r="M6" i="270"/>
  <c r="AI5" i="270"/>
  <c r="AH5" i="270"/>
  <c r="W5" i="270"/>
  <c r="AI4" i="270"/>
  <c r="AP3" i="270"/>
  <c r="AO3" i="270"/>
  <c r="AI3" i="270"/>
  <c r="AH3" i="270"/>
  <c r="AN2" i="270"/>
  <c r="AN69" i="270" s="1"/>
  <c r="AM2" i="270"/>
  <c r="AL2" i="270"/>
  <c r="AK2" i="270"/>
  <c r="AJ2" i="270"/>
  <c r="AA2" i="270"/>
  <c r="A2" i="270"/>
  <c r="AU1" i="270"/>
  <c r="AU9" i="270" s="1"/>
  <c r="AR1" i="270"/>
  <c r="AQ1" i="270"/>
  <c r="AQ33" i="270" s="1"/>
  <c r="AP1" i="270"/>
  <c r="AO1" i="270"/>
  <c r="AJ1" i="270"/>
  <c r="AA1" i="270"/>
  <c r="A1" i="270"/>
  <c r="AH1" i="270" s="1"/>
  <c r="AH2" i="270" s="1"/>
  <c r="AT161" i="269"/>
  <c r="AP161" i="269"/>
  <c r="AI161" i="269"/>
  <c r="AH161" i="269"/>
  <c r="AF161" i="269"/>
  <c r="AE161" i="269"/>
  <c r="AC161" i="269"/>
  <c r="AB161" i="269"/>
  <c r="AA161" i="269"/>
  <c r="Z161" i="269"/>
  <c r="Y161" i="269"/>
  <c r="X161" i="269"/>
  <c r="W161" i="269"/>
  <c r="P161" i="269"/>
  <c r="O161" i="269"/>
  <c r="AD161" i="269" s="1"/>
  <c r="N161" i="269"/>
  <c r="AO161" i="269" s="1"/>
  <c r="AV161" i="269" s="1"/>
  <c r="M161" i="269"/>
  <c r="AT160" i="269"/>
  <c r="AP160" i="269"/>
  <c r="AI160" i="269"/>
  <c r="AH160" i="269"/>
  <c r="AF160" i="269"/>
  <c r="AE160" i="269"/>
  <c r="AC160" i="269"/>
  <c r="AB160" i="269"/>
  <c r="AA160" i="269"/>
  <c r="Z160" i="269"/>
  <c r="Y160" i="269"/>
  <c r="X160" i="269"/>
  <c r="W160" i="269"/>
  <c r="P160" i="269"/>
  <c r="O160" i="269"/>
  <c r="N160" i="269"/>
  <c r="AO160" i="269" s="1"/>
  <c r="AV160" i="269" s="1"/>
  <c r="M160" i="269"/>
  <c r="AV159" i="269"/>
  <c r="AP159" i="269"/>
  <c r="AO159" i="269"/>
  <c r="AI159" i="269"/>
  <c r="AH159" i="269"/>
  <c r="AF159" i="269"/>
  <c r="AE159" i="269"/>
  <c r="AD159" i="269"/>
  <c r="AC159" i="269"/>
  <c r="AA159" i="269"/>
  <c r="Z159" i="269"/>
  <c r="Y159" i="269"/>
  <c r="X159" i="269"/>
  <c r="W159" i="269"/>
  <c r="P159" i="269"/>
  <c r="O159" i="269"/>
  <c r="N159" i="269"/>
  <c r="M159" i="269"/>
  <c r="AT158" i="269"/>
  <c r="AP158" i="269"/>
  <c r="AO158" i="269"/>
  <c r="AV158" i="269" s="1"/>
  <c r="AI158" i="269"/>
  <c r="AN158" i="269" s="1"/>
  <c r="AH158" i="269"/>
  <c r="AF158" i="269"/>
  <c r="AE158" i="269"/>
  <c r="AD158" i="269"/>
  <c r="AA158" i="269"/>
  <c r="Z158" i="269"/>
  <c r="Y158" i="269"/>
  <c r="X158" i="269"/>
  <c r="W158" i="269"/>
  <c r="P158" i="269"/>
  <c r="O158" i="269"/>
  <c r="N158" i="269"/>
  <c r="AC158" i="269" s="1"/>
  <c r="M158" i="269"/>
  <c r="AT157" i="269"/>
  <c r="AP157" i="269"/>
  <c r="AI157" i="269"/>
  <c r="AH157" i="269"/>
  <c r="AF157" i="269"/>
  <c r="AE157" i="269"/>
  <c r="AD157" i="269"/>
  <c r="AA157" i="269"/>
  <c r="Z157" i="269"/>
  <c r="Y157" i="269"/>
  <c r="X157" i="269"/>
  <c r="W157" i="269"/>
  <c r="P157" i="269"/>
  <c r="O157" i="269"/>
  <c r="N157" i="269"/>
  <c r="M157" i="269"/>
  <c r="AR156" i="269"/>
  <c r="AP156" i="269"/>
  <c r="AO156" i="269"/>
  <c r="AV156" i="269" s="1"/>
  <c r="AI156" i="269"/>
  <c r="AH156" i="269"/>
  <c r="AF156" i="269"/>
  <c r="AE156" i="269"/>
  <c r="AD156" i="269"/>
  <c r="AB156" i="269"/>
  <c r="AA156" i="269"/>
  <c r="Z156" i="269"/>
  <c r="Y156" i="269"/>
  <c r="X156" i="269"/>
  <c r="W156" i="269"/>
  <c r="P156" i="269"/>
  <c r="O156" i="269"/>
  <c r="N156" i="269"/>
  <c r="AC156" i="269" s="1"/>
  <c r="M156" i="269"/>
  <c r="AT155" i="269"/>
  <c r="AP155" i="269"/>
  <c r="AO155" i="269"/>
  <c r="AV155" i="269" s="1"/>
  <c r="AI155" i="269"/>
  <c r="AH155" i="269"/>
  <c r="AF155" i="269"/>
  <c r="AE155" i="269"/>
  <c r="AC155" i="269"/>
  <c r="AA155" i="269"/>
  <c r="Z155" i="269"/>
  <c r="Y155" i="269"/>
  <c r="X155" i="269"/>
  <c r="W155" i="269"/>
  <c r="P155" i="269"/>
  <c r="O155" i="269"/>
  <c r="AD155" i="269" s="1"/>
  <c r="N155" i="269"/>
  <c r="M155" i="269"/>
  <c r="AB155" i="269" s="1"/>
  <c r="AT154" i="269"/>
  <c r="AP154" i="269"/>
  <c r="AI154" i="269"/>
  <c r="AH154" i="269"/>
  <c r="AF154" i="269"/>
  <c r="AE154" i="269"/>
  <c r="AC154" i="269"/>
  <c r="AB154" i="269"/>
  <c r="AA154" i="269"/>
  <c r="Z154" i="269"/>
  <c r="Y154" i="269"/>
  <c r="X154" i="269"/>
  <c r="W154" i="269"/>
  <c r="P154" i="269"/>
  <c r="O154" i="269"/>
  <c r="N154" i="269"/>
  <c r="AO154" i="269" s="1"/>
  <c r="AV154" i="269" s="1"/>
  <c r="M154" i="269"/>
  <c r="AV153" i="269"/>
  <c r="AP153" i="269"/>
  <c r="AO153" i="269"/>
  <c r="AI153" i="269"/>
  <c r="AH153" i="269"/>
  <c r="AF153" i="269"/>
  <c r="AE153" i="269"/>
  <c r="AD153" i="269"/>
  <c r="AC153" i="269"/>
  <c r="AB153" i="269"/>
  <c r="AA153" i="269"/>
  <c r="Z153" i="269"/>
  <c r="Y153" i="269"/>
  <c r="X153" i="269"/>
  <c r="W153" i="269"/>
  <c r="P153" i="269"/>
  <c r="O153" i="269"/>
  <c r="N153" i="269"/>
  <c r="M153" i="269"/>
  <c r="AI152" i="269"/>
  <c r="AH152" i="269"/>
  <c r="W152" i="269"/>
  <c r="AT151" i="269"/>
  <c r="AP151" i="269"/>
  <c r="AI151" i="269"/>
  <c r="AH151" i="269"/>
  <c r="AF151" i="269"/>
  <c r="AE151" i="269"/>
  <c r="AB151" i="269"/>
  <c r="AA151" i="269"/>
  <c r="Z151" i="269"/>
  <c r="Y151" i="269"/>
  <c r="X151" i="269"/>
  <c r="W151" i="269"/>
  <c r="P151" i="269"/>
  <c r="O151" i="269"/>
  <c r="AD151" i="269" s="1"/>
  <c r="N151" i="269"/>
  <c r="M151" i="269"/>
  <c r="AT150" i="269"/>
  <c r="AP150" i="269"/>
  <c r="AI150" i="269"/>
  <c r="AH150" i="269"/>
  <c r="AF150" i="269"/>
  <c r="AE150" i="269"/>
  <c r="AD150" i="269"/>
  <c r="AB150" i="269"/>
  <c r="AA150" i="269"/>
  <c r="Z150" i="269"/>
  <c r="Y150" i="269"/>
  <c r="X150" i="269"/>
  <c r="W150" i="269"/>
  <c r="P150" i="269"/>
  <c r="O150" i="269"/>
  <c r="N150" i="269"/>
  <c r="AO150" i="269" s="1"/>
  <c r="AV150" i="269" s="1"/>
  <c r="M150" i="269"/>
  <c r="AV149" i="269"/>
  <c r="AP149" i="269"/>
  <c r="AO149" i="269"/>
  <c r="AI149" i="269"/>
  <c r="AH149" i="269"/>
  <c r="AF149" i="269"/>
  <c r="AE149" i="269"/>
  <c r="AC149" i="269"/>
  <c r="AA149" i="269"/>
  <c r="Z149" i="269"/>
  <c r="Y149" i="269"/>
  <c r="X149" i="269"/>
  <c r="W149" i="269"/>
  <c r="P149" i="269"/>
  <c r="O149" i="269"/>
  <c r="AD149" i="269" s="1"/>
  <c r="N149" i="269"/>
  <c r="M149" i="269"/>
  <c r="AB149" i="269" s="1"/>
  <c r="AI148" i="269"/>
  <c r="AH148" i="269"/>
  <c r="W148" i="269"/>
  <c r="AT147" i="269"/>
  <c r="AP147" i="269"/>
  <c r="AO147" i="269"/>
  <c r="AV147" i="269" s="1"/>
  <c r="AI147" i="269"/>
  <c r="AH147" i="269"/>
  <c r="AF147" i="269"/>
  <c r="AE147" i="269"/>
  <c r="AC147" i="269"/>
  <c r="AA147" i="269"/>
  <c r="Z147" i="269"/>
  <c r="Y147" i="269"/>
  <c r="X147" i="269"/>
  <c r="W147" i="269"/>
  <c r="P147" i="269"/>
  <c r="O147" i="269"/>
  <c r="AD147" i="269" s="1"/>
  <c r="N147" i="269"/>
  <c r="M147" i="269"/>
  <c r="AB147" i="269" s="1"/>
  <c r="AT146" i="269"/>
  <c r="AP146" i="269"/>
  <c r="AI146" i="269"/>
  <c r="AH146" i="269"/>
  <c r="AF146" i="269"/>
  <c r="AE146" i="269"/>
  <c r="AC146" i="269"/>
  <c r="AB146" i="269"/>
  <c r="AA146" i="269"/>
  <c r="Z146" i="269"/>
  <c r="Y146" i="269"/>
  <c r="X146" i="269"/>
  <c r="W146" i="269"/>
  <c r="P146" i="269"/>
  <c r="O146" i="269"/>
  <c r="N146" i="269"/>
  <c r="AO146" i="269" s="1"/>
  <c r="AV146" i="269" s="1"/>
  <c r="M146" i="269"/>
  <c r="AV145" i="269"/>
  <c r="AP145" i="269"/>
  <c r="AO145" i="269"/>
  <c r="AI145" i="269"/>
  <c r="AH145" i="269"/>
  <c r="AF145" i="269"/>
  <c r="AE145" i="269"/>
  <c r="AD145" i="269"/>
  <c r="AC145" i="269"/>
  <c r="AB145" i="269"/>
  <c r="AA145" i="269"/>
  <c r="Z145" i="269"/>
  <c r="Y145" i="269"/>
  <c r="X145" i="269"/>
  <c r="W145" i="269"/>
  <c r="P145" i="269"/>
  <c r="O145" i="269"/>
  <c r="N145" i="269"/>
  <c r="M145" i="269"/>
  <c r="AT144" i="269"/>
  <c r="AP144" i="269"/>
  <c r="AO144" i="269"/>
  <c r="AV144" i="269" s="1"/>
  <c r="AI144" i="269"/>
  <c r="AH144" i="269"/>
  <c r="AF144" i="269"/>
  <c r="AE144" i="269"/>
  <c r="AD144" i="269"/>
  <c r="AB144" i="269"/>
  <c r="AA144" i="269"/>
  <c r="Z144" i="269"/>
  <c r="Y144" i="269"/>
  <c r="X144" i="269"/>
  <c r="W144" i="269"/>
  <c r="P144" i="269"/>
  <c r="O144" i="269"/>
  <c r="N144" i="269"/>
  <c r="AC144" i="269" s="1"/>
  <c r="M144" i="269"/>
  <c r="AT143" i="269"/>
  <c r="AP143" i="269"/>
  <c r="AI143" i="269"/>
  <c r="AH143" i="269"/>
  <c r="AF143" i="269"/>
  <c r="AE143" i="269"/>
  <c r="AA143" i="269"/>
  <c r="Z143" i="269"/>
  <c r="Y143" i="269"/>
  <c r="X143" i="269"/>
  <c r="W143" i="269"/>
  <c r="P143" i="269"/>
  <c r="O143" i="269"/>
  <c r="N143" i="269"/>
  <c r="AO143" i="269" s="1"/>
  <c r="AV143" i="269" s="1"/>
  <c r="M143" i="269"/>
  <c r="AV142" i="269"/>
  <c r="AP142" i="269"/>
  <c r="AO142" i="269"/>
  <c r="AI142" i="269"/>
  <c r="AH142" i="269"/>
  <c r="AF142" i="269"/>
  <c r="AE142" i="269"/>
  <c r="AA142" i="269"/>
  <c r="Z142" i="269"/>
  <c r="Y142" i="269"/>
  <c r="X142" i="269"/>
  <c r="W142" i="269"/>
  <c r="P142" i="269"/>
  <c r="O142" i="269"/>
  <c r="AD142" i="269" s="1"/>
  <c r="N142" i="269"/>
  <c r="AC142" i="269" s="1"/>
  <c r="M142" i="269"/>
  <c r="AT141" i="269"/>
  <c r="AP141" i="269"/>
  <c r="AI141" i="269"/>
  <c r="AH141" i="269"/>
  <c r="AF141" i="269"/>
  <c r="AE141" i="269"/>
  <c r="AB141" i="269"/>
  <c r="AA141" i="269"/>
  <c r="Z141" i="269"/>
  <c r="Y141" i="269"/>
  <c r="X141" i="269"/>
  <c r="W141" i="269"/>
  <c r="P141" i="269"/>
  <c r="O141" i="269"/>
  <c r="AD141" i="269" s="1"/>
  <c r="N141" i="269"/>
  <c r="AO141" i="269" s="1"/>
  <c r="AV141" i="269" s="1"/>
  <c r="M141" i="269"/>
  <c r="AT140" i="269"/>
  <c r="AP140" i="269"/>
  <c r="AI140" i="269"/>
  <c r="AH140" i="269"/>
  <c r="AF140" i="269"/>
  <c r="AE140" i="269"/>
  <c r="AD140" i="269"/>
  <c r="AB140" i="269"/>
  <c r="AA140" i="269"/>
  <c r="Z140" i="269"/>
  <c r="Y140" i="269"/>
  <c r="X140" i="269"/>
  <c r="W140" i="269"/>
  <c r="P140" i="269"/>
  <c r="O140" i="269"/>
  <c r="N140" i="269"/>
  <c r="M140" i="269"/>
  <c r="AV139" i="269"/>
  <c r="AP139" i="269"/>
  <c r="AO139" i="269"/>
  <c r="AI139" i="269"/>
  <c r="AH139" i="269"/>
  <c r="AF139" i="269"/>
  <c r="AE139" i="269"/>
  <c r="AC139" i="269"/>
  <c r="AA139" i="269"/>
  <c r="Z139" i="269"/>
  <c r="Y139" i="269"/>
  <c r="X139" i="269"/>
  <c r="W139" i="269"/>
  <c r="P139" i="269"/>
  <c r="O139" i="269"/>
  <c r="AD139" i="269" s="1"/>
  <c r="N139" i="269"/>
  <c r="M139" i="269"/>
  <c r="AT138" i="269"/>
  <c r="AP138" i="269"/>
  <c r="AI138" i="269"/>
  <c r="AH138" i="269"/>
  <c r="AF138" i="269"/>
  <c r="AE138" i="269"/>
  <c r="AD138" i="269"/>
  <c r="AC138" i="269"/>
  <c r="AA138" i="269"/>
  <c r="Z138" i="269"/>
  <c r="Y138" i="269"/>
  <c r="X138" i="269"/>
  <c r="W138" i="269"/>
  <c r="P138" i="269"/>
  <c r="O138" i="269"/>
  <c r="N138" i="269"/>
  <c r="AO138" i="269" s="1"/>
  <c r="AV138" i="269" s="1"/>
  <c r="M138" i="269"/>
  <c r="AB138" i="269" s="1"/>
  <c r="AI137" i="269"/>
  <c r="AH137" i="269"/>
  <c r="W137" i="269"/>
  <c r="AT136" i="269"/>
  <c r="AP136" i="269"/>
  <c r="AI136" i="269"/>
  <c r="AH136" i="269"/>
  <c r="AF136" i="269"/>
  <c r="AE136" i="269"/>
  <c r="AD136" i="269"/>
  <c r="AB136" i="269"/>
  <c r="AA136" i="269"/>
  <c r="Z136" i="269"/>
  <c r="Y136" i="269"/>
  <c r="X136" i="269"/>
  <c r="W136" i="269"/>
  <c r="P136" i="269"/>
  <c r="O136" i="269"/>
  <c r="N136" i="269"/>
  <c r="AO136" i="269" s="1"/>
  <c r="AV136" i="269" s="1"/>
  <c r="M136" i="269"/>
  <c r="AV135" i="269"/>
  <c r="AP135" i="269"/>
  <c r="AO135" i="269"/>
  <c r="AI135" i="269"/>
  <c r="AH135" i="269"/>
  <c r="AF135" i="269"/>
  <c r="AE135" i="269"/>
  <c r="AC135" i="269"/>
  <c r="AA135" i="269"/>
  <c r="Z135" i="269"/>
  <c r="Y135" i="269"/>
  <c r="X135" i="269"/>
  <c r="W135" i="269"/>
  <c r="P135" i="269"/>
  <c r="O135" i="269"/>
  <c r="AD135" i="269" s="1"/>
  <c r="N135" i="269"/>
  <c r="M135" i="269"/>
  <c r="AB135" i="269" s="1"/>
  <c r="AT134" i="269"/>
  <c r="AP134" i="269"/>
  <c r="AO134" i="269"/>
  <c r="AV134" i="269" s="1"/>
  <c r="AI134" i="269"/>
  <c r="AH134" i="269"/>
  <c r="AF134" i="269"/>
  <c r="AE134" i="269"/>
  <c r="AD134" i="269"/>
  <c r="AC134" i="269"/>
  <c r="AA134" i="269"/>
  <c r="Z134" i="269"/>
  <c r="Y134" i="269"/>
  <c r="X134" i="269"/>
  <c r="W134" i="269"/>
  <c r="P134" i="269"/>
  <c r="O134" i="269"/>
  <c r="N134" i="269"/>
  <c r="M134" i="269"/>
  <c r="AI133" i="269"/>
  <c r="AH133" i="269"/>
  <c r="W133" i="269"/>
  <c r="AT132" i="269"/>
  <c r="AP132" i="269"/>
  <c r="AI132" i="269"/>
  <c r="AH132" i="269"/>
  <c r="AF132" i="269"/>
  <c r="AE132" i="269"/>
  <c r="AD132" i="269"/>
  <c r="AB132" i="269"/>
  <c r="AA132" i="269"/>
  <c r="Z132" i="269"/>
  <c r="Y132" i="269"/>
  <c r="X132" i="269"/>
  <c r="W132" i="269"/>
  <c r="P132" i="269"/>
  <c r="O132" i="269"/>
  <c r="N132" i="269"/>
  <c r="AO132" i="269" s="1"/>
  <c r="AV132" i="269" s="1"/>
  <c r="M132" i="269"/>
  <c r="AP131" i="269"/>
  <c r="AO131" i="269"/>
  <c r="AV131" i="269" s="1"/>
  <c r="AI131" i="269"/>
  <c r="AH131" i="269"/>
  <c r="AF131" i="269"/>
  <c r="AE131" i="269"/>
  <c r="AC131" i="269"/>
  <c r="AA131" i="269"/>
  <c r="Z131" i="269"/>
  <c r="Y131" i="269"/>
  <c r="X131" i="269"/>
  <c r="W131" i="269"/>
  <c r="P131" i="269"/>
  <c r="O131" i="269"/>
  <c r="N131" i="269"/>
  <c r="M131" i="269"/>
  <c r="AB131" i="269" s="1"/>
  <c r="AV130" i="269"/>
  <c r="AP130" i="269"/>
  <c r="AO130" i="269"/>
  <c r="AI130" i="269"/>
  <c r="AT130" i="269" s="1"/>
  <c r="AH130" i="269"/>
  <c r="AF130" i="269"/>
  <c r="AE130" i="269"/>
  <c r="AD130" i="269"/>
  <c r="AC130" i="269"/>
  <c r="AA130" i="269"/>
  <c r="Z130" i="269"/>
  <c r="Y130" i="269"/>
  <c r="X130" i="269"/>
  <c r="W130" i="269"/>
  <c r="P130" i="269"/>
  <c r="O130" i="269"/>
  <c r="N130" i="269"/>
  <c r="M130" i="269"/>
  <c r="AT129" i="269"/>
  <c r="AP129" i="269"/>
  <c r="AI129" i="269"/>
  <c r="AH129" i="269"/>
  <c r="AF129" i="269"/>
  <c r="AE129" i="269"/>
  <c r="AC129" i="269"/>
  <c r="AA129" i="269"/>
  <c r="Z129" i="269"/>
  <c r="Y129" i="269"/>
  <c r="X129" i="269"/>
  <c r="W129" i="269"/>
  <c r="P129" i="269"/>
  <c r="O129" i="269"/>
  <c r="AD129" i="269" s="1"/>
  <c r="N129" i="269"/>
  <c r="AO129" i="269" s="1"/>
  <c r="AV129" i="269" s="1"/>
  <c r="M129" i="269"/>
  <c r="AI128" i="269"/>
  <c r="AH128" i="269"/>
  <c r="W128" i="269"/>
  <c r="AP127" i="269"/>
  <c r="AO127" i="269"/>
  <c r="AV127" i="269" s="1"/>
  <c r="AI127" i="269"/>
  <c r="AH127" i="269"/>
  <c r="AF127" i="269"/>
  <c r="AE127" i="269"/>
  <c r="AD127" i="269"/>
  <c r="AA127" i="269"/>
  <c r="Z127" i="269"/>
  <c r="Y127" i="269"/>
  <c r="X127" i="269"/>
  <c r="W127" i="269"/>
  <c r="P127" i="269"/>
  <c r="O127" i="269"/>
  <c r="N127" i="269"/>
  <c r="AC127" i="269" s="1"/>
  <c r="M127" i="269"/>
  <c r="AB127" i="269" s="1"/>
  <c r="AT126" i="269"/>
  <c r="AP126" i="269"/>
  <c r="AO126" i="269"/>
  <c r="AV126" i="269" s="1"/>
  <c r="AI126" i="269"/>
  <c r="AH126" i="269"/>
  <c r="AF126" i="269"/>
  <c r="AE126" i="269"/>
  <c r="AC126" i="269"/>
  <c r="AA126" i="269"/>
  <c r="Z126" i="269"/>
  <c r="Y126" i="269"/>
  <c r="X126" i="269"/>
  <c r="W126" i="269"/>
  <c r="P126" i="269"/>
  <c r="O126" i="269"/>
  <c r="N126" i="269"/>
  <c r="M126" i="269"/>
  <c r="AP125" i="269"/>
  <c r="AI125" i="269"/>
  <c r="AH125" i="269"/>
  <c r="AF125" i="269"/>
  <c r="AE125" i="269"/>
  <c r="AD125" i="269"/>
  <c r="AB125" i="269"/>
  <c r="AA125" i="269"/>
  <c r="Z125" i="269"/>
  <c r="Y125" i="269"/>
  <c r="X125" i="269"/>
  <c r="W125" i="269"/>
  <c r="P125" i="269"/>
  <c r="O125" i="269"/>
  <c r="N125" i="269"/>
  <c r="M125" i="269"/>
  <c r="AI124" i="269"/>
  <c r="AH124" i="269"/>
  <c r="W124" i="269"/>
  <c r="AP123" i="269"/>
  <c r="AI123" i="269"/>
  <c r="AT123" i="269" s="1"/>
  <c r="AH123" i="269"/>
  <c r="AF123" i="269"/>
  <c r="AE123" i="269"/>
  <c r="AD123" i="269"/>
  <c r="AB123" i="269"/>
  <c r="AA123" i="269"/>
  <c r="Z123" i="269"/>
  <c r="Y123" i="269"/>
  <c r="X123" i="269"/>
  <c r="W123" i="269"/>
  <c r="P123" i="269"/>
  <c r="O123" i="269"/>
  <c r="N123" i="269"/>
  <c r="AC123" i="269" s="1"/>
  <c r="M123" i="269"/>
  <c r="AP122" i="269"/>
  <c r="AO122" i="269"/>
  <c r="AV122" i="269" s="1"/>
  <c r="AI122" i="269"/>
  <c r="AH122" i="269"/>
  <c r="AF122" i="269"/>
  <c r="AE122" i="269"/>
  <c r="AC122" i="269"/>
  <c r="AA122" i="269"/>
  <c r="Z122" i="269"/>
  <c r="Y122" i="269"/>
  <c r="X122" i="269"/>
  <c r="W122" i="269"/>
  <c r="P122" i="269"/>
  <c r="O122" i="269"/>
  <c r="AD122" i="269" s="1"/>
  <c r="N122" i="269"/>
  <c r="M122" i="269"/>
  <c r="AP121" i="269"/>
  <c r="AI121" i="269"/>
  <c r="AH121" i="269"/>
  <c r="AF121" i="269"/>
  <c r="AE121" i="269"/>
  <c r="AD121" i="269"/>
  <c r="AB121" i="269"/>
  <c r="AA121" i="269"/>
  <c r="Z121" i="269"/>
  <c r="Y121" i="269"/>
  <c r="X121" i="269"/>
  <c r="W121" i="269"/>
  <c r="P121" i="269"/>
  <c r="O121" i="269"/>
  <c r="N121" i="269"/>
  <c r="M121" i="269"/>
  <c r="AT120" i="269"/>
  <c r="AP120" i="269"/>
  <c r="AO120" i="269"/>
  <c r="AV120" i="269" s="1"/>
  <c r="AI120" i="269"/>
  <c r="AH120" i="269"/>
  <c r="AF120" i="269"/>
  <c r="AE120" i="269"/>
  <c r="AC120" i="269"/>
  <c r="AA120" i="269"/>
  <c r="Z120" i="269"/>
  <c r="Y120" i="269"/>
  <c r="X120" i="269"/>
  <c r="W120" i="269"/>
  <c r="P120" i="269"/>
  <c r="O120" i="269"/>
  <c r="AD120" i="269" s="1"/>
  <c r="N120" i="269"/>
  <c r="M120" i="269"/>
  <c r="AP119" i="269"/>
  <c r="AO119" i="269"/>
  <c r="AV119" i="269" s="1"/>
  <c r="AI119" i="269"/>
  <c r="AH119" i="269"/>
  <c r="AF119" i="269"/>
  <c r="AE119" i="269"/>
  <c r="AD119" i="269"/>
  <c r="AB119" i="269"/>
  <c r="AA119" i="269"/>
  <c r="Z119" i="269"/>
  <c r="Y119" i="269"/>
  <c r="X119" i="269"/>
  <c r="W119" i="269"/>
  <c r="P119" i="269"/>
  <c r="O119" i="269"/>
  <c r="N119" i="269"/>
  <c r="AC119" i="269" s="1"/>
  <c r="M119" i="269"/>
  <c r="AT118" i="269"/>
  <c r="AP118" i="269"/>
  <c r="AI118" i="269"/>
  <c r="AH118" i="269"/>
  <c r="AF118" i="269"/>
  <c r="AE118" i="269"/>
  <c r="AC118" i="269"/>
  <c r="AA118" i="269"/>
  <c r="Z118" i="269"/>
  <c r="Y118" i="269"/>
  <c r="X118" i="269"/>
  <c r="W118" i="269"/>
  <c r="P118" i="269"/>
  <c r="O118" i="269"/>
  <c r="N118" i="269"/>
  <c r="AO118" i="269" s="1"/>
  <c r="AV118" i="269" s="1"/>
  <c r="M118" i="269"/>
  <c r="AP117" i="269"/>
  <c r="AI117" i="269"/>
  <c r="AT117" i="269" s="1"/>
  <c r="AH117" i="269"/>
  <c r="AF117" i="269"/>
  <c r="AE117" i="269"/>
  <c r="AD117" i="269"/>
  <c r="AB117" i="269"/>
  <c r="AA117" i="269"/>
  <c r="Z117" i="269"/>
  <c r="Y117" i="269"/>
  <c r="X117" i="269"/>
  <c r="W117" i="269"/>
  <c r="P117" i="269"/>
  <c r="O117" i="269"/>
  <c r="AQ117" i="269" s="1"/>
  <c r="N117" i="269"/>
  <c r="M117" i="269"/>
  <c r="AP116" i="269"/>
  <c r="AO116" i="269"/>
  <c r="AV116" i="269" s="1"/>
  <c r="AI116" i="269"/>
  <c r="AH116" i="269"/>
  <c r="AF116" i="269"/>
  <c r="AE116" i="269"/>
  <c r="AC116" i="269"/>
  <c r="AB116" i="269"/>
  <c r="AA116" i="269"/>
  <c r="Z116" i="269"/>
  <c r="Y116" i="269"/>
  <c r="X116" i="269"/>
  <c r="W116" i="269"/>
  <c r="P116" i="269"/>
  <c r="O116" i="269"/>
  <c r="AD116" i="269" s="1"/>
  <c r="N116" i="269"/>
  <c r="M116" i="269"/>
  <c r="AT115" i="269"/>
  <c r="AP115" i="269"/>
  <c r="AI115" i="269"/>
  <c r="AH115" i="269"/>
  <c r="AF115" i="269"/>
  <c r="AE115" i="269"/>
  <c r="AD115" i="269"/>
  <c r="AB115" i="269"/>
  <c r="AA115" i="269"/>
  <c r="Z115" i="269"/>
  <c r="Y115" i="269"/>
  <c r="X115" i="269"/>
  <c r="W115" i="269"/>
  <c r="P115" i="269"/>
  <c r="O115" i="269"/>
  <c r="N115" i="269"/>
  <c r="AO115" i="269" s="1"/>
  <c r="AV115" i="269" s="1"/>
  <c r="M115" i="269"/>
  <c r="AT114" i="269"/>
  <c r="AP114" i="269"/>
  <c r="AO114" i="269"/>
  <c r="AV114" i="269" s="1"/>
  <c r="AI114" i="269"/>
  <c r="AH114" i="269"/>
  <c r="AF114" i="269"/>
  <c r="AE114" i="269"/>
  <c r="AC114" i="269"/>
  <c r="AA114" i="269"/>
  <c r="Z114" i="269"/>
  <c r="Y114" i="269"/>
  <c r="X114" i="269"/>
  <c r="W114" i="269"/>
  <c r="P114" i="269"/>
  <c r="O114" i="269"/>
  <c r="N114" i="269"/>
  <c r="M114" i="269"/>
  <c r="AV113" i="269"/>
  <c r="AP113" i="269"/>
  <c r="AO113" i="269"/>
  <c r="AI113" i="269"/>
  <c r="AH113" i="269"/>
  <c r="AF113" i="269"/>
  <c r="AE113" i="269"/>
  <c r="AD113" i="269"/>
  <c r="AA113" i="269"/>
  <c r="Z113" i="269"/>
  <c r="Y113" i="269"/>
  <c r="X113" i="269"/>
  <c r="W113" i="269"/>
  <c r="P113" i="269"/>
  <c r="O113" i="269"/>
  <c r="N113" i="269"/>
  <c r="AC113" i="269" s="1"/>
  <c r="M113" i="269"/>
  <c r="AB113" i="269" s="1"/>
  <c r="AT112" i="269"/>
  <c r="AP112" i="269"/>
  <c r="AI112" i="269"/>
  <c r="AN112" i="269" s="1"/>
  <c r="AH112" i="269"/>
  <c r="AF112" i="269"/>
  <c r="AE112" i="269"/>
  <c r="AA112" i="269"/>
  <c r="Z112" i="269"/>
  <c r="Y112" i="269"/>
  <c r="X112" i="269"/>
  <c r="W112" i="269"/>
  <c r="P112" i="269"/>
  <c r="O112" i="269"/>
  <c r="N112" i="269"/>
  <c r="M112" i="269"/>
  <c r="AP111" i="269"/>
  <c r="AI111" i="269"/>
  <c r="AT111" i="269" s="1"/>
  <c r="AH111" i="269"/>
  <c r="AF111" i="269"/>
  <c r="AE111" i="269"/>
  <c r="AB111" i="269"/>
  <c r="AA111" i="269"/>
  <c r="Z111" i="269"/>
  <c r="Y111" i="269"/>
  <c r="X111" i="269"/>
  <c r="W111" i="269"/>
  <c r="P111" i="269"/>
  <c r="O111" i="269"/>
  <c r="N111" i="269"/>
  <c r="M111" i="269"/>
  <c r="AP110" i="269"/>
  <c r="AO110" i="269"/>
  <c r="AV110" i="269" s="1"/>
  <c r="AI110" i="269"/>
  <c r="AH110" i="269"/>
  <c r="AF110" i="269"/>
  <c r="AE110" i="269"/>
  <c r="AC110" i="269"/>
  <c r="AA110" i="269"/>
  <c r="Z110" i="269"/>
  <c r="Y110" i="269"/>
  <c r="X110" i="269"/>
  <c r="W110" i="269"/>
  <c r="P110" i="269"/>
  <c r="O110" i="269"/>
  <c r="AD110" i="269" s="1"/>
  <c r="N110" i="269"/>
  <c r="M110" i="269"/>
  <c r="AB110" i="269" s="1"/>
  <c r="AR109" i="269"/>
  <c r="AP109" i="269"/>
  <c r="AI109" i="269"/>
  <c r="AT109" i="269" s="1"/>
  <c r="AH109" i="269"/>
  <c r="AF109" i="269"/>
  <c r="AE109" i="269"/>
  <c r="AD109" i="269"/>
  <c r="AC109" i="269"/>
  <c r="AB109" i="269"/>
  <c r="AA109" i="269"/>
  <c r="Z109" i="269"/>
  <c r="Y109" i="269"/>
  <c r="X109" i="269"/>
  <c r="W109" i="269"/>
  <c r="P109" i="269"/>
  <c r="O109" i="269"/>
  <c r="N109" i="269"/>
  <c r="AO109" i="269" s="1"/>
  <c r="AV109" i="269" s="1"/>
  <c r="M109" i="269"/>
  <c r="AT108" i="269"/>
  <c r="AP108" i="269"/>
  <c r="AO108" i="269"/>
  <c r="AV108" i="269" s="1"/>
  <c r="AN108" i="269"/>
  <c r="AI108" i="269"/>
  <c r="AH108" i="269"/>
  <c r="AF108" i="269"/>
  <c r="AE108" i="269"/>
  <c r="AD108" i="269"/>
  <c r="AC108" i="269"/>
  <c r="AA108" i="269"/>
  <c r="Z108" i="269"/>
  <c r="Y108" i="269"/>
  <c r="X108" i="269"/>
  <c r="W108" i="269"/>
  <c r="P108" i="269"/>
  <c r="O108" i="269"/>
  <c r="N108" i="269"/>
  <c r="M108" i="269"/>
  <c r="AI107" i="269"/>
  <c r="AH107" i="269"/>
  <c r="W107" i="269"/>
  <c r="AP106" i="269"/>
  <c r="AO106" i="269"/>
  <c r="AV106" i="269" s="1"/>
  <c r="AI106" i="269"/>
  <c r="AH106" i="269"/>
  <c r="AF106" i="269"/>
  <c r="AE106" i="269"/>
  <c r="AC106" i="269"/>
  <c r="AB106" i="269"/>
  <c r="AA106" i="269"/>
  <c r="Z106" i="269"/>
  <c r="Y106" i="269"/>
  <c r="X106" i="269"/>
  <c r="W106" i="269"/>
  <c r="P106" i="269"/>
  <c r="O106" i="269"/>
  <c r="AD106" i="269" s="1"/>
  <c r="N106" i="269"/>
  <c r="M106" i="269"/>
  <c r="AT105" i="269"/>
  <c r="AP105" i="269"/>
  <c r="AI105" i="269"/>
  <c r="AH105" i="269"/>
  <c r="AF105" i="269"/>
  <c r="AE105" i="269"/>
  <c r="AD105" i="269"/>
  <c r="AB105" i="269"/>
  <c r="AA105" i="269"/>
  <c r="Z105" i="269"/>
  <c r="Y105" i="269"/>
  <c r="X105" i="269"/>
  <c r="W105" i="269"/>
  <c r="P105" i="269"/>
  <c r="O105" i="269"/>
  <c r="N105" i="269"/>
  <c r="AO105" i="269" s="1"/>
  <c r="AV105" i="269" s="1"/>
  <c r="M105" i="269"/>
  <c r="AT104" i="269"/>
  <c r="AP104" i="269"/>
  <c r="AO104" i="269"/>
  <c r="AV104" i="269" s="1"/>
  <c r="AJ104" i="269"/>
  <c r="AI104" i="269"/>
  <c r="AH104" i="269"/>
  <c r="AF104" i="269"/>
  <c r="AE104" i="269"/>
  <c r="AC104" i="269"/>
  <c r="AA104" i="269"/>
  <c r="Z104" i="269"/>
  <c r="Y104" i="269"/>
  <c r="X104" i="269"/>
  <c r="W104" i="269"/>
  <c r="P104" i="269"/>
  <c r="O104" i="269"/>
  <c r="AQ104" i="269" s="1"/>
  <c r="N104" i="269"/>
  <c r="M104" i="269"/>
  <c r="AV103" i="269"/>
  <c r="AP103" i="269"/>
  <c r="AO103" i="269"/>
  <c r="AI103" i="269"/>
  <c r="AH103" i="269"/>
  <c r="AF103" i="269"/>
  <c r="AE103" i="269"/>
  <c r="AD103" i="269"/>
  <c r="AA103" i="269"/>
  <c r="Z103" i="269"/>
  <c r="Y103" i="269"/>
  <c r="X103" i="269"/>
  <c r="W103" i="269"/>
  <c r="P103" i="269"/>
  <c r="O103" i="269"/>
  <c r="N103" i="269"/>
  <c r="AC103" i="269" s="1"/>
  <c r="M103" i="269"/>
  <c r="AB103" i="269" s="1"/>
  <c r="AT102" i="269"/>
  <c r="AP102" i="269"/>
  <c r="AI102" i="269"/>
  <c r="AN102" i="269" s="1"/>
  <c r="AH102" i="269"/>
  <c r="AF102" i="269"/>
  <c r="AE102" i="269"/>
  <c r="AA102" i="269"/>
  <c r="Z102" i="269"/>
  <c r="Y102" i="269"/>
  <c r="X102" i="269"/>
  <c r="W102" i="269"/>
  <c r="P102" i="269"/>
  <c r="O102" i="269"/>
  <c r="N102" i="269"/>
  <c r="M102" i="269"/>
  <c r="AP101" i="269"/>
  <c r="AI101" i="269"/>
  <c r="AT101" i="269" s="1"/>
  <c r="AH101" i="269"/>
  <c r="AF101" i="269"/>
  <c r="AE101" i="269"/>
  <c r="AB101" i="269"/>
  <c r="AA101" i="269"/>
  <c r="Z101" i="269"/>
  <c r="Y101" i="269"/>
  <c r="X101" i="269"/>
  <c r="W101" i="269"/>
  <c r="P101" i="269"/>
  <c r="O101" i="269"/>
  <c r="N101" i="269"/>
  <c r="M101" i="269"/>
  <c r="AP100" i="269"/>
  <c r="AO100" i="269"/>
  <c r="AV100" i="269" s="1"/>
  <c r="AI100" i="269"/>
  <c r="AH100" i="269"/>
  <c r="AF100" i="269"/>
  <c r="AE100" i="269"/>
  <c r="AC100" i="269"/>
  <c r="AA100" i="269"/>
  <c r="Z100" i="269"/>
  <c r="Y100" i="269"/>
  <c r="X100" i="269"/>
  <c r="W100" i="269"/>
  <c r="P100" i="269"/>
  <c r="O100" i="269"/>
  <c r="AD100" i="269" s="1"/>
  <c r="N100" i="269"/>
  <c r="M100" i="269"/>
  <c r="AB100" i="269" s="1"/>
  <c r="AI99" i="269"/>
  <c r="AH99" i="269"/>
  <c r="W99" i="269"/>
  <c r="AT98" i="269"/>
  <c r="AP98" i="269"/>
  <c r="AJ98" i="269"/>
  <c r="AI98" i="269"/>
  <c r="AH98" i="269"/>
  <c r="AF98" i="269"/>
  <c r="AE98" i="269"/>
  <c r="AA98" i="269"/>
  <c r="Z98" i="269"/>
  <c r="Y98" i="269"/>
  <c r="X98" i="269"/>
  <c r="W98" i="269"/>
  <c r="P98" i="269"/>
  <c r="O98" i="269"/>
  <c r="N98" i="269"/>
  <c r="AO98" i="269" s="1"/>
  <c r="AV98" i="269" s="1"/>
  <c r="M98" i="269"/>
  <c r="AP97" i="269"/>
  <c r="AN97" i="269"/>
  <c r="AI97" i="269"/>
  <c r="AT97" i="269" s="1"/>
  <c r="AH97" i="269"/>
  <c r="AF97" i="269"/>
  <c r="AE97" i="269"/>
  <c r="AB97" i="269"/>
  <c r="AA97" i="269"/>
  <c r="Z97" i="269"/>
  <c r="Y97" i="269"/>
  <c r="X97" i="269"/>
  <c r="W97" i="269"/>
  <c r="P97" i="269"/>
  <c r="O97" i="269"/>
  <c r="AD97" i="269" s="1"/>
  <c r="N97" i="269"/>
  <c r="M97" i="269"/>
  <c r="AV96" i="269"/>
  <c r="AP96" i="269"/>
  <c r="AO96" i="269"/>
  <c r="AI96" i="269"/>
  <c r="AH96" i="269"/>
  <c r="AF96" i="269"/>
  <c r="AE96" i="269"/>
  <c r="AC96" i="269"/>
  <c r="AB96" i="269"/>
  <c r="AA96" i="269"/>
  <c r="Z96" i="269"/>
  <c r="Y96" i="269"/>
  <c r="X96" i="269"/>
  <c r="W96" i="269"/>
  <c r="P96" i="269"/>
  <c r="O96" i="269"/>
  <c r="AD96" i="269" s="1"/>
  <c r="N96" i="269"/>
  <c r="M96" i="269"/>
  <c r="AR96" i="269" s="1"/>
  <c r="AT95" i="269"/>
  <c r="AP95" i="269"/>
  <c r="AI95" i="269"/>
  <c r="AH95" i="269"/>
  <c r="AF95" i="269"/>
  <c r="AE95" i="269"/>
  <c r="AD95" i="269"/>
  <c r="AB95" i="269"/>
  <c r="AA95" i="269"/>
  <c r="Z95" i="269"/>
  <c r="Y95" i="269"/>
  <c r="X95" i="269"/>
  <c r="W95" i="269"/>
  <c r="P95" i="269"/>
  <c r="O95" i="269"/>
  <c r="N95" i="269"/>
  <c r="M95" i="269"/>
  <c r="AT94" i="269"/>
  <c r="AP94" i="269"/>
  <c r="AO94" i="269"/>
  <c r="AV94" i="269" s="1"/>
  <c r="AI94" i="269"/>
  <c r="AH94" i="269"/>
  <c r="AF94" i="269"/>
  <c r="AE94" i="269"/>
  <c r="AD94" i="269"/>
  <c r="AC94" i="269"/>
  <c r="AA94" i="269"/>
  <c r="Z94" i="269"/>
  <c r="Y94" i="269"/>
  <c r="X94" i="269"/>
  <c r="W94" i="269"/>
  <c r="P94" i="269"/>
  <c r="O94" i="269"/>
  <c r="N94" i="269"/>
  <c r="M94" i="269"/>
  <c r="AV93" i="269"/>
  <c r="AP93" i="269"/>
  <c r="AO93" i="269"/>
  <c r="AI93" i="269"/>
  <c r="AH93" i="269"/>
  <c r="AF93" i="269"/>
  <c r="AE93" i="269"/>
  <c r="AD93" i="269"/>
  <c r="AA93" i="269"/>
  <c r="Z93" i="269"/>
  <c r="Y93" i="269"/>
  <c r="X93" i="269"/>
  <c r="W93" i="269"/>
  <c r="P93" i="269"/>
  <c r="O93" i="269"/>
  <c r="N93" i="269"/>
  <c r="AC93" i="269" s="1"/>
  <c r="M93" i="269"/>
  <c r="AT92" i="269"/>
  <c r="AP92" i="269"/>
  <c r="AO92" i="269"/>
  <c r="AV92" i="269" s="1"/>
  <c r="AI92" i="269"/>
  <c r="AH92" i="269"/>
  <c r="AF92" i="269"/>
  <c r="AE92" i="269"/>
  <c r="AC92" i="269"/>
  <c r="AA92" i="269"/>
  <c r="Z92" i="269"/>
  <c r="Y92" i="269"/>
  <c r="X92" i="269"/>
  <c r="W92" i="269"/>
  <c r="P92" i="269"/>
  <c r="O92" i="269"/>
  <c r="N92" i="269"/>
  <c r="M92" i="269"/>
  <c r="AP91" i="269"/>
  <c r="AI91" i="269"/>
  <c r="AT91" i="269" s="1"/>
  <c r="AH91" i="269"/>
  <c r="AF91" i="269"/>
  <c r="AE91" i="269"/>
  <c r="AD91" i="269"/>
  <c r="AB91" i="269"/>
  <c r="AA91" i="269"/>
  <c r="Z91" i="269"/>
  <c r="Y91" i="269"/>
  <c r="X91" i="269"/>
  <c r="W91" i="269"/>
  <c r="P91" i="269"/>
  <c r="O91" i="269"/>
  <c r="N91" i="269"/>
  <c r="M91" i="269"/>
  <c r="AP90" i="269"/>
  <c r="AO90" i="269"/>
  <c r="AV90" i="269" s="1"/>
  <c r="AI90" i="269"/>
  <c r="AH90" i="269"/>
  <c r="AF90" i="269"/>
  <c r="AE90" i="269"/>
  <c r="AC90" i="269"/>
  <c r="AA90" i="269"/>
  <c r="Z90" i="269"/>
  <c r="Y90" i="269"/>
  <c r="X90" i="269"/>
  <c r="W90" i="269"/>
  <c r="P90" i="269"/>
  <c r="O90" i="269"/>
  <c r="AD90" i="269" s="1"/>
  <c r="N90" i="269"/>
  <c r="M90" i="269"/>
  <c r="AT89" i="269"/>
  <c r="AP89" i="269"/>
  <c r="AI89" i="269"/>
  <c r="AH89" i="269"/>
  <c r="AF89" i="269"/>
  <c r="AE89" i="269"/>
  <c r="AD89" i="269"/>
  <c r="AC89" i="269"/>
  <c r="AB89" i="269"/>
  <c r="AA89" i="269"/>
  <c r="Z89" i="269"/>
  <c r="Y89" i="269"/>
  <c r="X89" i="269"/>
  <c r="W89" i="269"/>
  <c r="P89" i="269"/>
  <c r="O89" i="269"/>
  <c r="N89" i="269"/>
  <c r="AO89" i="269" s="1"/>
  <c r="AV89" i="269" s="1"/>
  <c r="M89" i="269"/>
  <c r="AT88" i="269"/>
  <c r="AP88" i="269"/>
  <c r="AO88" i="269"/>
  <c r="AV88" i="269" s="1"/>
  <c r="AI88" i="269"/>
  <c r="AH88" i="269"/>
  <c r="AF88" i="269"/>
  <c r="AE88" i="269"/>
  <c r="AC88" i="269"/>
  <c r="AA88" i="269"/>
  <c r="Z88" i="269"/>
  <c r="Y88" i="269"/>
  <c r="X88" i="269"/>
  <c r="W88" i="269"/>
  <c r="P88" i="269"/>
  <c r="O88" i="269"/>
  <c r="AD88" i="269" s="1"/>
  <c r="N88" i="269"/>
  <c r="M88" i="269"/>
  <c r="AI87" i="269"/>
  <c r="AH87" i="269"/>
  <c r="W87" i="269"/>
  <c r="AV86" i="269"/>
  <c r="AP86" i="269"/>
  <c r="AO86" i="269"/>
  <c r="AI86" i="269"/>
  <c r="AH86" i="269"/>
  <c r="AF86" i="269"/>
  <c r="AE86" i="269"/>
  <c r="AC86" i="269"/>
  <c r="AB86" i="269"/>
  <c r="AA86" i="269"/>
  <c r="Z86" i="269"/>
  <c r="Y86" i="269"/>
  <c r="X86" i="269"/>
  <c r="W86" i="269"/>
  <c r="P86" i="269"/>
  <c r="O86" i="269"/>
  <c r="AD86" i="269" s="1"/>
  <c r="N86" i="269"/>
  <c r="M86" i="269"/>
  <c r="AT85" i="269"/>
  <c r="AP85" i="269"/>
  <c r="AI85" i="269"/>
  <c r="AH85" i="269"/>
  <c r="AF85" i="269"/>
  <c r="AE85" i="269"/>
  <c r="AD85" i="269"/>
  <c r="AB85" i="269"/>
  <c r="AA85" i="269"/>
  <c r="Z85" i="269"/>
  <c r="Y85" i="269"/>
  <c r="X85" i="269"/>
  <c r="W85" i="269"/>
  <c r="P85" i="269"/>
  <c r="O85" i="269"/>
  <c r="N85" i="269"/>
  <c r="M85" i="269"/>
  <c r="AT84" i="269"/>
  <c r="AP84" i="269"/>
  <c r="AO84" i="269"/>
  <c r="AV84" i="269" s="1"/>
  <c r="AI84" i="269"/>
  <c r="AH84" i="269"/>
  <c r="AF84" i="269"/>
  <c r="AE84" i="269"/>
  <c r="AD84" i="269"/>
  <c r="AC84" i="269"/>
  <c r="AA84" i="269"/>
  <c r="Z84" i="269"/>
  <c r="Y84" i="269"/>
  <c r="X84" i="269"/>
  <c r="W84" i="269"/>
  <c r="P84" i="269"/>
  <c r="O84" i="269"/>
  <c r="N84" i="269"/>
  <c r="M84" i="269"/>
  <c r="AV83" i="269"/>
  <c r="AP83" i="269"/>
  <c r="AO83" i="269"/>
  <c r="AI83" i="269"/>
  <c r="AH83" i="269"/>
  <c r="AF83" i="269"/>
  <c r="AE83" i="269"/>
  <c r="AD83" i="269"/>
  <c r="AA83" i="269"/>
  <c r="Z83" i="269"/>
  <c r="Y83" i="269"/>
  <c r="X83" i="269"/>
  <c r="W83" i="269"/>
  <c r="P83" i="269"/>
  <c r="O83" i="269"/>
  <c r="N83" i="269"/>
  <c r="AC83" i="269" s="1"/>
  <c r="M83" i="269"/>
  <c r="AT82" i="269"/>
  <c r="AP82" i="269"/>
  <c r="AO82" i="269"/>
  <c r="AV82" i="269" s="1"/>
  <c r="AI82" i="269"/>
  <c r="AH82" i="269"/>
  <c r="AF82" i="269"/>
  <c r="AE82" i="269"/>
  <c r="AC82" i="269"/>
  <c r="AA82" i="269"/>
  <c r="Z82" i="269"/>
  <c r="Y82" i="269"/>
  <c r="X82" i="269"/>
  <c r="W82" i="269"/>
  <c r="P82" i="269"/>
  <c r="O82" i="269"/>
  <c r="N82" i="269"/>
  <c r="M82" i="269"/>
  <c r="AI81" i="269"/>
  <c r="AH81" i="269"/>
  <c r="W81" i="269"/>
  <c r="AT80" i="269"/>
  <c r="AP80" i="269"/>
  <c r="AO80" i="269"/>
  <c r="AV80" i="269" s="1"/>
  <c r="AI80" i="269"/>
  <c r="AH80" i="269"/>
  <c r="AF80" i="269"/>
  <c r="AE80" i="269"/>
  <c r="AD80" i="269"/>
  <c r="AC80" i="269"/>
  <c r="AA80" i="269"/>
  <c r="Z80" i="269"/>
  <c r="Y80" i="269"/>
  <c r="X80" i="269"/>
  <c r="W80" i="269"/>
  <c r="P80" i="269"/>
  <c r="O80" i="269"/>
  <c r="N80" i="269"/>
  <c r="M80" i="269"/>
  <c r="AV79" i="269"/>
  <c r="AP79" i="269"/>
  <c r="AO79" i="269"/>
  <c r="AI79" i="269"/>
  <c r="AH79" i="269"/>
  <c r="AF79" i="269"/>
  <c r="AE79" i="269"/>
  <c r="AD79" i="269"/>
  <c r="AA79" i="269"/>
  <c r="Z79" i="269"/>
  <c r="Y79" i="269"/>
  <c r="X79" i="269"/>
  <c r="W79" i="269"/>
  <c r="P79" i="269"/>
  <c r="O79" i="269"/>
  <c r="AQ79" i="269" s="1"/>
  <c r="N79" i="269"/>
  <c r="AC79" i="269" s="1"/>
  <c r="M79" i="269"/>
  <c r="AT78" i="269"/>
  <c r="AP78" i="269"/>
  <c r="AO78" i="269"/>
  <c r="AV78" i="269" s="1"/>
  <c r="AI78" i="269"/>
  <c r="AH78" i="269"/>
  <c r="AF78" i="269"/>
  <c r="AE78" i="269"/>
  <c r="AC78" i="269"/>
  <c r="AA78" i="269"/>
  <c r="Z78" i="269"/>
  <c r="Y78" i="269"/>
  <c r="X78" i="269"/>
  <c r="W78" i="269"/>
  <c r="P78" i="269"/>
  <c r="O78" i="269"/>
  <c r="AD78" i="269" s="1"/>
  <c r="N78" i="269"/>
  <c r="M78" i="269"/>
  <c r="AP77" i="269"/>
  <c r="AI77" i="269"/>
  <c r="AH77" i="269"/>
  <c r="AF77" i="269"/>
  <c r="AE77" i="269"/>
  <c r="AB77" i="269"/>
  <c r="AA77" i="269"/>
  <c r="Z77" i="269"/>
  <c r="Y77" i="269"/>
  <c r="X77" i="269"/>
  <c r="W77" i="269"/>
  <c r="P77" i="269"/>
  <c r="O77" i="269"/>
  <c r="N77" i="269"/>
  <c r="M77" i="269"/>
  <c r="AP76" i="269"/>
  <c r="AO76" i="269"/>
  <c r="AV76" i="269" s="1"/>
  <c r="AI76" i="269"/>
  <c r="AH76" i="269"/>
  <c r="AF76" i="269"/>
  <c r="AE76" i="269"/>
  <c r="AC76" i="269"/>
  <c r="AA76" i="269"/>
  <c r="Z76" i="269"/>
  <c r="Y76" i="269"/>
  <c r="X76" i="269"/>
  <c r="W76" i="269"/>
  <c r="P76" i="269"/>
  <c r="O76" i="269"/>
  <c r="AD76" i="269" s="1"/>
  <c r="N76" i="269"/>
  <c r="M76" i="269"/>
  <c r="AB76" i="269" s="1"/>
  <c r="AT75" i="269"/>
  <c r="AP75" i="269"/>
  <c r="AI75" i="269"/>
  <c r="AH75" i="269"/>
  <c r="AF75" i="269"/>
  <c r="AE75" i="269"/>
  <c r="AD75" i="269"/>
  <c r="AC75" i="269"/>
  <c r="AB75" i="269"/>
  <c r="AA75" i="269"/>
  <c r="Z75" i="269"/>
  <c r="Y75" i="269"/>
  <c r="X75" i="269"/>
  <c r="W75" i="269"/>
  <c r="P75" i="269"/>
  <c r="O75" i="269"/>
  <c r="N75" i="269"/>
  <c r="AO75" i="269" s="1"/>
  <c r="AV75" i="269" s="1"/>
  <c r="M75" i="269"/>
  <c r="AV74" i="269"/>
  <c r="AT74" i="269"/>
  <c r="AQ74" i="269"/>
  <c r="AP74" i="269"/>
  <c r="AO74" i="269"/>
  <c r="AI74" i="269"/>
  <c r="AH74" i="269"/>
  <c r="AF74" i="269"/>
  <c r="AE74" i="269"/>
  <c r="AD74" i="269"/>
  <c r="AC74" i="269"/>
  <c r="AA74" i="269"/>
  <c r="Z74" i="269"/>
  <c r="Y74" i="269"/>
  <c r="X74" i="269"/>
  <c r="W74" i="269"/>
  <c r="P74" i="269"/>
  <c r="O74" i="269"/>
  <c r="N74" i="269"/>
  <c r="M74" i="269"/>
  <c r="AP73" i="269"/>
  <c r="AO73" i="269"/>
  <c r="AV73" i="269" s="1"/>
  <c r="AI73" i="269"/>
  <c r="AH73" i="269"/>
  <c r="AF73" i="269"/>
  <c r="AE73" i="269"/>
  <c r="AD73" i="269"/>
  <c r="AA73" i="269"/>
  <c r="Z73" i="269"/>
  <c r="Y73" i="269"/>
  <c r="X73" i="269"/>
  <c r="W73" i="269"/>
  <c r="P73" i="269"/>
  <c r="O73" i="269"/>
  <c r="N73" i="269"/>
  <c r="AC73" i="269" s="1"/>
  <c r="M73" i="269"/>
  <c r="AB73" i="269" s="1"/>
  <c r="AT72" i="269"/>
  <c r="AP72" i="269"/>
  <c r="AO72" i="269"/>
  <c r="AV72" i="269" s="1"/>
  <c r="AI72" i="269"/>
  <c r="AH72" i="269"/>
  <c r="AF72" i="269"/>
  <c r="AE72" i="269"/>
  <c r="AC72" i="269"/>
  <c r="AA72" i="269"/>
  <c r="Z72" i="269"/>
  <c r="Y72" i="269"/>
  <c r="X72" i="269"/>
  <c r="W72" i="269"/>
  <c r="P72" i="269"/>
  <c r="O72" i="269"/>
  <c r="AD72" i="269" s="1"/>
  <c r="N72" i="269"/>
  <c r="M72" i="269"/>
  <c r="AP71" i="269"/>
  <c r="AI71" i="269"/>
  <c r="AH71" i="269"/>
  <c r="AF71" i="269"/>
  <c r="AE71" i="269"/>
  <c r="AB71" i="269"/>
  <c r="AA71" i="269"/>
  <c r="Z71" i="269"/>
  <c r="Y71" i="269"/>
  <c r="X71" i="269"/>
  <c r="W71" i="269"/>
  <c r="P71" i="269"/>
  <c r="O71" i="269"/>
  <c r="N71" i="269"/>
  <c r="M71" i="269"/>
  <c r="AI70" i="269"/>
  <c r="AH70" i="269"/>
  <c r="W70" i="269"/>
  <c r="AV69" i="269"/>
  <c r="AP69" i="269"/>
  <c r="AO69" i="269"/>
  <c r="AI69" i="269"/>
  <c r="AH69" i="269"/>
  <c r="AF69" i="269"/>
  <c r="AE69" i="269"/>
  <c r="AD69" i="269"/>
  <c r="AA69" i="269"/>
  <c r="Z69" i="269"/>
  <c r="Y69" i="269"/>
  <c r="X69" i="269"/>
  <c r="W69" i="269"/>
  <c r="P69" i="269"/>
  <c r="O69" i="269"/>
  <c r="N69" i="269"/>
  <c r="AC69" i="269" s="1"/>
  <c r="M69" i="269"/>
  <c r="AT68" i="269"/>
  <c r="AP68" i="269"/>
  <c r="AO68" i="269"/>
  <c r="AV68" i="269" s="1"/>
  <c r="AI68" i="269"/>
  <c r="AH68" i="269"/>
  <c r="AF68" i="269"/>
  <c r="AE68" i="269"/>
  <c r="AC68" i="269"/>
  <c r="AA68" i="269"/>
  <c r="Z68" i="269"/>
  <c r="Y68" i="269"/>
  <c r="X68" i="269"/>
  <c r="W68" i="269"/>
  <c r="P68" i="269"/>
  <c r="O68" i="269"/>
  <c r="AD68" i="269" s="1"/>
  <c r="N68" i="269"/>
  <c r="M68" i="269"/>
  <c r="AP67" i="269"/>
  <c r="AI67" i="269"/>
  <c r="AH67" i="269"/>
  <c r="AF67" i="269"/>
  <c r="AE67" i="269"/>
  <c r="AB67" i="269"/>
  <c r="AA67" i="269"/>
  <c r="Z67" i="269"/>
  <c r="Y67" i="269"/>
  <c r="X67" i="269"/>
  <c r="W67" i="269"/>
  <c r="P67" i="269"/>
  <c r="O67" i="269"/>
  <c r="N67" i="269"/>
  <c r="M67" i="269"/>
  <c r="AP66" i="269"/>
  <c r="AO66" i="269"/>
  <c r="AV66" i="269" s="1"/>
  <c r="AI66" i="269"/>
  <c r="AH66" i="269"/>
  <c r="AF66" i="269"/>
  <c r="AE66" i="269"/>
  <c r="AC66" i="269"/>
  <c r="AA66" i="269"/>
  <c r="Z66" i="269"/>
  <c r="Y66" i="269"/>
  <c r="X66" i="269"/>
  <c r="W66" i="269"/>
  <c r="P66" i="269"/>
  <c r="O66" i="269"/>
  <c r="AD66" i="269" s="1"/>
  <c r="N66" i="269"/>
  <c r="M66" i="269"/>
  <c r="AB66" i="269" s="1"/>
  <c r="AT65" i="269"/>
  <c r="AP65" i="269"/>
  <c r="AI65" i="269"/>
  <c r="AH65" i="269"/>
  <c r="AF65" i="269"/>
  <c r="AE65" i="269"/>
  <c r="AD65" i="269"/>
  <c r="AC65" i="269"/>
  <c r="AB65" i="269"/>
  <c r="AA65" i="269"/>
  <c r="Z65" i="269"/>
  <c r="Y65" i="269"/>
  <c r="X65" i="269"/>
  <c r="W65" i="269"/>
  <c r="P65" i="269"/>
  <c r="O65" i="269"/>
  <c r="AQ65" i="269" s="1"/>
  <c r="N65" i="269"/>
  <c r="AO65" i="269" s="1"/>
  <c r="AV65" i="269" s="1"/>
  <c r="M65" i="269"/>
  <c r="AV64" i="269"/>
  <c r="AT64" i="269"/>
  <c r="AP64" i="269"/>
  <c r="AO64" i="269"/>
  <c r="AI64" i="269"/>
  <c r="AH64" i="269"/>
  <c r="AF64" i="269"/>
  <c r="AE64" i="269"/>
  <c r="AD64" i="269"/>
  <c r="AC64" i="269"/>
  <c r="AA64" i="269"/>
  <c r="Z64" i="269"/>
  <c r="Y64" i="269"/>
  <c r="X64" i="269"/>
  <c r="W64" i="269"/>
  <c r="P64" i="269"/>
  <c r="O64" i="269"/>
  <c r="N64" i="269"/>
  <c r="M64" i="269"/>
  <c r="AP63" i="269"/>
  <c r="AO63" i="269"/>
  <c r="AV63" i="269" s="1"/>
  <c r="AI63" i="269"/>
  <c r="AH63" i="269"/>
  <c r="AF63" i="269"/>
  <c r="AE63" i="269"/>
  <c r="AD63" i="269"/>
  <c r="AA63" i="269"/>
  <c r="Z63" i="269"/>
  <c r="Y63" i="269"/>
  <c r="X63" i="269"/>
  <c r="W63" i="269"/>
  <c r="P63" i="269"/>
  <c r="O63" i="269"/>
  <c r="N63" i="269"/>
  <c r="AC63" i="269" s="1"/>
  <c r="M63" i="269"/>
  <c r="AB63" i="269" s="1"/>
  <c r="AT62" i="269"/>
  <c r="AP62" i="269"/>
  <c r="AO62" i="269"/>
  <c r="AV62" i="269" s="1"/>
  <c r="AI62" i="269"/>
  <c r="AH62" i="269"/>
  <c r="AF62" i="269"/>
  <c r="AE62" i="269"/>
  <c r="AC62" i="269"/>
  <c r="AA62" i="269"/>
  <c r="Z62" i="269"/>
  <c r="Y62" i="269"/>
  <c r="X62" i="269"/>
  <c r="W62" i="269"/>
  <c r="P62" i="269"/>
  <c r="O62" i="269"/>
  <c r="AD62" i="269" s="1"/>
  <c r="N62" i="269"/>
  <c r="M62" i="269"/>
  <c r="AP61" i="269"/>
  <c r="AI61" i="269"/>
  <c r="AH61" i="269"/>
  <c r="AF61" i="269"/>
  <c r="AE61" i="269"/>
  <c r="AB61" i="269"/>
  <c r="AA61" i="269"/>
  <c r="Z61" i="269"/>
  <c r="Y61" i="269"/>
  <c r="X61" i="269"/>
  <c r="W61" i="269"/>
  <c r="P61" i="269"/>
  <c r="O61" i="269"/>
  <c r="N61" i="269"/>
  <c r="M61" i="269"/>
  <c r="AI60" i="269"/>
  <c r="AH60" i="269"/>
  <c r="W60" i="269"/>
  <c r="AV59" i="269"/>
  <c r="AP59" i="269"/>
  <c r="AO59" i="269"/>
  <c r="AI59" i="269"/>
  <c r="AH59" i="269"/>
  <c r="AF59" i="269"/>
  <c r="AE59" i="269"/>
  <c r="AD59" i="269"/>
  <c r="AA59" i="269"/>
  <c r="Z59" i="269"/>
  <c r="Y59" i="269"/>
  <c r="X59" i="269"/>
  <c r="W59" i="269"/>
  <c r="P59" i="269"/>
  <c r="O59" i="269"/>
  <c r="N59" i="269"/>
  <c r="AC59" i="269" s="1"/>
  <c r="M59" i="269"/>
  <c r="AR59" i="269" s="1"/>
  <c r="AT58" i="269"/>
  <c r="AP58" i="269"/>
  <c r="AO58" i="269"/>
  <c r="AV58" i="269" s="1"/>
  <c r="AI58" i="269"/>
  <c r="AH58" i="269"/>
  <c r="AF58" i="269"/>
  <c r="AE58" i="269"/>
  <c r="AC58" i="269"/>
  <c r="AA58" i="269"/>
  <c r="Z58" i="269"/>
  <c r="Y58" i="269"/>
  <c r="X58" i="269"/>
  <c r="W58" i="269"/>
  <c r="P58" i="269"/>
  <c r="O58" i="269"/>
  <c r="AD58" i="269" s="1"/>
  <c r="N58" i="269"/>
  <c r="M58" i="269"/>
  <c r="AR57" i="269"/>
  <c r="AP57" i="269"/>
  <c r="AI57" i="269"/>
  <c r="AH57" i="269"/>
  <c r="AF57" i="269"/>
  <c r="AE57" i="269"/>
  <c r="AB57" i="269"/>
  <c r="AA57" i="269"/>
  <c r="Z57" i="269"/>
  <c r="Y57" i="269"/>
  <c r="X57" i="269"/>
  <c r="W57" i="269"/>
  <c r="P57" i="269"/>
  <c r="O57" i="269"/>
  <c r="N57" i="269"/>
  <c r="M57" i="269"/>
  <c r="AP56" i="269"/>
  <c r="AO56" i="269"/>
  <c r="AV56" i="269" s="1"/>
  <c r="AI56" i="269"/>
  <c r="AH56" i="269"/>
  <c r="AF56" i="269"/>
  <c r="AE56" i="269"/>
  <c r="AC56" i="269"/>
  <c r="AA56" i="269"/>
  <c r="Z56" i="269"/>
  <c r="Y56" i="269"/>
  <c r="X56" i="269"/>
  <c r="W56" i="269"/>
  <c r="P56" i="269"/>
  <c r="O56" i="269"/>
  <c r="AD56" i="269" s="1"/>
  <c r="N56" i="269"/>
  <c r="M56" i="269"/>
  <c r="AB56" i="269" s="1"/>
  <c r="AI55" i="269"/>
  <c r="AH55" i="269"/>
  <c r="W55" i="269"/>
  <c r="AT54" i="269"/>
  <c r="AP54" i="269"/>
  <c r="AO54" i="269"/>
  <c r="AV54" i="269" s="1"/>
  <c r="AI54" i="269"/>
  <c r="AH54" i="269"/>
  <c r="AF54" i="269"/>
  <c r="AE54" i="269"/>
  <c r="AC54" i="269"/>
  <c r="AA54" i="269"/>
  <c r="Z54" i="269"/>
  <c r="Y54" i="269"/>
  <c r="X54" i="269"/>
  <c r="W54" i="269"/>
  <c r="P54" i="269"/>
  <c r="O54" i="269"/>
  <c r="AD54" i="269" s="1"/>
  <c r="N54" i="269"/>
  <c r="M54" i="269"/>
  <c r="AP53" i="269"/>
  <c r="AI53" i="269"/>
  <c r="AH53" i="269"/>
  <c r="AF53" i="269"/>
  <c r="AE53" i="269"/>
  <c r="AD53" i="269"/>
  <c r="AB53" i="269"/>
  <c r="AA53" i="269"/>
  <c r="Z53" i="269"/>
  <c r="Y53" i="269"/>
  <c r="X53" i="269"/>
  <c r="W53" i="269"/>
  <c r="P53" i="269"/>
  <c r="O53" i="269"/>
  <c r="N53" i="269"/>
  <c r="M53" i="269"/>
  <c r="AV52" i="269"/>
  <c r="AP52" i="269"/>
  <c r="AO52" i="269"/>
  <c r="AJ52" i="269"/>
  <c r="AI52" i="269"/>
  <c r="AH52" i="269"/>
  <c r="AF52" i="269"/>
  <c r="AE52" i="269"/>
  <c r="AC52" i="269"/>
  <c r="AB52" i="269"/>
  <c r="AA52" i="269"/>
  <c r="Z52" i="269"/>
  <c r="Y52" i="269"/>
  <c r="X52" i="269"/>
  <c r="W52" i="269"/>
  <c r="P52" i="269"/>
  <c r="O52" i="269"/>
  <c r="AD52" i="269" s="1"/>
  <c r="N52" i="269"/>
  <c r="M52" i="269"/>
  <c r="AI51" i="269"/>
  <c r="AH51" i="269"/>
  <c r="W51" i="269"/>
  <c r="AP50" i="269"/>
  <c r="AO50" i="269"/>
  <c r="AV50" i="269" s="1"/>
  <c r="AI50" i="269"/>
  <c r="AH50" i="269"/>
  <c r="AF50" i="269"/>
  <c r="AE50" i="269"/>
  <c r="AC50" i="269"/>
  <c r="AA50" i="269"/>
  <c r="Z50" i="269"/>
  <c r="Y50" i="269"/>
  <c r="X50" i="269"/>
  <c r="W50" i="269"/>
  <c r="P50" i="269"/>
  <c r="O50" i="269"/>
  <c r="AD50" i="269" s="1"/>
  <c r="N50" i="269"/>
  <c r="M50" i="269"/>
  <c r="AP49" i="269"/>
  <c r="AI49" i="269"/>
  <c r="AN49" i="269" s="1"/>
  <c r="AH49" i="269"/>
  <c r="AF49" i="269"/>
  <c r="AE49" i="269"/>
  <c r="AD49" i="269"/>
  <c r="AB49" i="269"/>
  <c r="AA49" i="269"/>
  <c r="Z49" i="269"/>
  <c r="Y49" i="269"/>
  <c r="X49" i="269"/>
  <c r="W49" i="269"/>
  <c r="P49" i="269"/>
  <c r="O49" i="269"/>
  <c r="AQ49" i="269" s="1"/>
  <c r="N49" i="269"/>
  <c r="M49" i="269"/>
  <c r="AT48" i="269"/>
  <c r="AP48" i="269"/>
  <c r="AI48" i="269"/>
  <c r="AH48" i="269"/>
  <c r="AF48" i="269"/>
  <c r="AE48" i="269"/>
  <c r="AC48" i="269"/>
  <c r="AA48" i="269"/>
  <c r="Z48" i="269"/>
  <c r="Y48" i="269"/>
  <c r="X48" i="269"/>
  <c r="W48" i="269"/>
  <c r="P48" i="269"/>
  <c r="O48" i="269"/>
  <c r="AD48" i="269" s="1"/>
  <c r="N48" i="269"/>
  <c r="AO48" i="269" s="1"/>
  <c r="AV48" i="269" s="1"/>
  <c r="M48" i="269"/>
  <c r="AI47" i="269"/>
  <c r="AH47" i="269"/>
  <c r="W47" i="269"/>
  <c r="AQ46" i="269"/>
  <c r="AP46" i="269"/>
  <c r="AO46" i="269"/>
  <c r="AV46" i="269" s="1"/>
  <c r="AN46" i="269"/>
  <c r="AI46" i="269"/>
  <c r="AT46" i="269" s="1"/>
  <c r="AH46" i="269"/>
  <c r="AF46" i="269"/>
  <c r="AE46" i="269"/>
  <c r="AC46" i="269"/>
  <c r="AA46" i="269"/>
  <c r="Z46" i="269"/>
  <c r="Y46" i="269"/>
  <c r="X46" i="269"/>
  <c r="W46" i="269"/>
  <c r="P46" i="269"/>
  <c r="O46" i="269"/>
  <c r="AD46" i="269" s="1"/>
  <c r="N46" i="269"/>
  <c r="M46" i="269"/>
  <c r="AR45" i="269"/>
  <c r="AP45" i="269"/>
  <c r="AI45" i="269"/>
  <c r="AH45" i="269"/>
  <c r="AF45" i="269"/>
  <c r="AE45" i="269"/>
  <c r="AB45" i="269"/>
  <c r="AA45" i="269"/>
  <c r="Z45" i="269"/>
  <c r="Y45" i="269"/>
  <c r="X45" i="269"/>
  <c r="W45" i="269"/>
  <c r="P45" i="269"/>
  <c r="O45" i="269"/>
  <c r="AD45" i="269" s="1"/>
  <c r="N45" i="269"/>
  <c r="M45" i="269"/>
  <c r="AT44" i="269"/>
  <c r="AP44" i="269"/>
  <c r="AI44" i="269"/>
  <c r="AH44" i="269"/>
  <c r="AF44" i="269"/>
  <c r="AE44" i="269"/>
  <c r="AC44" i="269"/>
  <c r="AA44" i="269"/>
  <c r="Z44" i="269"/>
  <c r="Y44" i="269"/>
  <c r="X44" i="269"/>
  <c r="W44" i="269"/>
  <c r="P44" i="269"/>
  <c r="O44" i="269"/>
  <c r="AD44" i="269" s="1"/>
  <c r="N44" i="269"/>
  <c r="AO44" i="269" s="1"/>
  <c r="AV44" i="269" s="1"/>
  <c r="M44" i="269"/>
  <c r="AQ43" i="269"/>
  <c r="AP43" i="269"/>
  <c r="AO43" i="269"/>
  <c r="AV43" i="269" s="1"/>
  <c r="AI43" i="269"/>
  <c r="AH43" i="269"/>
  <c r="AF43" i="269"/>
  <c r="AE43" i="269"/>
  <c r="AB43" i="269"/>
  <c r="AA43" i="269"/>
  <c r="Z43" i="269"/>
  <c r="Y43" i="269"/>
  <c r="X43" i="269"/>
  <c r="W43" i="269"/>
  <c r="P43" i="269"/>
  <c r="O43" i="269"/>
  <c r="AD43" i="269" s="1"/>
  <c r="N43" i="269"/>
  <c r="AC43" i="269" s="1"/>
  <c r="M43" i="269"/>
  <c r="AV42" i="269"/>
  <c r="AT42" i="269"/>
  <c r="AP42" i="269"/>
  <c r="AO42" i="269"/>
  <c r="AJ42" i="269"/>
  <c r="AI42" i="269"/>
  <c r="AN42" i="269" s="1"/>
  <c r="AH42" i="269"/>
  <c r="AF42" i="269"/>
  <c r="AE42" i="269"/>
  <c r="AC42" i="269"/>
  <c r="AB42" i="269"/>
  <c r="AA42" i="269"/>
  <c r="Z42" i="269"/>
  <c r="Y42" i="269"/>
  <c r="X42" i="269"/>
  <c r="W42" i="269"/>
  <c r="P42" i="269"/>
  <c r="O42" i="269"/>
  <c r="N42" i="269"/>
  <c r="M42" i="269"/>
  <c r="AR42" i="269" s="1"/>
  <c r="AT41" i="269"/>
  <c r="AP41" i="269"/>
  <c r="AN41" i="269"/>
  <c r="AI41" i="269"/>
  <c r="AH41" i="269"/>
  <c r="AF41" i="269"/>
  <c r="AE41" i="269"/>
  <c r="AD41" i="269"/>
  <c r="AC41" i="269"/>
  <c r="AB41" i="269"/>
  <c r="AA41" i="269"/>
  <c r="Z41" i="269"/>
  <c r="Y41" i="269"/>
  <c r="X41" i="269"/>
  <c r="W41" i="269"/>
  <c r="P41" i="269"/>
  <c r="O41" i="269"/>
  <c r="N41" i="269"/>
  <c r="AO41" i="269" s="1"/>
  <c r="AV41" i="269" s="1"/>
  <c r="M41" i="269"/>
  <c r="AR41" i="269" s="1"/>
  <c r="AP40" i="269"/>
  <c r="AO40" i="269"/>
  <c r="AV40" i="269" s="1"/>
  <c r="AN40" i="269"/>
  <c r="AI40" i="269"/>
  <c r="AT40" i="269" s="1"/>
  <c r="AH40" i="269"/>
  <c r="AF40" i="269"/>
  <c r="AE40" i="269"/>
  <c r="AA40" i="269"/>
  <c r="Z40" i="269"/>
  <c r="Y40" i="269"/>
  <c r="X40" i="269"/>
  <c r="W40" i="269"/>
  <c r="P40" i="269"/>
  <c r="O40" i="269"/>
  <c r="N40" i="269"/>
  <c r="AC40" i="269" s="1"/>
  <c r="M40" i="269"/>
  <c r="AP39" i="269"/>
  <c r="AO39" i="269"/>
  <c r="AV39" i="269" s="1"/>
  <c r="AI39" i="269"/>
  <c r="AH39" i="269"/>
  <c r="AF39" i="269"/>
  <c r="AE39" i="269"/>
  <c r="AA39" i="269"/>
  <c r="Z39" i="269"/>
  <c r="Y39" i="269"/>
  <c r="X39" i="269"/>
  <c r="W39" i="269"/>
  <c r="P39" i="269"/>
  <c r="O39" i="269"/>
  <c r="AD39" i="269" s="1"/>
  <c r="N39" i="269"/>
  <c r="AC39" i="269" s="1"/>
  <c r="M39" i="269"/>
  <c r="AB39" i="269" s="1"/>
  <c r="AT38" i="269"/>
  <c r="AP38" i="269"/>
  <c r="AN38" i="269"/>
  <c r="AI38" i="269"/>
  <c r="AH38" i="269"/>
  <c r="AF38" i="269"/>
  <c r="AE38" i="269"/>
  <c r="AC38" i="269"/>
  <c r="AA38" i="269"/>
  <c r="Z38" i="269"/>
  <c r="Y38" i="269"/>
  <c r="X38" i="269"/>
  <c r="W38" i="269"/>
  <c r="P38" i="269"/>
  <c r="O38" i="269"/>
  <c r="AD38" i="269" s="1"/>
  <c r="N38" i="269"/>
  <c r="AO38" i="269" s="1"/>
  <c r="AV38" i="269" s="1"/>
  <c r="M38" i="269"/>
  <c r="AU37" i="269"/>
  <c r="AQ37" i="269"/>
  <c r="AP37" i="269"/>
  <c r="AO37" i="269"/>
  <c r="AV37" i="269" s="1"/>
  <c r="AI37" i="269"/>
  <c r="AH37" i="269"/>
  <c r="AF37" i="269"/>
  <c r="AE37" i="269"/>
  <c r="AA37" i="269"/>
  <c r="Z37" i="269"/>
  <c r="Y37" i="269"/>
  <c r="X37" i="269"/>
  <c r="W37" i="269"/>
  <c r="P37" i="269"/>
  <c r="O37" i="269"/>
  <c r="AD37" i="269" s="1"/>
  <c r="N37" i="269"/>
  <c r="AC37" i="269" s="1"/>
  <c r="M37" i="269"/>
  <c r="AI36" i="269"/>
  <c r="AH36" i="269"/>
  <c r="W36" i="269"/>
  <c r="AV35" i="269"/>
  <c r="AR35" i="269"/>
  <c r="AP35" i="269"/>
  <c r="AO35" i="269"/>
  <c r="AI35" i="269"/>
  <c r="AN35" i="269" s="1"/>
  <c r="AH35" i="269"/>
  <c r="AF35" i="269"/>
  <c r="AE35" i="269"/>
  <c r="AC35" i="269"/>
  <c r="AA35" i="269"/>
  <c r="Z35" i="269"/>
  <c r="Y35" i="269"/>
  <c r="X35" i="269"/>
  <c r="W35" i="269"/>
  <c r="P35" i="269"/>
  <c r="O35" i="269"/>
  <c r="AD35" i="269" s="1"/>
  <c r="N35" i="269"/>
  <c r="M35" i="269"/>
  <c r="AB35" i="269" s="1"/>
  <c r="AT34" i="269"/>
  <c r="AP34" i="269"/>
  <c r="AN34" i="269"/>
  <c r="AJ34" i="269"/>
  <c r="AI34" i="269"/>
  <c r="AH34" i="269"/>
  <c r="AF34" i="269"/>
  <c r="AE34" i="269"/>
  <c r="AD34" i="269"/>
  <c r="AC34" i="269"/>
  <c r="AA34" i="269"/>
  <c r="Z34" i="269"/>
  <c r="Y34" i="269"/>
  <c r="X34" i="269"/>
  <c r="W34" i="269"/>
  <c r="P34" i="269"/>
  <c r="O34" i="269"/>
  <c r="N34" i="269"/>
  <c r="AO34" i="269" s="1"/>
  <c r="AV34" i="269" s="1"/>
  <c r="M34" i="269"/>
  <c r="AV33" i="269"/>
  <c r="AR33" i="269"/>
  <c r="AP33" i="269"/>
  <c r="AO33" i="269"/>
  <c r="AN33" i="269"/>
  <c r="AI33" i="269"/>
  <c r="AH33" i="269"/>
  <c r="AF33" i="269"/>
  <c r="AE33" i="269"/>
  <c r="AD33" i="269"/>
  <c r="AB33" i="269"/>
  <c r="AA33" i="269"/>
  <c r="Z33" i="269"/>
  <c r="Y33" i="269"/>
  <c r="X33" i="269"/>
  <c r="W33" i="269"/>
  <c r="P33" i="269"/>
  <c r="O33" i="269"/>
  <c r="AQ33" i="269" s="1"/>
  <c r="N33" i="269"/>
  <c r="AC33" i="269" s="1"/>
  <c r="M33" i="269"/>
  <c r="AT32" i="269"/>
  <c r="AP32" i="269"/>
  <c r="AO32" i="269"/>
  <c r="AV32" i="269" s="1"/>
  <c r="AI32" i="269"/>
  <c r="AN32" i="269" s="1"/>
  <c r="AH32" i="269"/>
  <c r="AF32" i="269"/>
  <c r="AE32" i="269"/>
  <c r="AC32" i="269"/>
  <c r="AA32" i="269"/>
  <c r="Z32" i="269"/>
  <c r="Y32" i="269"/>
  <c r="X32" i="269"/>
  <c r="W32" i="269"/>
  <c r="P32" i="269"/>
  <c r="O32" i="269"/>
  <c r="N32" i="269"/>
  <c r="M32" i="269"/>
  <c r="AB32" i="269" s="1"/>
  <c r="AT31" i="269"/>
  <c r="AP31" i="269"/>
  <c r="AN31" i="269"/>
  <c r="AI31" i="269"/>
  <c r="AH31" i="269"/>
  <c r="AF31" i="269"/>
  <c r="AE31" i="269"/>
  <c r="AC31" i="269"/>
  <c r="AB31" i="269"/>
  <c r="AA31" i="269"/>
  <c r="Z31" i="269"/>
  <c r="Y31" i="269"/>
  <c r="X31" i="269"/>
  <c r="W31" i="269"/>
  <c r="P31" i="269"/>
  <c r="O31" i="269"/>
  <c r="N31" i="269"/>
  <c r="AO31" i="269" s="1"/>
  <c r="AV31" i="269" s="1"/>
  <c r="M31" i="269"/>
  <c r="AV30" i="269"/>
  <c r="AU30" i="269"/>
  <c r="AQ30" i="269"/>
  <c r="AP30" i="269"/>
  <c r="AO30" i="269"/>
  <c r="AI30" i="269"/>
  <c r="AH30" i="269"/>
  <c r="AF30" i="269"/>
  <c r="AE30" i="269"/>
  <c r="AA30" i="269"/>
  <c r="Z30" i="269"/>
  <c r="Y30" i="269"/>
  <c r="X30" i="269"/>
  <c r="W30" i="269"/>
  <c r="P30" i="269"/>
  <c r="O30" i="269"/>
  <c r="AD30" i="269" s="1"/>
  <c r="N30" i="269"/>
  <c r="AC30" i="269" s="1"/>
  <c r="M30" i="269"/>
  <c r="AI29" i="269"/>
  <c r="AH29" i="269"/>
  <c r="W29" i="269"/>
  <c r="AV28" i="269"/>
  <c r="AR28" i="269"/>
  <c r="AP28" i="269"/>
  <c r="AO28" i="269"/>
  <c r="AI28" i="269"/>
  <c r="AN28" i="269" s="1"/>
  <c r="AH28" i="269"/>
  <c r="AF28" i="269"/>
  <c r="AE28" i="269"/>
  <c r="AC28" i="269"/>
  <c r="AA28" i="269"/>
  <c r="Z28" i="269"/>
  <c r="Y28" i="269"/>
  <c r="X28" i="269"/>
  <c r="W28" i="269"/>
  <c r="P28" i="269"/>
  <c r="O28" i="269"/>
  <c r="N28" i="269"/>
  <c r="M28" i="269"/>
  <c r="AB28" i="269" s="1"/>
  <c r="AT27" i="269"/>
  <c r="AP27" i="269"/>
  <c r="AN27" i="269"/>
  <c r="AJ27" i="269"/>
  <c r="AI27" i="269"/>
  <c r="AH27" i="269"/>
  <c r="AF27" i="269"/>
  <c r="AE27" i="269"/>
  <c r="AC27" i="269"/>
  <c r="AB27" i="269"/>
  <c r="AA27" i="269"/>
  <c r="Z27" i="269"/>
  <c r="Y27" i="269"/>
  <c r="X27" i="269"/>
  <c r="W27" i="269"/>
  <c r="P27" i="269"/>
  <c r="O27" i="269"/>
  <c r="AD27" i="269" s="1"/>
  <c r="N27" i="269"/>
  <c r="AO27" i="269" s="1"/>
  <c r="AV27" i="269" s="1"/>
  <c r="M27" i="269"/>
  <c r="AI26" i="269"/>
  <c r="AH26" i="269"/>
  <c r="W26" i="269"/>
  <c r="AV25" i="269"/>
  <c r="AU25" i="269"/>
  <c r="AP25" i="269"/>
  <c r="AO25" i="269"/>
  <c r="AI25" i="269"/>
  <c r="AH25" i="269"/>
  <c r="AF25" i="269"/>
  <c r="AE25" i="269"/>
  <c r="AB25" i="269"/>
  <c r="AA25" i="269"/>
  <c r="Z25" i="269"/>
  <c r="Y25" i="269"/>
  <c r="X25" i="269"/>
  <c r="W25" i="269"/>
  <c r="P25" i="269"/>
  <c r="O25" i="269"/>
  <c r="AD25" i="269" s="1"/>
  <c r="N25" i="269"/>
  <c r="AC25" i="269" s="1"/>
  <c r="M25" i="269"/>
  <c r="AV24" i="269"/>
  <c r="AP24" i="269"/>
  <c r="AO24" i="269"/>
  <c r="AI24" i="269"/>
  <c r="AH24" i="269"/>
  <c r="AF24" i="269"/>
  <c r="AE24" i="269"/>
  <c r="AC24" i="269"/>
  <c r="AA24" i="269"/>
  <c r="Z24" i="269"/>
  <c r="Y24" i="269"/>
  <c r="X24" i="269"/>
  <c r="W24" i="269"/>
  <c r="P24" i="269"/>
  <c r="O24" i="269"/>
  <c r="AQ24" i="269" s="1"/>
  <c r="N24" i="269"/>
  <c r="M24" i="269"/>
  <c r="AR24" i="269" s="1"/>
  <c r="AU23" i="269"/>
  <c r="AT23" i="269"/>
  <c r="AP23" i="269"/>
  <c r="AN23" i="269"/>
  <c r="AI23" i="269"/>
  <c r="AH23" i="269"/>
  <c r="AF23" i="269"/>
  <c r="AE23" i="269"/>
  <c r="AC23" i="269"/>
  <c r="AB23" i="269"/>
  <c r="AA23" i="269"/>
  <c r="Z23" i="269"/>
  <c r="Y23" i="269"/>
  <c r="X23" i="269"/>
  <c r="W23" i="269"/>
  <c r="P23" i="269"/>
  <c r="O23" i="269"/>
  <c r="AD23" i="269" s="1"/>
  <c r="N23" i="269"/>
  <c r="AO23" i="269" s="1"/>
  <c r="AV23" i="269" s="1"/>
  <c r="M23" i="269"/>
  <c r="AP22" i="269"/>
  <c r="AO22" i="269"/>
  <c r="AV22" i="269" s="1"/>
  <c r="AI22" i="269"/>
  <c r="AH22" i="269"/>
  <c r="AF22" i="269"/>
  <c r="AE22" i="269"/>
  <c r="AD22" i="269"/>
  <c r="AC22" i="269"/>
  <c r="AB22" i="269"/>
  <c r="AA22" i="269"/>
  <c r="Z22" i="269"/>
  <c r="Y22" i="269"/>
  <c r="X22" i="269"/>
  <c r="W22" i="269"/>
  <c r="P22" i="269"/>
  <c r="O22" i="269"/>
  <c r="N22" i="269"/>
  <c r="M22" i="269"/>
  <c r="AV21" i="269"/>
  <c r="AP21" i="269"/>
  <c r="AO21" i="269"/>
  <c r="AI21" i="269"/>
  <c r="AH21" i="269"/>
  <c r="AF21" i="269"/>
  <c r="AE21" i="269"/>
  <c r="AD21" i="269"/>
  <c r="AB21" i="269"/>
  <c r="AA21" i="269"/>
  <c r="Z21" i="269"/>
  <c r="Y21" i="269"/>
  <c r="X21" i="269"/>
  <c r="W21" i="269"/>
  <c r="P21" i="269"/>
  <c r="O21" i="269"/>
  <c r="N21" i="269"/>
  <c r="AC21" i="269" s="1"/>
  <c r="M21" i="269"/>
  <c r="AR21" i="269" s="1"/>
  <c r="AU20" i="269"/>
  <c r="AT20" i="269"/>
  <c r="AQ20" i="269"/>
  <c r="AP20" i="269"/>
  <c r="AN20" i="269"/>
  <c r="AI20" i="269"/>
  <c r="AH20" i="269"/>
  <c r="AF20" i="269"/>
  <c r="AE20" i="269"/>
  <c r="AC20" i="269"/>
  <c r="AA20" i="269"/>
  <c r="Z20" i="269"/>
  <c r="Y20" i="269"/>
  <c r="X20" i="269"/>
  <c r="W20" i="269"/>
  <c r="P20" i="269"/>
  <c r="O20" i="269"/>
  <c r="AD20" i="269" s="1"/>
  <c r="N20" i="269"/>
  <c r="AO20" i="269" s="1"/>
  <c r="AV20" i="269" s="1"/>
  <c r="M20" i="269"/>
  <c r="AR20" i="269" s="1"/>
  <c r="AP19" i="269"/>
  <c r="AO19" i="269"/>
  <c r="AV19" i="269" s="1"/>
  <c r="AI19" i="269"/>
  <c r="AH19" i="269"/>
  <c r="AF19" i="269"/>
  <c r="AE19" i="269"/>
  <c r="AD19" i="269"/>
  <c r="AA19" i="269"/>
  <c r="Z19" i="269"/>
  <c r="Y19" i="269"/>
  <c r="X19" i="269"/>
  <c r="W19" i="269"/>
  <c r="P19" i="269"/>
  <c r="O19" i="269"/>
  <c r="N19" i="269"/>
  <c r="AC19" i="269" s="1"/>
  <c r="M19" i="269"/>
  <c r="AB19" i="269" s="1"/>
  <c r="AI18" i="269"/>
  <c r="AH18" i="269"/>
  <c r="W18" i="269"/>
  <c r="AT17" i="269"/>
  <c r="AP17" i="269"/>
  <c r="AO17" i="269"/>
  <c r="AV17" i="269" s="1"/>
  <c r="AI17" i="269"/>
  <c r="AN17" i="269" s="1"/>
  <c r="AH17" i="269"/>
  <c r="AF17" i="269"/>
  <c r="AE17" i="269"/>
  <c r="AD17" i="269"/>
  <c r="AB17" i="269"/>
  <c r="AA17" i="269"/>
  <c r="Z17" i="269"/>
  <c r="Y17" i="269"/>
  <c r="X17" i="269"/>
  <c r="W17" i="269"/>
  <c r="P17" i="269"/>
  <c r="O17" i="269"/>
  <c r="N17" i="269"/>
  <c r="AC17" i="269" s="1"/>
  <c r="M17" i="269"/>
  <c r="AU16" i="269"/>
  <c r="AT16" i="269"/>
  <c r="AP16" i="269"/>
  <c r="AN16" i="269"/>
  <c r="AI16" i="269"/>
  <c r="AH16" i="269"/>
  <c r="AF16" i="269"/>
  <c r="AE16" i="269"/>
  <c r="AC16" i="269"/>
  <c r="AA16" i="269"/>
  <c r="Z16" i="269"/>
  <c r="Y16" i="269"/>
  <c r="X16" i="269"/>
  <c r="W16" i="269"/>
  <c r="P16" i="269"/>
  <c r="O16" i="269"/>
  <c r="N16" i="269"/>
  <c r="AO16" i="269" s="1"/>
  <c r="AV16" i="269" s="1"/>
  <c r="M16" i="269"/>
  <c r="AI15" i="269"/>
  <c r="AH15" i="269"/>
  <c r="W15" i="269"/>
  <c r="AV14" i="269"/>
  <c r="AP14" i="269"/>
  <c r="AO14" i="269"/>
  <c r="AN14" i="269"/>
  <c r="AI14" i="269"/>
  <c r="AH14" i="269"/>
  <c r="AF14" i="269"/>
  <c r="AE14" i="269"/>
  <c r="AD14" i="269"/>
  <c r="AB14" i="269"/>
  <c r="AA14" i="269"/>
  <c r="Z14" i="269"/>
  <c r="Y14" i="269"/>
  <c r="X14" i="269"/>
  <c r="W14" i="269"/>
  <c r="P14" i="269"/>
  <c r="O14" i="269"/>
  <c r="N14" i="269"/>
  <c r="AC14" i="269" s="1"/>
  <c r="M14" i="269"/>
  <c r="AR14" i="269" s="1"/>
  <c r="AV13" i="269"/>
  <c r="AR13" i="269"/>
  <c r="AP13" i="269"/>
  <c r="AO13" i="269"/>
  <c r="AI13" i="269"/>
  <c r="AN13" i="269" s="1"/>
  <c r="AH13" i="269"/>
  <c r="AF13" i="269"/>
  <c r="AE13" i="269"/>
  <c r="AC13" i="269"/>
  <c r="AA13" i="269"/>
  <c r="Z13" i="269"/>
  <c r="Y13" i="269"/>
  <c r="X13" i="269"/>
  <c r="W13" i="269"/>
  <c r="P13" i="269"/>
  <c r="O13" i="269"/>
  <c r="AD13" i="269" s="1"/>
  <c r="N13" i="269"/>
  <c r="M13" i="269"/>
  <c r="AB13" i="269" s="1"/>
  <c r="AT12" i="269"/>
  <c r="AP12" i="269"/>
  <c r="AN12" i="269"/>
  <c r="AJ12" i="269"/>
  <c r="AI12" i="269"/>
  <c r="AH12" i="269"/>
  <c r="AF12" i="269"/>
  <c r="AE12" i="269"/>
  <c r="AD12" i="269"/>
  <c r="AC12" i="269"/>
  <c r="AA12" i="269"/>
  <c r="Z12" i="269"/>
  <c r="Y12" i="269"/>
  <c r="X12" i="269"/>
  <c r="W12" i="269"/>
  <c r="P12" i="269"/>
  <c r="O12" i="269"/>
  <c r="N12" i="269"/>
  <c r="AO12" i="269" s="1"/>
  <c r="AV12" i="269" s="1"/>
  <c r="M12" i="269"/>
  <c r="AV11" i="269"/>
  <c r="AR11" i="269"/>
  <c r="AP11" i="269"/>
  <c r="AO11" i="269"/>
  <c r="AN11" i="269"/>
  <c r="AI11" i="269"/>
  <c r="AH11" i="269"/>
  <c r="AF11" i="269"/>
  <c r="AE11" i="269"/>
  <c r="AD11" i="269"/>
  <c r="AB11" i="269"/>
  <c r="AA11" i="269"/>
  <c r="Z11" i="269"/>
  <c r="Y11" i="269"/>
  <c r="X11" i="269"/>
  <c r="W11" i="269"/>
  <c r="P11" i="269"/>
  <c r="O11" i="269"/>
  <c r="AQ11" i="269" s="1"/>
  <c r="N11" i="269"/>
  <c r="AC11" i="269" s="1"/>
  <c r="M11" i="269"/>
  <c r="AT10" i="269"/>
  <c r="AP10" i="269"/>
  <c r="AO10" i="269"/>
  <c r="AV10" i="269" s="1"/>
  <c r="AI10" i="269"/>
  <c r="AN10" i="269" s="1"/>
  <c r="AH10" i="269"/>
  <c r="AF10" i="269"/>
  <c r="AE10" i="269"/>
  <c r="AC10" i="269"/>
  <c r="AA10" i="269"/>
  <c r="Z10" i="269"/>
  <c r="Y10" i="269"/>
  <c r="X10" i="269"/>
  <c r="W10" i="269"/>
  <c r="P10" i="269"/>
  <c r="O10" i="269"/>
  <c r="N10" i="269"/>
  <c r="M10" i="269"/>
  <c r="AB10" i="269" s="1"/>
  <c r="AT9" i="269"/>
  <c r="AP9" i="269"/>
  <c r="AN9" i="269"/>
  <c r="AI9" i="269"/>
  <c r="AH9" i="269"/>
  <c r="AF9" i="269"/>
  <c r="AE9" i="269"/>
  <c r="AC9" i="269"/>
  <c r="AB9" i="269"/>
  <c r="AA9" i="269"/>
  <c r="Z9" i="269"/>
  <c r="Y9" i="269"/>
  <c r="X9" i="269"/>
  <c r="W9" i="269"/>
  <c r="P9" i="269"/>
  <c r="O9" i="269"/>
  <c r="N9" i="269"/>
  <c r="AO9" i="269" s="1"/>
  <c r="AV9" i="269" s="1"/>
  <c r="M9" i="269"/>
  <c r="AV8" i="269"/>
  <c r="AU8" i="269"/>
  <c r="AQ8" i="269"/>
  <c r="AP8" i="269"/>
  <c r="AO8" i="269"/>
  <c r="AI8" i="269"/>
  <c r="AH8" i="269"/>
  <c r="AF8" i="269"/>
  <c r="AE8" i="269"/>
  <c r="AA8" i="269"/>
  <c r="Z8" i="269"/>
  <c r="Y8" i="269"/>
  <c r="X8" i="269"/>
  <c r="W8" i="269"/>
  <c r="P8" i="269"/>
  <c r="O8" i="269"/>
  <c r="AD8" i="269" s="1"/>
  <c r="N8" i="269"/>
  <c r="AC8" i="269" s="1"/>
  <c r="M8" i="269"/>
  <c r="AT7" i="269"/>
  <c r="AP7" i="269"/>
  <c r="AJ7" i="269"/>
  <c r="AI7" i="269"/>
  <c r="AN7" i="269" s="1"/>
  <c r="AH7" i="269"/>
  <c r="AF7" i="269"/>
  <c r="AE7" i="269"/>
  <c r="AB7" i="269"/>
  <c r="AA7" i="269"/>
  <c r="Z7" i="269"/>
  <c r="Y7" i="269"/>
  <c r="X7" i="269"/>
  <c r="W7" i="269"/>
  <c r="P7" i="269"/>
  <c r="O7" i="269"/>
  <c r="AD7" i="269" s="1"/>
  <c r="N7" i="269"/>
  <c r="AO7" i="269" s="1"/>
  <c r="AV7" i="269" s="1"/>
  <c r="M7" i="269"/>
  <c r="AR7" i="269" s="1"/>
  <c r="AU6" i="269"/>
  <c r="AT6" i="269"/>
  <c r="AQ6" i="269"/>
  <c r="AP6" i="269"/>
  <c r="AN6" i="269"/>
  <c r="AI6" i="269"/>
  <c r="AH6" i="269"/>
  <c r="AF6" i="269"/>
  <c r="AE6" i="269"/>
  <c r="AD6" i="269"/>
  <c r="AB6" i="269"/>
  <c r="AA6" i="269"/>
  <c r="Z6" i="269"/>
  <c r="Y6" i="269"/>
  <c r="X6" i="269"/>
  <c r="W6" i="269"/>
  <c r="P6" i="269"/>
  <c r="O6" i="269"/>
  <c r="N6" i="269"/>
  <c r="M6" i="269"/>
  <c r="AI5" i="269"/>
  <c r="AH5" i="269"/>
  <c r="W5" i="269"/>
  <c r="AI4" i="269"/>
  <c r="AU3" i="269"/>
  <c r="AP3" i="269"/>
  <c r="AO3" i="269"/>
  <c r="AI3" i="269"/>
  <c r="AH3" i="269"/>
  <c r="AN2" i="269"/>
  <c r="AN150" i="269" s="1"/>
  <c r="AM2" i="269"/>
  <c r="AL2" i="269"/>
  <c r="AK2" i="269"/>
  <c r="AJ2" i="269"/>
  <c r="AJ129" i="269" s="1"/>
  <c r="AA2" i="269"/>
  <c r="A2" i="269"/>
  <c r="AU1" i="269"/>
  <c r="AU43" i="269" s="1"/>
  <c r="AR1" i="269"/>
  <c r="AR103" i="269" s="1"/>
  <c r="AQ1" i="269"/>
  <c r="AQ64" i="269" s="1"/>
  <c r="AP1" i="269"/>
  <c r="AO1" i="269"/>
  <c r="AA1" i="269"/>
  <c r="A1" i="269"/>
  <c r="AJ1" i="269" s="1"/>
  <c r="AP125" i="268"/>
  <c r="AO125" i="268"/>
  <c r="AV125" i="268" s="1"/>
  <c r="AI125" i="268"/>
  <c r="AH125" i="268"/>
  <c r="AF125" i="268"/>
  <c r="AE125" i="268"/>
  <c r="AC125" i="268"/>
  <c r="AA125" i="268"/>
  <c r="Z125" i="268"/>
  <c r="Y125" i="268"/>
  <c r="X125" i="268"/>
  <c r="W125" i="268"/>
  <c r="P125" i="268"/>
  <c r="O125" i="268"/>
  <c r="N125" i="268"/>
  <c r="M125" i="268"/>
  <c r="AR125" i="268" s="1"/>
  <c r="AP124" i="268"/>
  <c r="AI124" i="268"/>
  <c r="AH124" i="268"/>
  <c r="AF124" i="268"/>
  <c r="AE124" i="268"/>
  <c r="AD124" i="268"/>
  <c r="AB124" i="268"/>
  <c r="AA124" i="268"/>
  <c r="Z124" i="268"/>
  <c r="Y124" i="268"/>
  <c r="X124" i="268"/>
  <c r="W124" i="268"/>
  <c r="P124" i="268"/>
  <c r="O124" i="268"/>
  <c r="N124" i="268"/>
  <c r="M124" i="268"/>
  <c r="AT123" i="268"/>
  <c r="AP123" i="268"/>
  <c r="AO123" i="268"/>
  <c r="AV123" i="268" s="1"/>
  <c r="AI123" i="268"/>
  <c r="AH123" i="268"/>
  <c r="AF123" i="268"/>
  <c r="AE123" i="268"/>
  <c r="AC123" i="268"/>
  <c r="AA123" i="268"/>
  <c r="Z123" i="268"/>
  <c r="Y123" i="268"/>
  <c r="X123" i="268"/>
  <c r="W123" i="268"/>
  <c r="P123" i="268"/>
  <c r="O123" i="268"/>
  <c r="AD123" i="268" s="1"/>
  <c r="N123" i="268"/>
  <c r="M123" i="268"/>
  <c r="AR122" i="268"/>
  <c r="AP122" i="268"/>
  <c r="AO122" i="268"/>
  <c r="AV122" i="268" s="1"/>
  <c r="AI122" i="268"/>
  <c r="AH122" i="268"/>
  <c r="AF122" i="268"/>
  <c r="AE122" i="268"/>
  <c r="AD122" i="268"/>
  <c r="AB122" i="268"/>
  <c r="AA122" i="268"/>
  <c r="Z122" i="268"/>
  <c r="Y122" i="268"/>
  <c r="X122" i="268"/>
  <c r="W122" i="268"/>
  <c r="P122" i="268"/>
  <c r="O122" i="268"/>
  <c r="N122" i="268"/>
  <c r="AC122" i="268" s="1"/>
  <c r="M122" i="268"/>
  <c r="AT121" i="268"/>
  <c r="AP121" i="268"/>
  <c r="AO121" i="268"/>
  <c r="AV121" i="268" s="1"/>
  <c r="AI121" i="268"/>
  <c r="AH121" i="268"/>
  <c r="AF121" i="268"/>
  <c r="AE121" i="268"/>
  <c r="AC121" i="268"/>
  <c r="AA121" i="268"/>
  <c r="Z121" i="268"/>
  <c r="Y121" i="268"/>
  <c r="X121" i="268"/>
  <c r="W121" i="268"/>
  <c r="P121" i="268"/>
  <c r="O121" i="268"/>
  <c r="N121" i="268"/>
  <c r="M121" i="268"/>
  <c r="AI120" i="268"/>
  <c r="AH120" i="268"/>
  <c r="W120" i="268"/>
  <c r="AT119" i="268"/>
  <c r="AP119" i="268"/>
  <c r="AO119" i="268"/>
  <c r="AV119" i="268" s="1"/>
  <c r="AI119" i="268"/>
  <c r="AH119" i="268"/>
  <c r="AF119" i="268"/>
  <c r="AE119" i="268"/>
  <c r="AC119" i="268"/>
  <c r="AA119" i="268"/>
  <c r="Z119" i="268"/>
  <c r="Y119" i="268"/>
  <c r="X119" i="268"/>
  <c r="W119" i="268"/>
  <c r="P119" i="268"/>
  <c r="O119" i="268"/>
  <c r="N119" i="268"/>
  <c r="M119" i="268"/>
  <c r="AP118" i="268"/>
  <c r="AO118" i="268"/>
  <c r="AV118" i="268" s="1"/>
  <c r="AI118" i="268"/>
  <c r="AH118" i="268"/>
  <c r="AF118" i="268"/>
  <c r="AE118" i="268"/>
  <c r="AD118" i="268"/>
  <c r="AB118" i="268"/>
  <c r="AA118" i="268"/>
  <c r="Z118" i="268"/>
  <c r="Y118" i="268"/>
  <c r="X118" i="268"/>
  <c r="W118" i="268"/>
  <c r="P118" i="268"/>
  <c r="O118" i="268"/>
  <c r="AQ118" i="268" s="1"/>
  <c r="N118" i="268"/>
  <c r="AC118" i="268" s="1"/>
  <c r="M118" i="268"/>
  <c r="AI117" i="268"/>
  <c r="AH117" i="268"/>
  <c r="W117" i="268"/>
  <c r="AP116" i="268"/>
  <c r="AI116" i="268"/>
  <c r="AH116" i="268"/>
  <c r="AF116" i="268"/>
  <c r="AE116" i="268"/>
  <c r="AD116" i="268"/>
  <c r="AB116" i="268"/>
  <c r="AA116" i="268"/>
  <c r="Z116" i="268"/>
  <c r="Y116" i="268"/>
  <c r="X116" i="268"/>
  <c r="W116" i="268"/>
  <c r="P116" i="268"/>
  <c r="O116" i="268"/>
  <c r="N116" i="268"/>
  <c r="M116" i="268"/>
  <c r="AT115" i="268"/>
  <c r="AP115" i="268"/>
  <c r="AO115" i="268"/>
  <c r="AV115" i="268" s="1"/>
  <c r="AI115" i="268"/>
  <c r="AH115" i="268"/>
  <c r="AF115" i="268"/>
  <c r="AE115" i="268"/>
  <c r="AC115" i="268"/>
  <c r="AA115" i="268"/>
  <c r="Z115" i="268"/>
  <c r="Y115" i="268"/>
  <c r="X115" i="268"/>
  <c r="W115" i="268"/>
  <c r="P115" i="268"/>
  <c r="O115" i="268"/>
  <c r="AD115" i="268" s="1"/>
  <c r="N115" i="268"/>
  <c r="M115" i="268"/>
  <c r="AI114" i="268"/>
  <c r="AH114" i="268"/>
  <c r="W114" i="268"/>
  <c r="AP113" i="268"/>
  <c r="AO113" i="268"/>
  <c r="AV113" i="268" s="1"/>
  <c r="AI113" i="268"/>
  <c r="AH113" i="268"/>
  <c r="AF113" i="268"/>
  <c r="AE113" i="268"/>
  <c r="AC113" i="268"/>
  <c r="AA113" i="268"/>
  <c r="Z113" i="268"/>
  <c r="Y113" i="268"/>
  <c r="X113" i="268"/>
  <c r="W113" i="268"/>
  <c r="P113" i="268"/>
  <c r="O113" i="268"/>
  <c r="AD113" i="268" s="1"/>
  <c r="N113" i="268"/>
  <c r="M113" i="268"/>
  <c r="AP112" i="268"/>
  <c r="AI112" i="268"/>
  <c r="AH112" i="268"/>
  <c r="AF112" i="268"/>
  <c r="AE112" i="268"/>
  <c r="AD112" i="268"/>
  <c r="AB112" i="268"/>
  <c r="AA112" i="268"/>
  <c r="Z112" i="268"/>
  <c r="Y112" i="268"/>
  <c r="X112" i="268"/>
  <c r="W112" i="268"/>
  <c r="P112" i="268"/>
  <c r="O112" i="268"/>
  <c r="N112" i="268"/>
  <c r="M112" i="268"/>
  <c r="AT111" i="268"/>
  <c r="AP111" i="268"/>
  <c r="AO111" i="268"/>
  <c r="AV111" i="268" s="1"/>
  <c r="AI111" i="268"/>
  <c r="AH111" i="268"/>
  <c r="AF111" i="268"/>
  <c r="AE111" i="268"/>
  <c r="AC111" i="268"/>
  <c r="AA111" i="268"/>
  <c r="Z111" i="268"/>
  <c r="Y111" i="268"/>
  <c r="X111" i="268"/>
  <c r="W111" i="268"/>
  <c r="P111" i="268"/>
  <c r="O111" i="268"/>
  <c r="AD111" i="268" s="1"/>
  <c r="N111" i="268"/>
  <c r="M111" i="268"/>
  <c r="AI110" i="268"/>
  <c r="AH110" i="268"/>
  <c r="W110" i="268"/>
  <c r="AP109" i="268"/>
  <c r="AO109" i="268"/>
  <c r="AV109" i="268" s="1"/>
  <c r="AI109" i="268"/>
  <c r="AH109" i="268"/>
  <c r="AF109" i="268"/>
  <c r="AE109" i="268"/>
  <c r="AC109" i="268"/>
  <c r="AA109" i="268"/>
  <c r="Z109" i="268"/>
  <c r="Y109" i="268"/>
  <c r="X109" i="268"/>
  <c r="W109" i="268"/>
  <c r="P109" i="268"/>
  <c r="O109" i="268"/>
  <c r="AD109" i="268" s="1"/>
  <c r="N109" i="268"/>
  <c r="M109" i="268"/>
  <c r="AP108" i="268"/>
  <c r="AI108" i="268"/>
  <c r="AH108" i="268"/>
  <c r="AF108" i="268"/>
  <c r="AE108" i="268"/>
  <c r="AD108" i="268"/>
  <c r="AB108" i="268"/>
  <c r="AA108" i="268"/>
  <c r="Z108" i="268"/>
  <c r="Y108" i="268"/>
  <c r="X108" i="268"/>
  <c r="W108" i="268"/>
  <c r="P108" i="268"/>
  <c r="O108" i="268"/>
  <c r="N108" i="268"/>
  <c r="M108" i="268"/>
  <c r="AT107" i="268"/>
  <c r="AP107" i="268"/>
  <c r="AO107" i="268"/>
  <c r="AV107" i="268" s="1"/>
  <c r="AI107" i="268"/>
  <c r="AH107" i="268"/>
  <c r="AF107" i="268"/>
  <c r="AE107" i="268"/>
  <c r="AC107" i="268"/>
  <c r="AA107" i="268"/>
  <c r="Z107" i="268"/>
  <c r="Y107" i="268"/>
  <c r="X107" i="268"/>
  <c r="W107" i="268"/>
  <c r="P107" i="268"/>
  <c r="O107" i="268"/>
  <c r="AD107" i="268" s="1"/>
  <c r="N107" i="268"/>
  <c r="M107" i="268"/>
  <c r="AP106" i="268"/>
  <c r="AO106" i="268"/>
  <c r="AV106" i="268" s="1"/>
  <c r="AI106" i="268"/>
  <c r="AH106" i="268"/>
  <c r="AF106" i="268"/>
  <c r="AE106" i="268"/>
  <c r="AD106" i="268"/>
  <c r="AB106" i="268"/>
  <c r="AA106" i="268"/>
  <c r="Z106" i="268"/>
  <c r="Y106" i="268"/>
  <c r="X106" i="268"/>
  <c r="W106" i="268"/>
  <c r="P106" i="268"/>
  <c r="O106" i="268"/>
  <c r="N106" i="268"/>
  <c r="AC106" i="268" s="1"/>
  <c r="M106" i="268"/>
  <c r="AT105" i="268"/>
  <c r="AP105" i="268"/>
  <c r="AO105" i="268"/>
  <c r="AV105" i="268" s="1"/>
  <c r="AI105" i="268"/>
  <c r="AH105" i="268"/>
  <c r="AF105" i="268"/>
  <c r="AE105" i="268"/>
  <c r="AC105" i="268"/>
  <c r="AA105" i="268"/>
  <c r="Z105" i="268"/>
  <c r="Y105" i="268"/>
  <c r="X105" i="268"/>
  <c r="W105" i="268"/>
  <c r="P105" i="268"/>
  <c r="O105" i="268"/>
  <c r="N105" i="268"/>
  <c r="M105" i="268"/>
  <c r="AI104" i="268"/>
  <c r="AH104" i="268"/>
  <c r="W104" i="268"/>
  <c r="AT103" i="268"/>
  <c r="AP103" i="268"/>
  <c r="AO103" i="268"/>
  <c r="AV103" i="268" s="1"/>
  <c r="AI103" i="268"/>
  <c r="AH103" i="268"/>
  <c r="AF103" i="268"/>
  <c r="AE103" i="268"/>
  <c r="AC103" i="268"/>
  <c r="AA103" i="268"/>
  <c r="Z103" i="268"/>
  <c r="Y103" i="268"/>
  <c r="X103" i="268"/>
  <c r="W103" i="268"/>
  <c r="P103" i="268"/>
  <c r="O103" i="268"/>
  <c r="AD103" i="268" s="1"/>
  <c r="N103" i="268"/>
  <c r="M103" i="268"/>
  <c r="AR103" i="268" s="1"/>
  <c r="AP102" i="268"/>
  <c r="AO102" i="268"/>
  <c r="AV102" i="268" s="1"/>
  <c r="AI102" i="268"/>
  <c r="AH102" i="268"/>
  <c r="AF102" i="268"/>
  <c r="AE102" i="268"/>
  <c r="AD102" i="268"/>
  <c r="AB102" i="268"/>
  <c r="AA102" i="268"/>
  <c r="Z102" i="268"/>
  <c r="Y102" i="268"/>
  <c r="X102" i="268"/>
  <c r="W102" i="268"/>
  <c r="P102" i="268"/>
  <c r="O102" i="268"/>
  <c r="N102" i="268"/>
  <c r="AC102" i="268" s="1"/>
  <c r="M102" i="268"/>
  <c r="AI101" i="268"/>
  <c r="AH101" i="268"/>
  <c r="W101" i="268"/>
  <c r="AP100" i="268"/>
  <c r="AI100" i="268"/>
  <c r="AH100" i="268"/>
  <c r="AF100" i="268"/>
  <c r="AE100" i="268"/>
  <c r="AD100" i="268"/>
  <c r="AB100" i="268"/>
  <c r="AA100" i="268"/>
  <c r="Z100" i="268"/>
  <c r="Y100" i="268"/>
  <c r="X100" i="268"/>
  <c r="W100" i="268"/>
  <c r="P100" i="268"/>
  <c r="O100" i="268"/>
  <c r="N100" i="268"/>
  <c r="M100" i="268"/>
  <c r="AI99" i="268"/>
  <c r="AH99" i="268"/>
  <c r="W99" i="268"/>
  <c r="AP98" i="268"/>
  <c r="AI98" i="268"/>
  <c r="AT98" i="268" s="1"/>
  <c r="AH98" i="268"/>
  <c r="AF98" i="268"/>
  <c r="AE98" i="268"/>
  <c r="AD98" i="268"/>
  <c r="AB98" i="268"/>
  <c r="AA98" i="268"/>
  <c r="Z98" i="268"/>
  <c r="Y98" i="268"/>
  <c r="X98" i="268"/>
  <c r="W98" i="268"/>
  <c r="P98" i="268"/>
  <c r="O98" i="268"/>
  <c r="N98" i="268"/>
  <c r="AC98" i="268" s="1"/>
  <c r="M98" i="268"/>
  <c r="AP97" i="268"/>
  <c r="AO97" i="268"/>
  <c r="AV97" i="268" s="1"/>
  <c r="AI97" i="268"/>
  <c r="AH97" i="268"/>
  <c r="AF97" i="268"/>
  <c r="AE97" i="268"/>
  <c r="AC97" i="268"/>
  <c r="AA97" i="268"/>
  <c r="Z97" i="268"/>
  <c r="Y97" i="268"/>
  <c r="X97" i="268"/>
  <c r="W97" i="268"/>
  <c r="P97" i="268"/>
  <c r="O97" i="268"/>
  <c r="AD97" i="268" s="1"/>
  <c r="N97" i="268"/>
  <c r="M97" i="268"/>
  <c r="AP96" i="268"/>
  <c r="AI96" i="268"/>
  <c r="AH96" i="268"/>
  <c r="AF96" i="268"/>
  <c r="AE96" i="268"/>
  <c r="AD96" i="268"/>
  <c r="AB96" i="268"/>
  <c r="AA96" i="268"/>
  <c r="Z96" i="268"/>
  <c r="Y96" i="268"/>
  <c r="X96" i="268"/>
  <c r="W96" i="268"/>
  <c r="P96" i="268"/>
  <c r="O96" i="268"/>
  <c r="N96" i="268"/>
  <c r="M96" i="268"/>
  <c r="AI95" i="268"/>
  <c r="AH95" i="268"/>
  <c r="W95" i="268"/>
  <c r="AP94" i="268"/>
  <c r="AI94" i="268"/>
  <c r="AT94" i="268" s="1"/>
  <c r="AH94" i="268"/>
  <c r="AF94" i="268"/>
  <c r="AE94" i="268"/>
  <c r="AD94" i="268"/>
  <c r="AB94" i="268"/>
  <c r="AA94" i="268"/>
  <c r="Z94" i="268"/>
  <c r="Y94" i="268"/>
  <c r="X94" i="268"/>
  <c r="W94" i="268"/>
  <c r="P94" i="268"/>
  <c r="O94" i="268"/>
  <c r="N94" i="268"/>
  <c r="AC94" i="268" s="1"/>
  <c r="M94" i="268"/>
  <c r="AP93" i="268"/>
  <c r="AO93" i="268"/>
  <c r="AV93" i="268" s="1"/>
  <c r="AI93" i="268"/>
  <c r="AH93" i="268"/>
  <c r="AF93" i="268"/>
  <c r="AE93" i="268"/>
  <c r="AC93" i="268"/>
  <c r="AA93" i="268"/>
  <c r="Z93" i="268"/>
  <c r="Y93" i="268"/>
  <c r="X93" i="268"/>
  <c r="W93" i="268"/>
  <c r="P93" i="268"/>
  <c r="O93" i="268"/>
  <c r="AD93" i="268" s="1"/>
  <c r="N93" i="268"/>
  <c r="M93" i="268"/>
  <c r="AI92" i="268"/>
  <c r="AH92" i="268"/>
  <c r="W92" i="268"/>
  <c r="AT91" i="268"/>
  <c r="AP91" i="268"/>
  <c r="AO91" i="268"/>
  <c r="AV91" i="268" s="1"/>
  <c r="AI91" i="268"/>
  <c r="AH91" i="268"/>
  <c r="AF91" i="268"/>
  <c r="AE91" i="268"/>
  <c r="AC91" i="268"/>
  <c r="AA91" i="268"/>
  <c r="Z91" i="268"/>
  <c r="Y91" i="268"/>
  <c r="X91" i="268"/>
  <c r="W91" i="268"/>
  <c r="P91" i="268"/>
  <c r="O91" i="268"/>
  <c r="N91" i="268"/>
  <c r="M91" i="268"/>
  <c r="AR91" i="268" s="1"/>
  <c r="AP90" i="268"/>
  <c r="AI90" i="268"/>
  <c r="AT90" i="268" s="1"/>
  <c r="AH90" i="268"/>
  <c r="AF90" i="268"/>
  <c r="AE90" i="268"/>
  <c r="AD90" i="268"/>
  <c r="AB90" i="268"/>
  <c r="AA90" i="268"/>
  <c r="Z90" i="268"/>
  <c r="Y90" i="268"/>
  <c r="X90" i="268"/>
  <c r="W90" i="268"/>
  <c r="P90" i="268"/>
  <c r="O90" i="268"/>
  <c r="N90" i="268"/>
  <c r="AC90" i="268" s="1"/>
  <c r="M90" i="268"/>
  <c r="AP89" i="268"/>
  <c r="AO89" i="268"/>
  <c r="AV89" i="268" s="1"/>
  <c r="AI89" i="268"/>
  <c r="AH89" i="268"/>
  <c r="AF89" i="268"/>
  <c r="AE89" i="268"/>
  <c r="AC89" i="268"/>
  <c r="AA89" i="268"/>
  <c r="Z89" i="268"/>
  <c r="Y89" i="268"/>
  <c r="X89" i="268"/>
  <c r="W89" i="268"/>
  <c r="P89" i="268"/>
  <c r="O89" i="268"/>
  <c r="AD89" i="268" s="1"/>
  <c r="N89" i="268"/>
  <c r="M89" i="268"/>
  <c r="AP88" i="268"/>
  <c r="AI88" i="268"/>
  <c r="AH88" i="268"/>
  <c r="AF88" i="268"/>
  <c r="AE88" i="268"/>
  <c r="AD88" i="268"/>
  <c r="AB88" i="268"/>
  <c r="AA88" i="268"/>
  <c r="Z88" i="268"/>
  <c r="Y88" i="268"/>
  <c r="X88" i="268"/>
  <c r="W88" i="268"/>
  <c r="P88" i="268"/>
  <c r="O88" i="268"/>
  <c r="N88" i="268"/>
  <c r="M88" i="268"/>
  <c r="AT87" i="268"/>
  <c r="AP87" i="268"/>
  <c r="AO87" i="268"/>
  <c r="AV87" i="268" s="1"/>
  <c r="AI87" i="268"/>
  <c r="AH87" i="268"/>
  <c r="AF87" i="268"/>
  <c r="AE87" i="268"/>
  <c r="AC87" i="268"/>
  <c r="AA87" i="268"/>
  <c r="Z87" i="268"/>
  <c r="Y87" i="268"/>
  <c r="X87" i="268"/>
  <c r="W87" i="268"/>
  <c r="P87" i="268"/>
  <c r="O87" i="268"/>
  <c r="AD87" i="268" s="1"/>
  <c r="N87" i="268"/>
  <c r="M87" i="268"/>
  <c r="AP86" i="268"/>
  <c r="AO86" i="268"/>
  <c r="AV86" i="268" s="1"/>
  <c r="AI86" i="268"/>
  <c r="AH86" i="268"/>
  <c r="AF86" i="268"/>
  <c r="AE86" i="268"/>
  <c r="AD86" i="268"/>
  <c r="AB86" i="268"/>
  <c r="AA86" i="268"/>
  <c r="Z86" i="268"/>
  <c r="Y86" i="268"/>
  <c r="X86" i="268"/>
  <c r="W86" i="268"/>
  <c r="P86" i="268"/>
  <c r="O86" i="268"/>
  <c r="N86" i="268"/>
  <c r="AC86" i="268" s="1"/>
  <c r="M86" i="268"/>
  <c r="AI85" i="268"/>
  <c r="AH85" i="268"/>
  <c r="W85" i="268"/>
  <c r="AP84" i="268"/>
  <c r="AI84" i="268"/>
  <c r="AH84" i="268"/>
  <c r="AF84" i="268"/>
  <c r="AE84" i="268"/>
  <c r="AD84" i="268"/>
  <c r="AB84" i="268"/>
  <c r="AA84" i="268"/>
  <c r="Z84" i="268"/>
  <c r="Y84" i="268"/>
  <c r="X84" i="268"/>
  <c r="W84" i="268"/>
  <c r="P84" i="268"/>
  <c r="O84" i="268"/>
  <c r="N84" i="268"/>
  <c r="M84" i="268"/>
  <c r="AT83" i="268"/>
  <c r="AQ83" i="268"/>
  <c r="AP83" i="268"/>
  <c r="AO83" i="268"/>
  <c r="AV83" i="268" s="1"/>
  <c r="AI83" i="268"/>
  <c r="AH83" i="268"/>
  <c r="AF83" i="268"/>
  <c r="AE83" i="268"/>
  <c r="AC83" i="268"/>
  <c r="AA83" i="268"/>
  <c r="Z83" i="268"/>
  <c r="Y83" i="268"/>
  <c r="X83" i="268"/>
  <c r="W83" i="268"/>
  <c r="P83" i="268"/>
  <c r="O83" i="268"/>
  <c r="AD83" i="268" s="1"/>
  <c r="N83" i="268"/>
  <c r="M83" i="268"/>
  <c r="AP82" i="268"/>
  <c r="AO82" i="268"/>
  <c r="AV82" i="268" s="1"/>
  <c r="AI82" i="268"/>
  <c r="AH82" i="268"/>
  <c r="AF82" i="268"/>
  <c r="AE82" i="268"/>
  <c r="AD82" i="268"/>
  <c r="AB82" i="268"/>
  <c r="AA82" i="268"/>
  <c r="Z82" i="268"/>
  <c r="Y82" i="268"/>
  <c r="X82" i="268"/>
  <c r="W82" i="268"/>
  <c r="P82" i="268"/>
  <c r="O82" i="268"/>
  <c r="N82" i="268"/>
  <c r="AC82" i="268" s="1"/>
  <c r="M82" i="268"/>
  <c r="AT81" i="268"/>
  <c r="AP81" i="268"/>
  <c r="AO81" i="268"/>
  <c r="AV81" i="268" s="1"/>
  <c r="AI81" i="268"/>
  <c r="AH81" i="268"/>
  <c r="AF81" i="268"/>
  <c r="AE81" i="268"/>
  <c r="AC81" i="268"/>
  <c r="AA81" i="268"/>
  <c r="Z81" i="268"/>
  <c r="Y81" i="268"/>
  <c r="X81" i="268"/>
  <c r="W81" i="268"/>
  <c r="P81" i="268"/>
  <c r="O81" i="268"/>
  <c r="N81" i="268"/>
  <c r="M81" i="268"/>
  <c r="AP80" i="268"/>
  <c r="AI80" i="268"/>
  <c r="AT80" i="268" s="1"/>
  <c r="AH80" i="268"/>
  <c r="AF80" i="268"/>
  <c r="AE80" i="268"/>
  <c r="AD80" i="268"/>
  <c r="AB80" i="268"/>
  <c r="AA80" i="268"/>
  <c r="Z80" i="268"/>
  <c r="Y80" i="268"/>
  <c r="X80" i="268"/>
  <c r="W80" i="268"/>
  <c r="P80" i="268"/>
  <c r="O80" i="268"/>
  <c r="N80" i="268"/>
  <c r="M80" i="268"/>
  <c r="AV79" i="268"/>
  <c r="AQ79" i="268"/>
  <c r="AP79" i="268"/>
  <c r="AO79" i="268"/>
  <c r="AI79" i="268"/>
  <c r="AH79" i="268"/>
  <c r="AF79" i="268"/>
  <c r="AE79" i="268"/>
  <c r="AC79" i="268"/>
  <c r="AA79" i="268"/>
  <c r="Z79" i="268"/>
  <c r="Y79" i="268"/>
  <c r="X79" i="268"/>
  <c r="W79" i="268"/>
  <c r="P79" i="268"/>
  <c r="O79" i="268"/>
  <c r="AD79" i="268" s="1"/>
  <c r="N79" i="268"/>
  <c r="M79" i="268"/>
  <c r="AP78" i="268"/>
  <c r="AI78" i="268"/>
  <c r="AH78" i="268"/>
  <c r="AF78" i="268"/>
  <c r="AE78" i="268"/>
  <c r="AD78" i="268"/>
  <c r="AB78" i="268"/>
  <c r="AA78" i="268"/>
  <c r="Z78" i="268"/>
  <c r="Y78" i="268"/>
  <c r="X78" i="268"/>
  <c r="W78" i="268"/>
  <c r="P78" i="268"/>
  <c r="O78" i="268"/>
  <c r="N78" i="268"/>
  <c r="M78" i="268"/>
  <c r="AT77" i="268"/>
  <c r="AP77" i="268"/>
  <c r="AO77" i="268"/>
  <c r="AV77" i="268" s="1"/>
  <c r="AI77" i="268"/>
  <c r="AH77" i="268"/>
  <c r="AF77" i="268"/>
  <c r="AE77" i="268"/>
  <c r="AC77" i="268"/>
  <c r="AA77" i="268"/>
  <c r="Z77" i="268"/>
  <c r="Y77" i="268"/>
  <c r="X77" i="268"/>
  <c r="W77" i="268"/>
  <c r="P77" i="268"/>
  <c r="O77" i="268"/>
  <c r="AD77" i="268" s="1"/>
  <c r="N77" i="268"/>
  <c r="M77" i="268"/>
  <c r="AR76" i="268"/>
  <c r="AP76" i="268"/>
  <c r="AO76" i="268"/>
  <c r="AV76" i="268" s="1"/>
  <c r="AI76" i="268"/>
  <c r="AH76" i="268"/>
  <c r="AF76" i="268"/>
  <c r="AE76" i="268"/>
  <c r="AD76" i="268"/>
  <c r="AB76" i="268"/>
  <c r="AA76" i="268"/>
  <c r="Z76" i="268"/>
  <c r="Y76" i="268"/>
  <c r="X76" i="268"/>
  <c r="W76" i="268"/>
  <c r="P76" i="268"/>
  <c r="O76" i="268"/>
  <c r="N76" i="268"/>
  <c r="AC76" i="268" s="1"/>
  <c r="M76" i="268"/>
  <c r="AT75" i="268"/>
  <c r="AP75" i="268"/>
  <c r="AO75" i="268"/>
  <c r="AV75" i="268" s="1"/>
  <c r="AI75" i="268"/>
  <c r="AN75" i="268" s="1"/>
  <c r="AH75" i="268"/>
  <c r="AF75" i="268"/>
  <c r="AE75" i="268"/>
  <c r="AC75" i="268"/>
  <c r="AA75" i="268"/>
  <c r="Z75" i="268"/>
  <c r="Y75" i="268"/>
  <c r="X75" i="268"/>
  <c r="W75" i="268"/>
  <c r="P75" i="268"/>
  <c r="O75" i="268"/>
  <c r="N75" i="268"/>
  <c r="M75" i="268"/>
  <c r="AP74" i="268"/>
  <c r="AI74" i="268"/>
  <c r="AT74" i="268" s="1"/>
  <c r="AH74" i="268"/>
  <c r="AF74" i="268"/>
  <c r="AE74" i="268"/>
  <c r="AD74" i="268"/>
  <c r="AB74" i="268"/>
  <c r="AA74" i="268"/>
  <c r="Z74" i="268"/>
  <c r="Y74" i="268"/>
  <c r="X74" i="268"/>
  <c r="W74" i="268"/>
  <c r="P74" i="268"/>
  <c r="O74" i="268"/>
  <c r="N74" i="268"/>
  <c r="M74" i="268"/>
  <c r="AP73" i="268"/>
  <c r="AO73" i="268"/>
  <c r="AV73" i="268" s="1"/>
  <c r="AI73" i="268"/>
  <c r="AN73" i="268" s="1"/>
  <c r="AH73" i="268"/>
  <c r="AF73" i="268"/>
  <c r="AE73" i="268"/>
  <c r="AC73" i="268"/>
  <c r="AA73" i="268"/>
  <c r="Z73" i="268"/>
  <c r="Y73" i="268"/>
  <c r="X73" i="268"/>
  <c r="W73" i="268"/>
  <c r="P73" i="268"/>
  <c r="O73" i="268"/>
  <c r="AD73" i="268" s="1"/>
  <c r="N73" i="268"/>
  <c r="M73" i="268"/>
  <c r="AP72" i="268"/>
  <c r="AI72" i="268"/>
  <c r="AH72" i="268"/>
  <c r="AF72" i="268"/>
  <c r="AE72" i="268"/>
  <c r="AD72" i="268"/>
  <c r="AB72" i="268"/>
  <c r="AA72" i="268"/>
  <c r="Z72" i="268"/>
  <c r="Y72" i="268"/>
  <c r="X72" i="268"/>
  <c r="W72" i="268"/>
  <c r="P72" i="268"/>
  <c r="O72" i="268"/>
  <c r="N72" i="268"/>
  <c r="M72" i="268"/>
  <c r="AT71" i="268"/>
  <c r="AP71" i="268"/>
  <c r="AO71" i="268"/>
  <c r="AV71" i="268" s="1"/>
  <c r="AI71" i="268"/>
  <c r="AH71" i="268"/>
  <c r="AF71" i="268"/>
  <c r="AE71" i="268"/>
  <c r="AC71" i="268"/>
  <c r="AA71" i="268"/>
  <c r="Z71" i="268"/>
  <c r="Y71" i="268"/>
  <c r="X71" i="268"/>
  <c r="W71" i="268"/>
  <c r="P71" i="268"/>
  <c r="O71" i="268"/>
  <c r="AD71" i="268" s="1"/>
  <c r="N71" i="268"/>
  <c r="M71" i="268"/>
  <c r="AI70" i="268"/>
  <c r="AH70" i="268"/>
  <c r="W70" i="268"/>
  <c r="AV69" i="268"/>
  <c r="AQ69" i="268"/>
  <c r="AP69" i="268"/>
  <c r="AO69" i="268"/>
  <c r="AI69" i="268"/>
  <c r="AH69" i="268"/>
  <c r="AF69" i="268"/>
  <c r="AE69" i="268"/>
  <c r="AC69" i="268"/>
  <c r="AA69" i="268"/>
  <c r="Z69" i="268"/>
  <c r="Y69" i="268"/>
  <c r="X69" i="268"/>
  <c r="W69" i="268"/>
  <c r="P69" i="268"/>
  <c r="O69" i="268"/>
  <c r="AD69" i="268" s="1"/>
  <c r="N69" i="268"/>
  <c r="M69" i="268"/>
  <c r="AP68" i="268"/>
  <c r="AI68" i="268"/>
  <c r="AH68" i="268"/>
  <c r="AF68" i="268"/>
  <c r="AE68" i="268"/>
  <c r="AD68" i="268"/>
  <c r="AB68" i="268"/>
  <c r="AA68" i="268"/>
  <c r="Z68" i="268"/>
  <c r="Y68" i="268"/>
  <c r="X68" i="268"/>
  <c r="W68" i="268"/>
  <c r="P68" i="268"/>
  <c r="O68" i="268"/>
  <c r="N68" i="268"/>
  <c r="M68" i="268"/>
  <c r="AT67" i="268"/>
  <c r="AP67" i="268"/>
  <c r="AO67" i="268"/>
  <c r="AV67" i="268" s="1"/>
  <c r="AI67" i="268"/>
  <c r="AH67" i="268"/>
  <c r="AF67" i="268"/>
  <c r="AE67" i="268"/>
  <c r="AC67" i="268"/>
  <c r="AA67" i="268"/>
  <c r="Z67" i="268"/>
  <c r="Y67" i="268"/>
  <c r="X67" i="268"/>
  <c r="W67" i="268"/>
  <c r="P67" i="268"/>
  <c r="O67" i="268"/>
  <c r="AD67" i="268" s="1"/>
  <c r="N67" i="268"/>
  <c r="M67" i="268"/>
  <c r="AR66" i="268"/>
  <c r="AP66" i="268"/>
  <c r="AO66" i="268"/>
  <c r="AV66" i="268" s="1"/>
  <c r="AI66" i="268"/>
  <c r="AH66" i="268"/>
  <c r="AF66" i="268"/>
  <c r="AE66" i="268"/>
  <c r="AD66" i="268"/>
  <c r="AB66" i="268"/>
  <c r="AA66" i="268"/>
  <c r="Z66" i="268"/>
  <c r="Y66" i="268"/>
  <c r="X66" i="268"/>
  <c r="W66" i="268"/>
  <c r="P66" i="268"/>
  <c r="O66" i="268"/>
  <c r="N66" i="268"/>
  <c r="AC66" i="268" s="1"/>
  <c r="M66" i="268"/>
  <c r="AT65" i="268"/>
  <c r="AP65" i="268"/>
  <c r="AO65" i="268"/>
  <c r="AV65" i="268" s="1"/>
  <c r="AI65" i="268"/>
  <c r="AH65" i="268"/>
  <c r="AF65" i="268"/>
  <c r="AE65" i="268"/>
  <c r="AC65" i="268"/>
  <c r="AA65" i="268"/>
  <c r="Z65" i="268"/>
  <c r="Y65" i="268"/>
  <c r="X65" i="268"/>
  <c r="W65" i="268"/>
  <c r="P65" i="268"/>
  <c r="O65" i="268"/>
  <c r="N65" i="268"/>
  <c r="M65" i="268"/>
  <c r="AI64" i="268"/>
  <c r="AH64" i="268"/>
  <c r="W64" i="268"/>
  <c r="AT63" i="268"/>
  <c r="AQ63" i="268"/>
  <c r="AP63" i="268"/>
  <c r="AO63" i="268"/>
  <c r="AV63" i="268" s="1"/>
  <c r="AI63" i="268"/>
  <c r="AH63" i="268"/>
  <c r="AF63" i="268"/>
  <c r="AE63" i="268"/>
  <c r="AC63" i="268"/>
  <c r="AA63" i="268"/>
  <c r="Z63" i="268"/>
  <c r="Y63" i="268"/>
  <c r="X63" i="268"/>
  <c r="W63" i="268"/>
  <c r="P63" i="268"/>
  <c r="O63" i="268"/>
  <c r="AD63" i="268" s="1"/>
  <c r="N63" i="268"/>
  <c r="M63" i="268"/>
  <c r="AP62" i="268"/>
  <c r="AO62" i="268"/>
  <c r="AV62" i="268" s="1"/>
  <c r="AI62" i="268"/>
  <c r="AH62" i="268"/>
  <c r="AF62" i="268"/>
  <c r="AE62" i="268"/>
  <c r="AD62" i="268"/>
  <c r="AB62" i="268"/>
  <c r="AA62" i="268"/>
  <c r="Z62" i="268"/>
  <c r="Y62" i="268"/>
  <c r="X62" i="268"/>
  <c r="W62" i="268"/>
  <c r="P62" i="268"/>
  <c r="O62" i="268"/>
  <c r="N62" i="268"/>
  <c r="AC62" i="268" s="1"/>
  <c r="M62" i="268"/>
  <c r="AI61" i="268"/>
  <c r="AH61" i="268"/>
  <c r="W61" i="268"/>
  <c r="AP60" i="268"/>
  <c r="AI60" i="268"/>
  <c r="AH60" i="268"/>
  <c r="AF60" i="268"/>
  <c r="AE60" i="268"/>
  <c r="AD60" i="268"/>
  <c r="AB60" i="268"/>
  <c r="AA60" i="268"/>
  <c r="Z60" i="268"/>
  <c r="Y60" i="268"/>
  <c r="X60" i="268"/>
  <c r="W60" i="268"/>
  <c r="P60" i="268"/>
  <c r="O60" i="268"/>
  <c r="N60" i="268"/>
  <c r="M60" i="268"/>
  <c r="AT59" i="268"/>
  <c r="AP59" i="268"/>
  <c r="AO59" i="268"/>
  <c r="AV59" i="268" s="1"/>
  <c r="AI59" i="268"/>
  <c r="AH59" i="268"/>
  <c r="AF59" i="268"/>
  <c r="AE59" i="268"/>
  <c r="AC59" i="268"/>
  <c r="AA59" i="268"/>
  <c r="Z59" i="268"/>
  <c r="Y59" i="268"/>
  <c r="X59" i="268"/>
  <c r="W59" i="268"/>
  <c r="P59" i="268"/>
  <c r="O59" i="268"/>
  <c r="AD59" i="268" s="1"/>
  <c r="N59" i="268"/>
  <c r="M59" i="268"/>
  <c r="AR58" i="268"/>
  <c r="AP58" i="268"/>
  <c r="AO58" i="268"/>
  <c r="AV58" i="268" s="1"/>
  <c r="AI58" i="268"/>
  <c r="AH58" i="268"/>
  <c r="AF58" i="268"/>
  <c r="AE58" i="268"/>
  <c r="AD58" i="268"/>
  <c r="AB58" i="268"/>
  <c r="AA58" i="268"/>
  <c r="Z58" i="268"/>
  <c r="Y58" i="268"/>
  <c r="X58" i="268"/>
  <c r="W58" i="268"/>
  <c r="P58" i="268"/>
  <c r="O58" i="268"/>
  <c r="N58" i="268"/>
  <c r="AC58" i="268" s="1"/>
  <c r="M58" i="268"/>
  <c r="AT57" i="268"/>
  <c r="AP57" i="268"/>
  <c r="AO57" i="268"/>
  <c r="AV57" i="268" s="1"/>
  <c r="AI57" i="268"/>
  <c r="AN57" i="268" s="1"/>
  <c r="AH57" i="268"/>
  <c r="AF57" i="268"/>
  <c r="AE57" i="268"/>
  <c r="AC57" i="268"/>
  <c r="AA57" i="268"/>
  <c r="Z57" i="268"/>
  <c r="Y57" i="268"/>
  <c r="X57" i="268"/>
  <c r="W57" i="268"/>
  <c r="P57" i="268"/>
  <c r="O57" i="268"/>
  <c r="N57" i="268"/>
  <c r="M57" i="268"/>
  <c r="AP56" i="268"/>
  <c r="AI56" i="268"/>
  <c r="AT56" i="268" s="1"/>
  <c r="AH56" i="268"/>
  <c r="AF56" i="268"/>
  <c r="AE56" i="268"/>
  <c r="AD56" i="268"/>
  <c r="AB56" i="268"/>
  <c r="AA56" i="268"/>
  <c r="Z56" i="268"/>
  <c r="Y56" i="268"/>
  <c r="X56" i="268"/>
  <c r="W56" i="268"/>
  <c r="P56" i="268"/>
  <c r="O56" i="268"/>
  <c r="N56" i="268"/>
  <c r="M56" i="268"/>
  <c r="AP55" i="268"/>
  <c r="AO55" i="268"/>
  <c r="AV55" i="268" s="1"/>
  <c r="AI55" i="268"/>
  <c r="AN55" i="268" s="1"/>
  <c r="AH55" i="268"/>
  <c r="AF55" i="268"/>
  <c r="AE55" i="268"/>
  <c r="AC55" i="268"/>
  <c r="AA55" i="268"/>
  <c r="Z55" i="268"/>
  <c r="Y55" i="268"/>
  <c r="X55" i="268"/>
  <c r="W55" i="268"/>
  <c r="P55" i="268"/>
  <c r="O55" i="268"/>
  <c r="AD55" i="268" s="1"/>
  <c r="N55" i="268"/>
  <c r="M55" i="268"/>
  <c r="AI54" i="268"/>
  <c r="AH54" i="268"/>
  <c r="W54" i="268"/>
  <c r="AT53" i="268"/>
  <c r="AP53" i="268"/>
  <c r="AI53" i="268"/>
  <c r="AH53" i="268"/>
  <c r="AF53" i="268"/>
  <c r="AE53" i="268"/>
  <c r="AA53" i="268"/>
  <c r="Z53" i="268"/>
  <c r="Y53" i="268"/>
  <c r="X53" i="268"/>
  <c r="W53" i="268"/>
  <c r="P53" i="268"/>
  <c r="O53" i="268"/>
  <c r="N53" i="268"/>
  <c r="AO53" i="268" s="1"/>
  <c r="AV53" i="268" s="1"/>
  <c r="M53" i="268"/>
  <c r="AP52" i="268"/>
  <c r="AI52" i="268"/>
  <c r="AT52" i="268" s="1"/>
  <c r="AH52" i="268"/>
  <c r="AF52" i="268"/>
  <c r="AE52" i="268"/>
  <c r="AB52" i="268"/>
  <c r="AA52" i="268"/>
  <c r="Z52" i="268"/>
  <c r="Y52" i="268"/>
  <c r="X52" i="268"/>
  <c r="W52" i="268"/>
  <c r="P52" i="268"/>
  <c r="O52" i="268"/>
  <c r="AQ52" i="268" s="1"/>
  <c r="N52" i="268"/>
  <c r="M52" i="268"/>
  <c r="AV51" i="268"/>
  <c r="AP51" i="268"/>
  <c r="AO51" i="268"/>
  <c r="AI51" i="268"/>
  <c r="AH51" i="268"/>
  <c r="AF51" i="268"/>
  <c r="AE51" i="268"/>
  <c r="AC51" i="268"/>
  <c r="AB51" i="268"/>
  <c r="AA51" i="268"/>
  <c r="Z51" i="268"/>
  <c r="Y51" i="268"/>
  <c r="X51" i="268"/>
  <c r="W51" i="268"/>
  <c r="P51" i="268"/>
  <c r="O51" i="268"/>
  <c r="N51" i="268"/>
  <c r="M51" i="268"/>
  <c r="AR51" i="268" s="1"/>
  <c r="AT50" i="268"/>
  <c r="AP50" i="268"/>
  <c r="AJ50" i="268"/>
  <c r="AI50" i="268"/>
  <c r="AH50" i="268"/>
  <c r="AF50" i="268"/>
  <c r="AE50" i="268"/>
  <c r="AD50" i="268"/>
  <c r="AC50" i="268"/>
  <c r="AB50" i="268"/>
  <c r="AA50" i="268"/>
  <c r="Z50" i="268"/>
  <c r="Y50" i="268"/>
  <c r="X50" i="268"/>
  <c r="W50" i="268"/>
  <c r="P50" i="268"/>
  <c r="O50" i="268"/>
  <c r="N50" i="268"/>
  <c r="AO50" i="268" s="1"/>
  <c r="AV50" i="268" s="1"/>
  <c r="M50" i="268"/>
  <c r="AI49" i="268"/>
  <c r="AH49" i="268"/>
  <c r="W49" i="268"/>
  <c r="AP48" i="268"/>
  <c r="AI48" i="268"/>
  <c r="AT48" i="268" s="1"/>
  <c r="AH48" i="268"/>
  <c r="AF48" i="268"/>
  <c r="AE48" i="268"/>
  <c r="AB48" i="268"/>
  <c r="AA48" i="268"/>
  <c r="Z48" i="268"/>
  <c r="Y48" i="268"/>
  <c r="X48" i="268"/>
  <c r="W48" i="268"/>
  <c r="P48" i="268"/>
  <c r="O48" i="268"/>
  <c r="N48" i="268"/>
  <c r="M48" i="268"/>
  <c r="AV47" i="268"/>
  <c r="AP47" i="268"/>
  <c r="AO47" i="268"/>
  <c r="AI47" i="268"/>
  <c r="AH47" i="268"/>
  <c r="AF47" i="268"/>
  <c r="AE47" i="268"/>
  <c r="AC47" i="268"/>
  <c r="AA47" i="268"/>
  <c r="Z47" i="268"/>
  <c r="Y47" i="268"/>
  <c r="X47" i="268"/>
  <c r="W47" i="268"/>
  <c r="P47" i="268"/>
  <c r="O47" i="268"/>
  <c r="AD47" i="268" s="1"/>
  <c r="N47" i="268"/>
  <c r="M47" i="268"/>
  <c r="AB47" i="268" s="1"/>
  <c r="AR46" i="268"/>
  <c r="AP46" i="268"/>
  <c r="AI46" i="268"/>
  <c r="AT46" i="268" s="1"/>
  <c r="AH46" i="268"/>
  <c r="AF46" i="268"/>
  <c r="AE46" i="268"/>
  <c r="AD46" i="268"/>
  <c r="AB46" i="268"/>
  <c r="AA46" i="268"/>
  <c r="Z46" i="268"/>
  <c r="Y46" i="268"/>
  <c r="X46" i="268"/>
  <c r="W46" i="268"/>
  <c r="P46" i="268"/>
  <c r="O46" i="268"/>
  <c r="AQ46" i="268" s="1"/>
  <c r="N46" i="268"/>
  <c r="AO46" i="268" s="1"/>
  <c r="AV46" i="268" s="1"/>
  <c r="M46" i="268"/>
  <c r="AT45" i="268"/>
  <c r="AQ45" i="268"/>
  <c r="AP45" i="268"/>
  <c r="AO45" i="268"/>
  <c r="AV45" i="268" s="1"/>
  <c r="AJ45" i="268"/>
  <c r="AI45" i="268"/>
  <c r="AH45" i="268"/>
  <c r="AF45" i="268"/>
  <c r="AE45" i="268"/>
  <c r="AD45" i="268"/>
  <c r="AC45" i="268"/>
  <c r="AA45" i="268"/>
  <c r="Z45" i="268"/>
  <c r="Y45" i="268"/>
  <c r="X45" i="268"/>
  <c r="W45" i="268"/>
  <c r="P45" i="268"/>
  <c r="O45" i="268"/>
  <c r="N45" i="268"/>
  <c r="M45" i="268"/>
  <c r="AI44" i="268"/>
  <c r="AH44" i="268"/>
  <c r="W44" i="268"/>
  <c r="AP43" i="268"/>
  <c r="AO43" i="268"/>
  <c r="AV43" i="268" s="1"/>
  <c r="AI43" i="268"/>
  <c r="AH43" i="268"/>
  <c r="AF43" i="268"/>
  <c r="AE43" i="268"/>
  <c r="AC43" i="268"/>
  <c r="AA43" i="268"/>
  <c r="Z43" i="268"/>
  <c r="Y43" i="268"/>
  <c r="X43" i="268"/>
  <c r="W43" i="268"/>
  <c r="P43" i="268"/>
  <c r="O43" i="268"/>
  <c r="AD43" i="268" s="1"/>
  <c r="N43" i="268"/>
  <c r="M43" i="268"/>
  <c r="AB43" i="268" s="1"/>
  <c r="AP42" i="268"/>
  <c r="AI42" i="268"/>
  <c r="AH42" i="268"/>
  <c r="AF42" i="268"/>
  <c r="AE42" i="268"/>
  <c r="AD42" i="268"/>
  <c r="AC42" i="268"/>
  <c r="AB42" i="268"/>
  <c r="AA42" i="268"/>
  <c r="Z42" i="268"/>
  <c r="Y42" i="268"/>
  <c r="X42" i="268"/>
  <c r="W42" i="268"/>
  <c r="P42" i="268"/>
  <c r="O42" i="268"/>
  <c r="AQ42" i="268" s="1"/>
  <c r="N42" i="268"/>
  <c r="AO42" i="268" s="1"/>
  <c r="AV42" i="268" s="1"/>
  <c r="M42" i="268"/>
  <c r="AV41" i="268"/>
  <c r="AT41" i="268"/>
  <c r="AP41" i="268"/>
  <c r="AO41" i="268"/>
  <c r="AI41" i="268"/>
  <c r="AH41" i="268"/>
  <c r="AF41" i="268"/>
  <c r="AE41" i="268"/>
  <c r="AC41" i="268"/>
  <c r="AA41" i="268"/>
  <c r="Z41" i="268"/>
  <c r="Y41" i="268"/>
  <c r="X41" i="268"/>
  <c r="W41" i="268"/>
  <c r="P41" i="268"/>
  <c r="O41" i="268"/>
  <c r="N41" i="268"/>
  <c r="M41" i="268"/>
  <c r="AI40" i="268"/>
  <c r="AH40" i="268"/>
  <c r="W40" i="268"/>
  <c r="AV39" i="268"/>
  <c r="AP39" i="268"/>
  <c r="AO39" i="268"/>
  <c r="AJ39" i="268"/>
  <c r="AI39" i="268"/>
  <c r="AH39" i="268"/>
  <c r="AF39" i="268"/>
  <c r="AE39" i="268"/>
  <c r="AC39" i="268"/>
  <c r="AB39" i="268"/>
  <c r="AA39" i="268"/>
  <c r="Z39" i="268"/>
  <c r="Y39" i="268"/>
  <c r="X39" i="268"/>
  <c r="W39" i="268"/>
  <c r="P39" i="268"/>
  <c r="O39" i="268"/>
  <c r="AD39" i="268" s="1"/>
  <c r="N39" i="268"/>
  <c r="M39" i="268"/>
  <c r="AR39" i="268" s="1"/>
  <c r="AR38" i="268"/>
  <c r="AP38" i="268"/>
  <c r="AI38" i="268"/>
  <c r="AH38" i="268"/>
  <c r="AF38" i="268"/>
  <c r="AE38" i="268"/>
  <c r="AD38" i="268"/>
  <c r="AB38" i="268"/>
  <c r="AA38" i="268"/>
  <c r="Z38" i="268"/>
  <c r="Y38" i="268"/>
  <c r="X38" i="268"/>
  <c r="W38" i="268"/>
  <c r="P38" i="268"/>
  <c r="O38" i="268"/>
  <c r="N38" i="268"/>
  <c r="M38" i="268"/>
  <c r="AT37" i="268"/>
  <c r="AP37" i="268"/>
  <c r="AO37" i="268"/>
  <c r="AV37" i="268" s="1"/>
  <c r="AJ37" i="268"/>
  <c r="AI37" i="268"/>
  <c r="AH37" i="268"/>
  <c r="AF37" i="268"/>
  <c r="AE37" i="268"/>
  <c r="AC37" i="268"/>
  <c r="AA37" i="268"/>
  <c r="Z37" i="268"/>
  <c r="Y37" i="268"/>
  <c r="X37" i="268"/>
  <c r="W37" i="268"/>
  <c r="P37" i="268"/>
  <c r="O37" i="268"/>
  <c r="AD37" i="268" s="1"/>
  <c r="N37" i="268"/>
  <c r="M37" i="268"/>
  <c r="AI36" i="268"/>
  <c r="AH36" i="268"/>
  <c r="W36" i="268"/>
  <c r="AV35" i="268"/>
  <c r="AR35" i="268"/>
  <c r="AQ35" i="268"/>
  <c r="AP35" i="268"/>
  <c r="AO35" i="268"/>
  <c r="AJ35" i="268"/>
  <c r="AI35" i="268"/>
  <c r="AH35" i="268"/>
  <c r="AF35" i="268"/>
  <c r="AE35" i="268"/>
  <c r="AC35" i="268"/>
  <c r="AB35" i="268"/>
  <c r="AA35" i="268"/>
  <c r="Z35" i="268"/>
  <c r="Y35" i="268"/>
  <c r="X35" i="268"/>
  <c r="W35" i="268"/>
  <c r="P35" i="268"/>
  <c r="O35" i="268"/>
  <c r="AD35" i="268" s="1"/>
  <c r="N35" i="268"/>
  <c r="M35" i="268"/>
  <c r="AT34" i="268"/>
  <c r="AP34" i="268"/>
  <c r="AJ34" i="268"/>
  <c r="AI34" i="268"/>
  <c r="AH34" i="268"/>
  <c r="AF34" i="268"/>
  <c r="AE34" i="268"/>
  <c r="AD34" i="268"/>
  <c r="AB34" i="268"/>
  <c r="AA34" i="268"/>
  <c r="Z34" i="268"/>
  <c r="Y34" i="268"/>
  <c r="X34" i="268"/>
  <c r="W34" i="268"/>
  <c r="P34" i="268"/>
  <c r="O34" i="268"/>
  <c r="AQ34" i="268" s="1"/>
  <c r="N34" i="268"/>
  <c r="AO34" i="268" s="1"/>
  <c r="AV34" i="268" s="1"/>
  <c r="M34" i="268"/>
  <c r="AV33" i="268"/>
  <c r="AT33" i="268"/>
  <c r="AQ33" i="268"/>
  <c r="AP33" i="268"/>
  <c r="AO33" i="268"/>
  <c r="AN33" i="268"/>
  <c r="AJ33" i="268"/>
  <c r="AI33" i="268"/>
  <c r="AH33" i="268"/>
  <c r="AF33" i="268"/>
  <c r="AE33" i="268"/>
  <c r="AD33" i="268"/>
  <c r="AC33" i="268"/>
  <c r="AA33" i="268"/>
  <c r="Z33" i="268"/>
  <c r="Y33" i="268"/>
  <c r="X33" i="268"/>
  <c r="W33" i="268"/>
  <c r="P33" i="268"/>
  <c r="O33" i="268"/>
  <c r="N33" i="268"/>
  <c r="M33" i="268"/>
  <c r="AP32" i="268"/>
  <c r="AI32" i="268"/>
  <c r="AH32" i="268"/>
  <c r="AF32" i="268"/>
  <c r="AE32" i="268"/>
  <c r="AD32" i="268"/>
  <c r="AB32" i="268"/>
  <c r="AA32" i="268"/>
  <c r="Z32" i="268"/>
  <c r="Y32" i="268"/>
  <c r="X32" i="268"/>
  <c r="W32" i="268"/>
  <c r="P32" i="268"/>
  <c r="O32" i="268"/>
  <c r="N32" i="268"/>
  <c r="M32" i="268"/>
  <c r="AR32" i="268" s="1"/>
  <c r="AT31" i="268"/>
  <c r="AQ31" i="268"/>
  <c r="AP31" i="268"/>
  <c r="AO31" i="268"/>
  <c r="AV31" i="268" s="1"/>
  <c r="AJ31" i="268"/>
  <c r="AI31" i="268"/>
  <c r="AH31" i="268"/>
  <c r="AF31" i="268"/>
  <c r="AE31" i="268"/>
  <c r="AC31" i="268"/>
  <c r="AA31" i="268"/>
  <c r="Z31" i="268"/>
  <c r="Y31" i="268"/>
  <c r="X31" i="268"/>
  <c r="W31" i="268"/>
  <c r="P31" i="268"/>
  <c r="O31" i="268"/>
  <c r="AD31" i="268" s="1"/>
  <c r="N31" i="268"/>
  <c r="M31" i="268"/>
  <c r="AQ30" i="268"/>
  <c r="AP30" i="268"/>
  <c r="AI30" i="268"/>
  <c r="AH30" i="268"/>
  <c r="AF30" i="268"/>
  <c r="AE30" i="268"/>
  <c r="AD30" i="268"/>
  <c r="AA30" i="268"/>
  <c r="Z30" i="268"/>
  <c r="Y30" i="268"/>
  <c r="X30" i="268"/>
  <c r="W30" i="268"/>
  <c r="P30" i="268"/>
  <c r="O30" i="268"/>
  <c r="N30" i="268"/>
  <c r="M30" i="268"/>
  <c r="AB30" i="268" s="1"/>
  <c r="AI29" i="268"/>
  <c r="AH29" i="268"/>
  <c r="W29" i="268"/>
  <c r="AR28" i="268"/>
  <c r="AP28" i="268"/>
  <c r="AJ28" i="268"/>
  <c r="AI28" i="268"/>
  <c r="AT28" i="268" s="1"/>
  <c r="AH28" i="268"/>
  <c r="AF28" i="268"/>
  <c r="AE28" i="268"/>
  <c r="AD28" i="268"/>
  <c r="AC28" i="268"/>
  <c r="AB28" i="268"/>
  <c r="AA28" i="268"/>
  <c r="Z28" i="268"/>
  <c r="Y28" i="268"/>
  <c r="X28" i="268"/>
  <c r="W28" i="268"/>
  <c r="P28" i="268"/>
  <c r="O28" i="268"/>
  <c r="AQ28" i="268" s="1"/>
  <c r="N28" i="268"/>
  <c r="AO28" i="268" s="1"/>
  <c r="AV28" i="268" s="1"/>
  <c r="M28" i="268"/>
  <c r="AT27" i="268"/>
  <c r="AQ27" i="268"/>
  <c r="AP27" i="268"/>
  <c r="AJ27" i="268"/>
  <c r="AI27" i="268"/>
  <c r="AH27" i="268"/>
  <c r="AF27" i="268"/>
  <c r="AE27" i="268"/>
  <c r="AD27" i="268"/>
  <c r="AA27" i="268"/>
  <c r="Z27" i="268"/>
  <c r="Y27" i="268"/>
  <c r="X27" i="268"/>
  <c r="W27" i="268"/>
  <c r="P27" i="268"/>
  <c r="O27" i="268"/>
  <c r="N27" i="268"/>
  <c r="M27" i="268"/>
  <c r="AP26" i="268"/>
  <c r="AI26" i="268"/>
  <c r="AH26" i="268"/>
  <c r="AF26" i="268"/>
  <c r="AE26" i="268"/>
  <c r="AD26" i="268"/>
  <c r="AA26" i="268"/>
  <c r="Z26" i="268"/>
  <c r="Y26" i="268"/>
  <c r="X26" i="268"/>
  <c r="W26" i="268"/>
  <c r="P26" i="268"/>
  <c r="O26" i="268"/>
  <c r="AQ26" i="268" s="1"/>
  <c r="N26" i="268"/>
  <c r="AC26" i="268" s="1"/>
  <c r="M26" i="268"/>
  <c r="AB26" i="268" s="1"/>
  <c r="AT25" i="268"/>
  <c r="AP25" i="268"/>
  <c r="AJ25" i="268"/>
  <c r="AI25" i="268"/>
  <c r="AH25" i="268"/>
  <c r="AF25" i="268"/>
  <c r="AE25" i="268"/>
  <c r="AD25" i="268"/>
  <c r="AA25" i="268"/>
  <c r="Z25" i="268"/>
  <c r="Y25" i="268"/>
  <c r="X25" i="268"/>
  <c r="W25" i="268"/>
  <c r="P25" i="268"/>
  <c r="O25" i="268"/>
  <c r="AQ25" i="268" s="1"/>
  <c r="N25" i="268"/>
  <c r="AC25" i="268" s="1"/>
  <c r="M25" i="268"/>
  <c r="AR25" i="268" s="1"/>
  <c r="AV24" i="268"/>
  <c r="AP24" i="268"/>
  <c r="AO24" i="268"/>
  <c r="AI24" i="268"/>
  <c r="AT24" i="268" s="1"/>
  <c r="AH24" i="268"/>
  <c r="AF24" i="268"/>
  <c r="AE24" i="268"/>
  <c r="AA24" i="268"/>
  <c r="Z24" i="268"/>
  <c r="Y24" i="268"/>
  <c r="X24" i="268"/>
  <c r="W24" i="268"/>
  <c r="P24" i="268"/>
  <c r="O24" i="268"/>
  <c r="AD24" i="268" s="1"/>
  <c r="N24" i="268"/>
  <c r="AC24" i="268" s="1"/>
  <c r="M24" i="268"/>
  <c r="AP23" i="268"/>
  <c r="AI23" i="268"/>
  <c r="AN23" i="268" s="1"/>
  <c r="AH23" i="268"/>
  <c r="AF23" i="268"/>
  <c r="AE23" i="268"/>
  <c r="AB23" i="268"/>
  <c r="AA23" i="268"/>
  <c r="Z23" i="268"/>
  <c r="Y23" i="268"/>
  <c r="X23" i="268"/>
  <c r="W23" i="268"/>
  <c r="P23" i="268"/>
  <c r="O23" i="268"/>
  <c r="AD23" i="268" s="1"/>
  <c r="N23" i="268"/>
  <c r="M23" i="268"/>
  <c r="AT22" i="268"/>
  <c r="AP22" i="268"/>
  <c r="AJ22" i="268"/>
  <c r="AI22" i="268"/>
  <c r="AH22" i="268"/>
  <c r="AF22" i="268"/>
  <c r="AE22" i="268"/>
  <c r="AC22" i="268"/>
  <c r="AB22" i="268"/>
  <c r="AA22" i="268"/>
  <c r="Z22" i="268"/>
  <c r="Y22" i="268"/>
  <c r="X22" i="268"/>
  <c r="W22" i="268"/>
  <c r="P22" i="268"/>
  <c r="O22" i="268"/>
  <c r="AD22" i="268" s="1"/>
  <c r="N22" i="268"/>
  <c r="AO22" i="268" s="1"/>
  <c r="AV22" i="268" s="1"/>
  <c r="M22" i="268"/>
  <c r="AR21" i="268"/>
  <c r="AP21" i="268"/>
  <c r="AO21" i="268"/>
  <c r="AV21" i="268" s="1"/>
  <c r="AI21" i="268"/>
  <c r="AH21" i="268"/>
  <c r="AF21" i="268"/>
  <c r="AE21" i="268"/>
  <c r="AD21" i="268"/>
  <c r="AC21" i="268"/>
  <c r="AB21" i="268"/>
  <c r="AA21" i="268"/>
  <c r="Z21" i="268"/>
  <c r="Y21" i="268"/>
  <c r="X21" i="268"/>
  <c r="W21" i="268"/>
  <c r="P21" i="268"/>
  <c r="O21" i="268"/>
  <c r="AQ21" i="268" s="1"/>
  <c r="N21" i="268"/>
  <c r="M21" i="268"/>
  <c r="AI20" i="268"/>
  <c r="AH20" i="268"/>
  <c r="W20" i="268"/>
  <c r="AP19" i="268"/>
  <c r="AI19" i="268"/>
  <c r="AN19" i="268" s="1"/>
  <c r="AH19" i="268"/>
  <c r="AF19" i="268"/>
  <c r="AE19" i="268"/>
  <c r="AB19" i="268"/>
  <c r="AA19" i="268"/>
  <c r="Z19" i="268"/>
  <c r="Y19" i="268"/>
  <c r="X19" i="268"/>
  <c r="W19" i="268"/>
  <c r="P19" i="268"/>
  <c r="O19" i="268"/>
  <c r="AD19" i="268" s="1"/>
  <c r="N19" i="268"/>
  <c r="M19" i="268"/>
  <c r="AT18" i="268"/>
  <c r="AP18" i="268"/>
  <c r="AJ18" i="268"/>
  <c r="AI18" i="268"/>
  <c r="AH18" i="268"/>
  <c r="AF18" i="268"/>
  <c r="AE18" i="268"/>
  <c r="AC18" i="268"/>
  <c r="AB18" i="268"/>
  <c r="AA18" i="268"/>
  <c r="Z18" i="268"/>
  <c r="Y18" i="268"/>
  <c r="X18" i="268"/>
  <c r="W18" i="268"/>
  <c r="P18" i="268"/>
  <c r="O18" i="268"/>
  <c r="AD18" i="268" s="1"/>
  <c r="N18" i="268"/>
  <c r="AO18" i="268" s="1"/>
  <c r="AV18" i="268" s="1"/>
  <c r="M18" i="268"/>
  <c r="AR17" i="268"/>
  <c r="AP17" i="268"/>
  <c r="AO17" i="268"/>
  <c r="AV17" i="268" s="1"/>
  <c r="AI17" i="268"/>
  <c r="AH17" i="268"/>
  <c r="AF17" i="268"/>
  <c r="AE17" i="268"/>
  <c r="AD17" i="268"/>
  <c r="AC17" i="268"/>
  <c r="AB17" i="268"/>
  <c r="AA17" i="268"/>
  <c r="Z17" i="268"/>
  <c r="Y17" i="268"/>
  <c r="X17" i="268"/>
  <c r="W17" i="268"/>
  <c r="P17" i="268"/>
  <c r="O17" i="268"/>
  <c r="AQ17" i="268" s="1"/>
  <c r="N17" i="268"/>
  <c r="M17" i="268"/>
  <c r="AT16" i="268"/>
  <c r="AP16" i="268"/>
  <c r="AO16" i="268"/>
  <c r="AV16" i="268" s="1"/>
  <c r="AJ16" i="268"/>
  <c r="AI16" i="268"/>
  <c r="AH16" i="268"/>
  <c r="AF16" i="268"/>
  <c r="AE16" i="268"/>
  <c r="AD16" i="268"/>
  <c r="AC16" i="268"/>
  <c r="AA16" i="268"/>
  <c r="Z16" i="268"/>
  <c r="Y16" i="268"/>
  <c r="X16" i="268"/>
  <c r="W16" i="268"/>
  <c r="P16" i="268"/>
  <c r="O16" i="268"/>
  <c r="AQ16" i="268" s="1"/>
  <c r="N16" i="268"/>
  <c r="M16" i="268"/>
  <c r="AR16" i="268" s="1"/>
  <c r="AT15" i="268"/>
  <c r="AP15" i="268"/>
  <c r="AJ15" i="268"/>
  <c r="AI15" i="268"/>
  <c r="AH15" i="268"/>
  <c r="AF15" i="268"/>
  <c r="AE15" i="268"/>
  <c r="AD15" i="268"/>
  <c r="AA15" i="268"/>
  <c r="Z15" i="268"/>
  <c r="Y15" i="268"/>
  <c r="X15" i="268"/>
  <c r="W15" i="268"/>
  <c r="P15" i="268"/>
  <c r="O15" i="268"/>
  <c r="AQ15" i="268" s="1"/>
  <c r="N15" i="268"/>
  <c r="AC15" i="268" s="1"/>
  <c r="M15" i="268"/>
  <c r="AR15" i="268" s="1"/>
  <c r="AV14" i="268"/>
  <c r="AP14" i="268"/>
  <c r="AO14" i="268"/>
  <c r="AI14" i="268"/>
  <c r="AT14" i="268" s="1"/>
  <c r="AH14" i="268"/>
  <c r="AF14" i="268"/>
  <c r="AE14" i="268"/>
  <c r="AA14" i="268"/>
  <c r="Z14" i="268"/>
  <c r="Y14" i="268"/>
  <c r="X14" i="268"/>
  <c r="W14" i="268"/>
  <c r="P14" i="268"/>
  <c r="O14" i="268"/>
  <c r="AD14" i="268" s="1"/>
  <c r="N14" i="268"/>
  <c r="AC14" i="268" s="1"/>
  <c r="M14" i="268"/>
  <c r="AR13" i="268"/>
  <c r="AP13" i="268"/>
  <c r="AI13" i="268"/>
  <c r="AN13" i="268" s="1"/>
  <c r="AH13" i="268"/>
  <c r="AF13" i="268"/>
  <c r="AE13" i="268"/>
  <c r="AB13" i="268"/>
  <c r="AA13" i="268"/>
  <c r="Z13" i="268"/>
  <c r="Y13" i="268"/>
  <c r="X13" i="268"/>
  <c r="W13" i="268"/>
  <c r="P13" i="268"/>
  <c r="O13" i="268"/>
  <c r="AD13" i="268" s="1"/>
  <c r="N13" i="268"/>
  <c r="M13" i="268"/>
  <c r="AT12" i="268"/>
  <c r="AP12" i="268"/>
  <c r="AJ12" i="268"/>
  <c r="AI12" i="268"/>
  <c r="AH12" i="268"/>
  <c r="AF12" i="268"/>
  <c r="AE12" i="268"/>
  <c r="AC12" i="268"/>
  <c r="AB12" i="268"/>
  <c r="AA12" i="268"/>
  <c r="Z12" i="268"/>
  <c r="Y12" i="268"/>
  <c r="X12" i="268"/>
  <c r="W12" i="268"/>
  <c r="P12" i="268"/>
  <c r="O12" i="268"/>
  <c r="AD12" i="268" s="1"/>
  <c r="N12" i="268"/>
  <c r="AO12" i="268" s="1"/>
  <c r="AV12" i="268" s="1"/>
  <c r="M12" i="268"/>
  <c r="AR11" i="268"/>
  <c r="AP11" i="268"/>
  <c r="AO11" i="268"/>
  <c r="AV11" i="268" s="1"/>
  <c r="AI11" i="268"/>
  <c r="AH11" i="268"/>
  <c r="AF11" i="268"/>
  <c r="AE11" i="268"/>
  <c r="AD11" i="268"/>
  <c r="AC11" i="268"/>
  <c r="AB11" i="268"/>
  <c r="AA11" i="268"/>
  <c r="Z11" i="268"/>
  <c r="Y11" i="268"/>
  <c r="X11" i="268"/>
  <c r="W11" i="268"/>
  <c r="P11" i="268"/>
  <c r="O11" i="268"/>
  <c r="AQ11" i="268" s="1"/>
  <c r="N11" i="268"/>
  <c r="M11" i="268"/>
  <c r="AT10" i="268"/>
  <c r="AP10" i="268"/>
  <c r="AO10" i="268"/>
  <c r="AV10" i="268" s="1"/>
  <c r="AJ10" i="268"/>
  <c r="AI10" i="268"/>
  <c r="AH10" i="268"/>
  <c r="AF10" i="268"/>
  <c r="AE10" i="268"/>
  <c r="AD10" i="268"/>
  <c r="AC10" i="268"/>
  <c r="AA10" i="268"/>
  <c r="Z10" i="268"/>
  <c r="Y10" i="268"/>
  <c r="X10" i="268"/>
  <c r="W10" i="268"/>
  <c r="P10" i="268"/>
  <c r="O10" i="268"/>
  <c r="AQ10" i="268" s="1"/>
  <c r="N10" i="268"/>
  <c r="M10" i="268"/>
  <c r="AR10" i="268" s="1"/>
  <c r="AI9" i="268"/>
  <c r="AH9" i="268"/>
  <c r="W9" i="268"/>
  <c r="AT8" i="268"/>
  <c r="AP8" i="268"/>
  <c r="AJ8" i="268"/>
  <c r="AI8" i="268"/>
  <c r="AH8" i="268"/>
  <c r="AF8" i="268"/>
  <c r="AE8" i="268"/>
  <c r="AC8" i="268"/>
  <c r="AB8" i="268"/>
  <c r="AA8" i="268"/>
  <c r="Z8" i="268"/>
  <c r="Y8" i="268"/>
  <c r="X8" i="268"/>
  <c r="W8" i="268"/>
  <c r="P8" i="268"/>
  <c r="O8" i="268"/>
  <c r="AD8" i="268" s="1"/>
  <c r="N8" i="268"/>
  <c r="AO8" i="268" s="1"/>
  <c r="AV8" i="268" s="1"/>
  <c r="M8" i="268"/>
  <c r="AR7" i="268"/>
  <c r="AP7" i="268"/>
  <c r="AO7" i="268"/>
  <c r="AV7" i="268" s="1"/>
  <c r="AI7" i="268"/>
  <c r="AH7" i="268"/>
  <c r="AF7" i="268"/>
  <c r="AE7" i="268"/>
  <c r="AD7" i="268"/>
  <c r="AC7" i="268"/>
  <c r="AB7" i="268"/>
  <c r="AA7" i="268"/>
  <c r="Z7" i="268"/>
  <c r="Y7" i="268"/>
  <c r="X7" i="268"/>
  <c r="W7" i="268"/>
  <c r="P7" i="268"/>
  <c r="O7" i="268"/>
  <c r="AQ7" i="268" s="1"/>
  <c r="N7" i="268"/>
  <c r="M7" i="268"/>
  <c r="AV6" i="268"/>
  <c r="AT6" i="268"/>
  <c r="AP6" i="268"/>
  <c r="AO6" i="268"/>
  <c r="AJ6" i="268"/>
  <c r="AI6" i="268"/>
  <c r="AH6" i="268"/>
  <c r="AF6" i="268"/>
  <c r="AE6" i="268"/>
  <c r="AD6" i="268"/>
  <c r="AC6" i="268"/>
  <c r="AA6" i="268"/>
  <c r="Z6" i="268"/>
  <c r="Y6" i="268"/>
  <c r="X6" i="268"/>
  <c r="W6" i="268"/>
  <c r="P6" i="268"/>
  <c r="O6" i="268"/>
  <c r="AQ6" i="268" s="1"/>
  <c r="N6" i="268"/>
  <c r="M6" i="268"/>
  <c r="AI5" i="268"/>
  <c r="AH5" i="268"/>
  <c r="W5" i="268"/>
  <c r="AI4" i="268"/>
  <c r="AR3" i="268"/>
  <c r="AQ3" i="268"/>
  <c r="AP3" i="268"/>
  <c r="AI3" i="268"/>
  <c r="AH3" i="268"/>
  <c r="AN2" i="268"/>
  <c r="AM2" i="268"/>
  <c r="AL2" i="268"/>
  <c r="AK2" i="268"/>
  <c r="AJ2" i="268"/>
  <c r="AJ121" i="268" s="1"/>
  <c r="AA2" i="268"/>
  <c r="A2" i="268"/>
  <c r="AU1" i="268"/>
  <c r="AU52" i="268" s="1"/>
  <c r="AR1" i="268"/>
  <c r="AR72" i="268" s="1"/>
  <c r="AQ1" i="268"/>
  <c r="AQ124" i="268" s="1"/>
  <c r="AP1" i="268"/>
  <c r="AO1" i="268"/>
  <c r="AO3" i="268" s="1"/>
  <c r="AJ1" i="268"/>
  <c r="AH1" i="268"/>
  <c r="AH2" i="268" s="1"/>
  <c r="AA1" i="268"/>
  <c r="A1" i="268"/>
  <c r="AR28" i="267"/>
  <c r="AP28" i="267"/>
  <c r="AO28" i="267"/>
  <c r="AV28" i="267" s="1"/>
  <c r="AI28" i="267"/>
  <c r="AH28" i="267"/>
  <c r="AF28" i="267"/>
  <c r="AE28" i="267"/>
  <c r="AD28" i="267"/>
  <c r="AC28" i="267"/>
  <c r="AB28" i="267"/>
  <c r="AA28" i="267"/>
  <c r="Z28" i="267"/>
  <c r="Y28" i="267"/>
  <c r="X28" i="267"/>
  <c r="W28" i="267"/>
  <c r="P28" i="267"/>
  <c r="O28" i="267"/>
  <c r="N28" i="267"/>
  <c r="M28" i="267"/>
  <c r="AV27" i="267"/>
  <c r="AR27" i="267"/>
  <c r="AP27" i="267"/>
  <c r="AO27" i="267"/>
  <c r="AI27" i="267"/>
  <c r="AN27" i="267" s="1"/>
  <c r="AH27" i="267"/>
  <c r="AF27" i="267"/>
  <c r="AE27" i="267"/>
  <c r="AD27" i="267"/>
  <c r="AC27" i="267"/>
  <c r="AB27" i="267"/>
  <c r="AA27" i="267"/>
  <c r="Z27" i="267"/>
  <c r="Y27" i="267"/>
  <c r="X27" i="267"/>
  <c r="W27" i="267"/>
  <c r="P27" i="267"/>
  <c r="O27" i="267"/>
  <c r="N27" i="267"/>
  <c r="M27" i="267"/>
  <c r="AT26" i="267"/>
  <c r="AP26" i="267"/>
  <c r="AN26" i="267"/>
  <c r="AJ26" i="267"/>
  <c r="AI26" i="267"/>
  <c r="AH26" i="267"/>
  <c r="AF26" i="267"/>
  <c r="AE26" i="267"/>
  <c r="AD26" i="267"/>
  <c r="AC26" i="267"/>
  <c r="AA26" i="267"/>
  <c r="Z26" i="267"/>
  <c r="Y26" i="267"/>
  <c r="X26" i="267"/>
  <c r="W26" i="267"/>
  <c r="P26" i="267"/>
  <c r="O26" i="267"/>
  <c r="N26" i="267"/>
  <c r="AO26" i="267" s="1"/>
  <c r="AV26" i="267" s="1"/>
  <c r="M26" i="267"/>
  <c r="AR26" i="267" s="1"/>
  <c r="AV25" i="267"/>
  <c r="AQ25" i="267"/>
  <c r="AP25" i="267"/>
  <c r="AO25" i="267"/>
  <c r="AN25" i="267"/>
  <c r="AI25" i="267"/>
  <c r="AT25" i="267" s="1"/>
  <c r="AH25" i="267"/>
  <c r="AF25" i="267"/>
  <c r="AE25" i="267"/>
  <c r="AA25" i="267"/>
  <c r="Z25" i="267"/>
  <c r="Y25" i="267"/>
  <c r="X25" i="267"/>
  <c r="W25" i="267"/>
  <c r="P25" i="267"/>
  <c r="O25" i="267"/>
  <c r="AD25" i="267" s="1"/>
  <c r="N25" i="267"/>
  <c r="AC25" i="267" s="1"/>
  <c r="M25" i="267"/>
  <c r="AP24" i="267"/>
  <c r="AI24" i="267"/>
  <c r="AH24" i="267"/>
  <c r="AF24" i="267"/>
  <c r="AE24" i="267"/>
  <c r="AA24" i="267"/>
  <c r="Z24" i="267"/>
  <c r="Y24" i="267"/>
  <c r="X24" i="267"/>
  <c r="W24" i="267"/>
  <c r="P24" i="267"/>
  <c r="O24" i="267"/>
  <c r="AD24" i="267" s="1"/>
  <c r="N24" i="267"/>
  <c r="AC24" i="267" s="1"/>
  <c r="M24" i="267"/>
  <c r="AR24" i="267" s="1"/>
  <c r="AT23" i="267"/>
  <c r="AP23" i="267"/>
  <c r="AN23" i="267"/>
  <c r="AJ23" i="267"/>
  <c r="AI23" i="267"/>
  <c r="AH23" i="267"/>
  <c r="AF23" i="267"/>
  <c r="AE23" i="267"/>
  <c r="AB23" i="267"/>
  <c r="AA23" i="267"/>
  <c r="Z23" i="267"/>
  <c r="Y23" i="267"/>
  <c r="X23" i="267"/>
  <c r="W23" i="267"/>
  <c r="P23" i="267"/>
  <c r="O23" i="267"/>
  <c r="AD23" i="267" s="1"/>
  <c r="N23" i="267"/>
  <c r="AO23" i="267" s="1"/>
  <c r="AV23" i="267" s="1"/>
  <c r="M23" i="267"/>
  <c r="AR22" i="267"/>
  <c r="AQ22" i="267"/>
  <c r="AP22" i="267"/>
  <c r="AO22" i="267"/>
  <c r="AV22" i="267" s="1"/>
  <c r="AI22" i="267"/>
  <c r="AH22" i="267"/>
  <c r="AF22" i="267"/>
  <c r="AE22" i="267"/>
  <c r="AD22" i="267"/>
  <c r="AC22" i="267"/>
  <c r="AB22" i="267"/>
  <c r="AA22" i="267"/>
  <c r="Z22" i="267"/>
  <c r="Y22" i="267"/>
  <c r="X22" i="267"/>
  <c r="W22" i="267"/>
  <c r="P22" i="267"/>
  <c r="O22" i="267"/>
  <c r="N22" i="267"/>
  <c r="M22" i="267"/>
  <c r="AP21" i="267"/>
  <c r="AO21" i="267"/>
  <c r="AV21" i="267" s="1"/>
  <c r="AI21" i="267"/>
  <c r="AN21" i="267" s="1"/>
  <c r="AH21" i="267"/>
  <c r="AF21" i="267"/>
  <c r="AE21" i="267"/>
  <c r="AD21" i="267"/>
  <c r="AC21" i="267"/>
  <c r="AB21" i="267"/>
  <c r="AA21" i="267"/>
  <c r="Z21" i="267"/>
  <c r="Y21" i="267"/>
  <c r="X21" i="267"/>
  <c r="W21" i="267"/>
  <c r="P21" i="267"/>
  <c r="O21" i="267"/>
  <c r="N21" i="267"/>
  <c r="M21" i="267"/>
  <c r="AR21" i="267" s="1"/>
  <c r="AU20" i="267"/>
  <c r="AT20" i="267"/>
  <c r="AP20" i="267"/>
  <c r="AN20" i="267"/>
  <c r="AI20" i="267"/>
  <c r="AH20" i="267"/>
  <c r="AF20" i="267"/>
  <c r="AE20" i="267"/>
  <c r="AD20" i="267"/>
  <c r="AA20" i="267"/>
  <c r="Z20" i="267"/>
  <c r="Y20" i="267"/>
  <c r="X20" i="267"/>
  <c r="W20" i="267"/>
  <c r="P20" i="267"/>
  <c r="O20" i="267"/>
  <c r="N20" i="267"/>
  <c r="AO20" i="267" s="1"/>
  <c r="AV20" i="267" s="1"/>
  <c r="M20" i="267"/>
  <c r="AR20" i="267" s="1"/>
  <c r="AP19" i="267"/>
  <c r="AO19" i="267"/>
  <c r="AV19" i="267" s="1"/>
  <c r="AN19" i="267"/>
  <c r="AI19" i="267"/>
  <c r="AT19" i="267" s="1"/>
  <c r="AH19" i="267"/>
  <c r="AF19" i="267"/>
  <c r="AE19" i="267"/>
  <c r="AD19" i="267"/>
  <c r="AA19" i="267"/>
  <c r="Z19" i="267"/>
  <c r="Y19" i="267"/>
  <c r="X19" i="267"/>
  <c r="W19" i="267"/>
  <c r="P19" i="267"/>
  <c r="O19" i="267"/>
  <c r="AQ19" i="267" s="1"/>
  <c r="N19" i="267"/>
  <c r="AC19" i="267" s="1"/>
  <c r="M19" i="267"/>
  <c r="AR18" i="267"/>
  <c r="AP18" i="267"/>
  <c r="AI18" i="267"/>
  <c r="AH18" i="267"/>
  <c r="AF18" i="267"/>
  <c r="AE18" i="267"/>
  <c r="AB18" i="267"/>
  <c r="AA18" i="267"/>
  <c r="Z18" i="267"/>
  <c r="Y18" i="267"/>
  <c r="X18" i="267"/>
  <c r="W18" i="267"/>
  <c r="P18" i="267"/>
  <c r="O18" i="267"/>
  <c r="AD18" i="267" s="1"/>
  <c r="N18" i="267"/>
  <c r="AC18" i="267" s="1"/>
  <c r="M18" i="267"/>
  <c r="AI17" i="267"/>
  <c r="AH17" i="267"/>
  <c r="W17" i="267"/>
  <c r="AT16" i="267"/>
  <c r="AP16" i="267"/>
  <c r="AN16" i="267"/>
  <c r="AI16" i="267"/>
  <c r="AH16" i="267"/>
  <c r="AF16" i="267"/>
  <c r="AE16" i="267"/>
  <c r="AD16" i="267"/>
  <c r="AA16" i="267"/>
  <c r="Z16" i="267"/>
  <c r="Y16" i="267"/>
  <c r="X16" i="267"/>
  <c r="W16" i="267"/>
  <c r="P16" i="267"/>
  <c r="O16" i="267"/>
  <c r="AQ16" i="267" s="1"/>
  <c r="N16" i="267"/>
  <c r="AO16" i="267" s="1"/>
  <c r="AV16" i="267" s="1"/>
  <c r="M16" i="267"/>
  <c r="AR16" i="267" s="1"/>
  <c r="AP15" i="267"/>
  <c r="AO15" i="267"/>
  <c r="AV15" i="267" s="1"/>
  <c r="AN15" i="267"/>
  <c r="AI15" i="267"/>
  <c r="AT15" i="267" s="1"/>
  <c r="AH15" i="267"/>
  <c r="AF15" i="267"/>
  <c r="AE15" i="267"/>
  <c r="AA15" i="267"/>
  <c r="Z15" i="267"/>
  <c r="Y15" i="267"/>
  <c r="X15" i="267"/>
  <c r="W15" i="267"/>
  <c r="P15" i="267"/>
  <c r="O15" i="267"/>
  <c r="AQ15" i="267" s="1"/>
  <c r="N15" i="267"/>
  <c r="AC15" i="267" s="1"/>
  <c r="M15" i="267"/>
  <c r="AR14" i="267"/>
  <c r="AP14" i="267"/>
  <c r="AO14" i="267"/>
  <c r="AV14" i="267" s="1"/>
  <c r="AI14" i="267"/>
  <c r="AH14" i="267"/>
  <c r="AF14" i="267"/>
  <c r="AE14" i="267"/>
  <c r="AB14" i="267"/>
  <c r="AA14" i="267"/>
  <c r="Z14" i="267"/>
  <c r="Y14" i="267"/>
  <c r="X14" i="267"/>
  <c r="W14" i="267"/>
  <c r="P14" i="267"/>
  <c r="O14" i="267"/>
  <c r="AD14" i="267" s="1"/>
  <c r="N14" i="267"/>
  <c r="AC14" i="267" s="1"/>
  <c r="M14" i="267"/>
  <c r="AT13" i="267"/>
  <c r="AQ13" i="267"/>
  <c r="AP13" i="267"/>
  <c r="AN13" i="267"/>
  <c r="AI13" i="267"/>
  <c r="AH13" i="267"/>
  <c r="AF13" i="267"/>
  <c r="AE13" i="267"/>
  <c r="AC13" i="267"/>
  <c r="AB13" i="267"/>
  <c r="AA13" i="267"/>
  <c r="Z13" i="267"/>
  <c r="Y13" i="267"/>
  <c r="X13" i="267"/>
  <c r="W13" i="267"/>
  <c r="P13" i="267"/>
  <c r="O13" i="267"/>
  <c r="AD13" i="267" s="1"/>
  <c r="N13" i="267"/>
  <c r="AO13" i="267" s="1"/>
  <c r="AV13" i="267" s="1"/>
  <c r="M13" i="267"/>
  <c r="AI12" i="267"/>
  <c r="AH12" i="267"/>
  <c r="W12" i="267"/>
  <c r="AV11" i="267"/>
  <c r="AU11" i="267"/>
  <c r="AR11" i="267"/>
  <c r="AP11" i="267"/>
  <c r="AO11" i="267"/>
  <c r="AI11" i="267"/>
  <c r="AH11" i="267"/>
  <c r="AF11" i="267"/>
  <c r="AE11" i="267"/>
  <c r="AA11" i="267"/>
  <c r="Z11" i="267"/>
  <c r="Y11" i="267"/>
  <c r="X11" i="267"/>
  <c r="W11" i="267"/>
  <c r="P11" i="267"/>
  <c r="O11" i="267"/>
  <c r="AD11" i="267" s="1"/>
  <c r="N11" i="267"/>
  <c r="AC11" i="267" s="1"/>
  <c r="M11" i="267"/>
  <c r="AB11" i="267" s="1"/>
  <c r="AP10" i="267"/>
  <c r="AO10" i="267"/>
  <c r="AV10" i="267" s="1"/>
  <c r="AI10" i="267"/>
  <c r="AN10" i="267" s="1"/>
  <c r="AH10" i="267"/>
  <c r="AF10" i="267"/>
  <c r="AE10" i="267"/>
  <c r="AC10" i="267"/>
  <c r="AB10" i="267"/>
  <c r="AA10" i="267"/>
  <c r="Z10" i="267"/>
  <c r="Y10" i="267"/>
  <c r="X10" i="267"/>
  <c r="W10" i="267"/>
  <c r="P10" i="267"/>
  <c r="O10" i="267"/>
  <c r="AD10" i="267" s="1"/>
  <c r="N10" i="267"/>
  <c r="M10" i="267"/>
  <c r="AR10" i="267" s="1"/>
  <c r="AU9" i="267"/>
  <c r="AT9" i="267"/>
  <c r="AP9" i="267"/>
  <c r="AN9" i="267"/>
  <c r="AI9" i="267"/>
  <c r="AH9" i="267"/>
  <c r="AF9" i="267"/>
  <c r="AE9" i="267"/>
  <c r="AB9" i="267"/>
  <c r="AA9" i="267"/>
  <c r="Z9" i="267"/>
  <c r="Y9" i="267"/>
  <c r="X9" i="267"/>
  <c r="W9" i="267"/>
  <c r="P9" i="267"/>
  <c r="O9" i="267"/>
  <c r="AD9" i="267" s="1"/>
  <c r="N9" i="267"/>
  <c r="AO9" i="267" s="1"/>
  <c r="AV9" i="267" s="1"/>
  <c r="M9" i="267"/>
  <c r="AU8" i="267"/>
  <c r="AQ8" i="267"/>
  <c r="AP8" i="267"/>
  <c r="AO8" i="267"/>
  <c r="AV8" i="267" s="1"/>
  <c r="AI8" i="267"/>
  <c r="AH8" i="267"/>
  <c r="AF8" i="267"/>
  <c r="AE8" i="267"/>
  <c r="AD8" i="267"/>
  <c r="AC8" i="267"/>
  <c r="AA8" i="267"/>
  <c r="Z8" i="267"/>
  <c r="Y8" i="267"/>
  <c r="X8" i="267"/>
  <c r="W8" i="267"/>
  <c r="P8" i="267"/>
  <c r="O8" i="267"/>
  <c r="N8" i="267"/>
  <c r="M8" i="267"/>
  <c r="AB8" i="267" s="1"/>
  <c r="AP7" i="267"/>
  <c r="AO7" i="267"/>
  <c r="AV7" i="267" s="1"/>
  <c r="AI7" i="267"/>
  <c r="AN7" i="267" s="1"/>
  <c r="AH7" i="267"/>
  <c r="AF7" i="267"/>
  <c r="AE7" i="267"/>
  <c r="AD7" i="267"/>
  <c r="AC7" i="267"/>
  <c r="AB7" i="267"/>
  <c r="AA7" i="267"/>
  <c r="Z7" i="267"/>
  <c r="Y7" i="267"/>
  <c r="X7" i="267"/>
  <c r="W7" i="267"/>
  <c r="P7" i="267"/>
  <c r="O7" i="267"/>
  <c r="N7" i="267"/>
  <c r="M7" i="267"/>
  <c r="AR7" i="267" s="1"/>
  <c r="AU6" i="267"/>
  <c r="AT6" i="267"/>
  <c r="AP6" i="267"/>
  <c r="AN6" i="267"/>
  <c r="AI6" i="267"/>
  <c r="AH6" i="267"/>
  <c r="AF6" i="267"/>
  <c r="AE6" i="267"/>
  <c r="AA6" i="267"/>
  <c r="Z6" i="267"/>
  <c r="Y6" i="267"/>
  <c r="X6" i="267"/>
  <c r="W6" i="267"/>
  <c r="P6" i="267"/>
  <c r="O6" i="267"/>
  <c r="AD6" i="267" s="1"/>
  <c r="N6" i="267"/>
  <c r="AO6" i="267" s="1"/>
  <c r="AV6" i="267" s="1"/>
  <c r="M6" i="267"/>
  <c r="AR6" i="267" s="1"/>
  <c r="AI5" i="267"/>
  <c r="AH5" i="267"/>
  <c r="W5" i="267"/>
  <c r="AI4" i="267"/>
  <c r="AU3" i="267"/>
  <c r="AR3" i="267"/>
  <c r="AI3" i="267"/>
  <c r="AH3" i="267"/>
  <c r="AN2" i="267"/>
  <c r="AM2" i="267"/>
  <c r="AL2" i="267"/>
  <c r="AK2" i="267"/>
  <c r="AJ2" i="267"/>
  <c r="AJ13" i="267" s="1"/>
  <c r="AA2" i="267"/>
  <c r="A2" i="267"/>
  <c r="AU1" i="267"/>
  <c r="AU26" i="267" s="1"/>
  <c r="AR1" i="267"/>
  <c r="AR23" i="267" s="1"/>
  <c r="AQ1" i="267"/>
  <c r="AQ3" i="267" s="1"/>
  <c r="AP1" i="267"/>
  <c r="AP3" i="267" s="1"/>
  <c r="AO1" i="267"/>
  <c r="AO3" i="267" s="1"/>
  <c r="AJ1" i="267"/>
  <c r="AA1" i="267"/>
  <c r="A1" i="267"/>
  <c r="AH1" i="267" s="1"/>
  <c r="AH2" i="267" s="1"/>
  <c r="AP61" i="266"/>
  <c r="AI61" i="266"/>
  <c r="AN61" i="266" s="1"/>
  <c r="AH61" i="266"/>
  <c r="AF61" i="266"/>
  <c r="AE61" i="266"/>
  <c r="AD61" i="266"/>
  <c r="AB61" i="266"/>
  <c r="AA61" i="266"/>
  <c r="Z61" i="266"/>
  <c r="Y61" i="266"/>
  <c r="X61" i="266"/>
  <c r="W61" i="266"/>
  <c r="P61" i="266"/>
  <c r="O61" i="266"/>
  <c r="N61" i="266"/>
  <c r="AO61" i="266" s="1"/>
  <c r="AV61" i="266" s="1"/>
  <c r="M61" i="266"/>
  <c r="AI60" i="266"/>
  <c r="AH60" i="266"/>
  <c r="W60" i="266"/>
  <c r="AT59" i="266"/>
  <c r="AP59" i="266"/>
  <c r="AJ59" i="266"/>
  <c r="AI59" i="266"/>
  <c r="AH59" i="266"/>
  <c r="AF59" i="266"/>
  <c r="AE59" i="266"/>
  <c r="AC59" i="266"/>
  <c r="AB59" i="266"/>
  <c r="AA59" i="266"/>
  <c r="Z59" i="266"/>
  <c r="Y59" i="266"/>
  <c r="X59" i="266"/>
  <c r="W59" i="266"/>
  <c r="P59" i="266"/>
  <c r="O59" i="266"/>
  <c r="AQ59" i="266" s="1"/>
  <c r="N59" i="266"/>
  <c r="AO59" i="266" s="1"/>
  <c r="AV59" i="266" s="1"/>
  <c r="M59" i="266"/>
  <c r="AI58" i="266"/>
  <c r="AH58" i="266"/>
  <c r="W58" i="266"/>
  <c r="AV57" i="266"/>
  <c r="AP57" i="266"/>
  <c r="AO57" i="266"/>
  <c r="AI57" i="266"/>
  <c r="AH57" i="266"/>
  <c r="AF57" i="266"/>
  <c r="AE57" i="266"/>
  <c r="AD57" i="266"/>
  <c r="AB57" i="266"/>
  <c r="AA57" i="266"/>
  <c r="Z57" i="266"/>
  <c r="Y57" i="266"/>
  <c r="X57" i="266"/>
  <c r="W57" i="266"/>
  <c r="P57" i="266"/>
  <c r="O57" i="266"/>
  <c r="N57" i="266"/>
  <c r="AC57" i="266" s="1"/>
  <c r="M57" i="266"/>
  <c r="AR57" i="266" s="1"/>
  <c r="AP56" i="266"/>
  <c r="AI56" i="266"/>
  <c r="AN56" i="266" s="1"/>
  <c r="AH56" i="266"/>
  <c r="AF56" i="266"/>
  <c r="AE56" i="266"/>
  <c r="AA56" i="266"/>
  <c r="Z56" i="266"/>
  <c r="Y56" i="266"/>
  <c r="X56" i="266"/>
  <c r="W56" i="266"/>
  <c r="P56" i="266"/>
  <c r="O56" i="266"/>
  <c r="AD56" i="266" s="1"/>
  <c r="N56" i="266"/>
  <c r="AO56" i="266" s="1"/>
  <c r="AV56" i="266" s="1"/>
  <c r="M56" i="266"/>
  <c r="AB56" i="266" s="1"/>
  <c r="AT55" i="266"/>
  <c r="AP55" i="266"/>
  <c r="AI55" i="266"/>
  <c r="AH55" i="266"/>
  <c r="AF55" i="266"/>
  <c r="AE55" i="266"/>
  <c r="AD55" i="266"/>
  <c r="AC55" i="266"/>
  <c r="AB55" i="266"/>
  <c r="AA55" i="266"/>
  <c r="Z55" i="266"/>
  <c r="Y55" i="266"/>
  <c r="X55" i="266"/>
  <c r="W55" i="266"/>
  <c r="P55" i="266"/>
  <c r="O55" i="266"/>
  <c r="N55" i="266"/>
  <c r="AO55" i="266" s="1"/>
  <c r="AV55" i="266" s="1"/>
  <c r="M55" i="266"/>
  <c r="AP54" i="266"/>
  <c r="AO54" i="266"/>
  <c r="AV54" i="266" s="1"/>
  <c r="AI54" i="266"/>
  <c r="AH54" i="266"/>
  <c r="AF54" i="266"/>
  <c r="AE54" i="266"/>
  <c r="AD54" i="266"/>
  <c r="AC54" i="266"/>
  <c r="AB54" i="266"/>
  <c r="AA54" i="266"/>
  <c r="Z54" i="266"/>
  <c r="Y54" i="266"/>
  <c r="X54" i="266"/>
  <c r="W54" i="266"/>
  <c r="P54" i="266"/>
  <c r="O54" i="266"/>
  <c r="N54" i="266"/>
  <c r="M54" i="266"/>
  <c r="AR54" i="266" s="1"/>
  <c r="AP53" i="266"/>
  <c r="AI53" i="266"/>
  <c r="AN53" i="266" s="1"/>
  <c r="AH53" i="266"/>
  <c r="AF53" i="266"/>
  <c r="AE53" i="266"/>
  <c r="AD53" i="266"/>
  <c r="AB53" i="266"/>
  <c r="AA53" i="266"/>
  <c r="Z53" i="266"/>
  <c r="Y53" i="266"/>
  <c r="X53" i="266"/>
  <c r="W53" i="266"/>
  <c r="P53" i="266"/>
  <c r="O53" i="266"/>
  <c r="N53" i="266"/>
  <c r="AO53" i="266" s="1"/>
  <c r="AV53" i="266" s="1"/>
  <c r="M53" i="266"/>
  <c r="AT52" i="266"/>
  <c r="AQ52" i="266"/>
  <c r="AP52" i="266"/>
  <c r="AI52" i="266"/>
  <c r="AH52" i="266"/>
  <c r="AF52" i="266"/>
  <c r="AE52" i="266"/>
  <c r="AD52" i="266"/>
  <c r="AA52" i="266"/>
  <c r="Z52" i="266"/>
  <c r="Y52" i="266"/>
  <c r="X52" i="266"/>
  <c r="W52" i="266"/>
  <c r="P52" i="266"/>
  <c r="O52" i="266"/>
  <c r="N52" i="266"/>
  <c r="AO52" i="266" s="1"/>
  <c r="AV52" i="266" s="1"/>
  <c r="M52" i="266"/>
  <c r="AR52" i="266" s="1"/>
  <c r="AP51" i="266"/>
  <c r="AO51" i="266"/>
  <c r="AV51" i="266" s="1"/>
  <c r="AI51" i="266"/>
  <c r="AH51" i="266"/>
  <c r="AF51" i="266"/>
  <c r="AE51" i="266"/>
  <c r="AD51" i="266"/>
  <c r="AB51" i="266"/>
  <c r="AA51" i="266"/>
  <c r="Z51" i="266"/>
  <c r="Y51" i="266"/>
  <c r="X51" i="266"/>
  <c r="W51" i="266"/>
  <c r="P51" i="266"/>
  <c r="O51" i="266"/>
  <c r="AQ51" i="266" s="1"/>
  <c r="N51" i="266"/>
  <c r="AC51" i="266" s="1"/>
  <c r="M51" i="266"/>
  <c r="AR51" i="266" s="1"/>
  <c r="AT50" i="266"/>
  <c r="AP50" i="266"/>
  <c r="AI50" i="266"/>
  <c r="AH50" i="266"/>
  <c r="AF50" i="266"/>
  <c r="AE50" i="266"/>
  <c r="AA50" i="266"/>
  <c r="Z50" i="266"/>
  <c r="Y50" i="266"/>
  <c r="X50" i="266"/>
  <c r="W50" i="266"/>
  <c r="P50" i="266"/>
  <c r="O50" i="266"/>
  <c r="AD50" i="266" s="1"/>
  <c r="N50" i="266"/>
  <c r="AO50" i="266" s="1"/>
  <c r="AV50" i="266" s="1"/>
  <c r="M50" i="266"/>
  <c r="AB50" i="266" s="1"/>
  <c r="AT49" i="266"/>
  <c r="AP49" i="266"/>
  <c r="AN49" i="266"/>
  <c r="AI49" i="266"/>
  <c r="AH49" i="266"/>
  <c r="AF49" i="266"/>
  <c r="AE49" i="266"/>
  <c r="AD49" i="266"/>
  <c r="AC49" i="266"/>
  <c r="AB49" i="266"/>
  <c r="AA49" i="266"/>
  <c r="Z49" i="266"/>
  <c r="Y49" i="266"/>
  <c r="X49" i="266"/>
  <c r="W49" i="266"/>
  <c r="P49" i="266"/>
  <c r="O49" i="266"/>
  <c r="N49" i="266"/>
  <c r="AO49" i="266" s="1"/>
  <c r="AV49" i="266" s="1"/>
  <c r="M49" i="266"/>
  <c r="AV48" i="266"/>
  <c r="AP48" i="266"/>
  <c r="AO48" i="266"/>
  <c r="AN48" i="266"/>
  <c r="AI48" i="266"/>
  <c r="AH48" i="266"/>
  <c r="AF48" i="266"/>
  <c r="AE48" i="266"/>
  <c r="AC48" i="266"/>
  <c r="AB48" i="266"/>
  <c r="AA48" i="266"/>
  <c r="Z48" i="266"/>
  <c r="Y48" i="266"/>
  <c r="X48" i="266"/>
  <c r="W48" i="266"/>
  <c r="P48" i="266"/>
  <c r="O48" i="266"/>
  <c r="AQ48" i="266" s="1"/>
  <c r="N48" i="266"/>
  <c r="M48" i="266"/>
  <c r="AI47" i="266"/>
  <c r="AH47" i="266"/>
  <c r="W47" i="266"/>
  <c r="AP46" i="266"/>
  <c r="AO46" i="266"/>
  <c r="AV46" i="266" s="1"/>
  <c r="AI46" i="266"/>
  <c r="AH46" i="266"/>
  <c r="AF46" i="266"/>
  <c r="AE46" i="266"/>
  <c r="AC46" i="266"/>
  <c r="AB46" i="266"/>
  <c r="AA46" i="266"/>
  <c r="Z46" i="266"/>
  <c r="Y46" i="266"/>
  <c r="X46" i="266"/>
  <c r="W46" i="266"/>
  <c r="P46" i="266"/>
  <c r="O46" i="266"/>
  <c r="AD46" i="266" s="1"/>
  <c r="N46" i="266"/>
  <c r="M46" i="266"/>
  <c r="AR46" i="266" s="1"/>
  <c r="AT45" i="266"/>
  <c r="AP45" i="266"/>
  <c r="AI45" i="266"/>
  <c r="AH45" i="266"/>
  <c r="AF45" i="266"/>
  <c r="AE45" i="266"/>
  <c r="AB45" i="266"/>
  <c r="AA45" i="266"/>
  <c r="Z45" i="266"/>
  <c r="Y45" i="266"/>
  <c r="X45" i="266"/>
  <c r="W45" i="266"/>
  <c r="P45" i="266"/>
  <c r="O45" i="266"/>
  <c r="AD45" i="266" s="1"/>
  <c r="N45" i="266"/>
  <c r="AO45" i="266" s="1"/>
  <c r="AV45" i="266" s="1"/>
  <c r="M45" i="266"/>
  <c r="AI44" i="266"/>
  <c r="AH44" i="266"/>
  <c r="W44" i="266"/>
  <c r="AV43" i="266"/>
  <c r="AP43" i="266"/>
  <c r="AO43" i="266"/>
  <c r="AN43" i="266"/>
  <c r="AI43" i="266"/>
  <c r="AH43" i="266"/>
  <c r="AF43" i="266"/>
  <c r="AE43" i="266"/>
  <c r="AD43" i="266"/>
  <c r="AB43" i="266"/>
  <c r="AA43" i="266"/>
  <c r="Z43" i="266"/>
  <c r="Y43" i="266"/>
  <c r="X43" i="266"/>
  <c r="W43" i="266"/>
  <c r="P43" i="266"/>
  <c r="O43" i="266"/>
  <c r="AQ43" i="266" s="1"/>
  <c r="N43" i="266"/>
  <c r="AC43" i="266" s="1"/>
  <c r="M43" i="266"/>
  <c r="AT42" i="266"/>
  <c r="AP42" i="266"/>
  <c r="AO42" i="266"/>
  <c r="AV42" i="266" s="1"/>
  <c r="AI42" i="266"/>
  <c r="AH42" i="266"/>
  <c r="AF42" i="266"/>
  <c r="AE42" i="266"/>
  <c r="AC42" i="266"/>
  <c r="AA42" i="266"/>
  <c r="Z42" i="266"/>
  <c r="Y42" i="266"/>
  <c r="X42" i="266"/>
  <c r="W42" i="266"/>
  <c r="P42" i="266"/>
  <c r="O42" i="266"/>
  <c r="AD42" i="266" s="1"/>
  <c r="N42" i="266"/>
  <c r="M42" i="266"/>
  <c r="AB42" i="266" s="1"/>
  <c r="AT41" i="266"/>
  <c r="AP41" i="266"/>
  <c r="AJ41" i="266"/>
  <c r="AI41" i="266"/>
  <c r="AH41" i="266"/>
  <c r="AF41" i="266"/>
  <c r="AE41" i="266"/>
  <c r="AC41" i="266"/>
  <c r="AB41" i="266"/>
  <c r="AA41" i="266"/>
  <c r="Z41" i="266"/>
  <c r="Y41" i="266"/>
  <c r="X41" i="266"/>
  <c r="W41" i="266"/>
  <c r="P41" i="266"/>
  <c r="O41" i="266"/>
  <c r="AQ41" i="266" s="1"/>
  <c r="N41" i="266"/>
  <c r="AO41" i="266" s="1"/>
  <c r="AV41" i="266" s="1"/>
  <c r="M41" i="266"/>
  <c r="AU40" i="266"/>
  <c r="AP40" i="266"/>
  <c r="AO40" i="266"/>
  <c r="AV40" i="266" s="1"/>
  <c r="AN40" i="266"/>
  <c r="AI40" i="266"/>
  <c r="AT40" i="266" s="1"/>
  <c r="AH40" i="266"/>
  <c r="AF40" i="266"/>
  <c r="AE40" i="266"/>
  <c r="AD40" i="266"/>
  <c r="AC40" i="266"/>
  <c r="AB40" i="266"/>
  <c r="AA40" i="266"/>
  <c r="Z40" i="266"/>
  <c r="Y40" i="266"/>
  <c r="X40" i="266"/>
  <c r="W40" i="266"/>
  <c r="P40" i="266"/>
  <c r="O40" i="266"/>
  <c r="AQ40" i="266" s="1"/>
  <c r="N40" i="266"/>
  <c r="M40" i="266"/>
  <c r="AV39" i="266"/>
  <c r="AP39" i="266"/>
  <c r="AO39" i="266"/>
  <c r="AN39" i="266"/>
  <c r="AI39" i="266"/>
  <c r="AJ39" i="266" s="1"/>
  <c r="AH39" i="266"/>
  <c r="AF39" i="266"/>
  <c r="AE39" i="266"/>
  <c r="AD39" i="266"/>
  <c r="AC39" i="266"/>
  <c r="AB39" i="266"/>
  <c r="AA39" i="266"/>
  <c r="Z39" i="266"/>
  <c r="Y39" i="266"/>
  <c r="X39" i="266"/>
  <c r="W39" i="266"/>
  <c r="P39" i="266"/>
  <c r="O39" i="266"/>
  <c r="N39" i="266"/>
  <c r="M39" i="266"/>
  <c r="AR39" i="266" s="1"/>
  <c r="AV38" i="266"/>
  <c r="AT38" i="266"/>
  <c r="AP38" i="266"/>
  <c r="AO38" i="266"/>
  <c r="AN38" i="266"/>
  <c r="AI38" i="266"/>
  <c r="AH38" i="266"/>
  <c r="AF38" i="266"/>
  <c r="AE38" i="266"/>
  <c r="AD38" i="266"/>
  <c r="AC38" i="266"/>
  <c r="AA38" i="266"/>
  <c r="Z38" i="266"/>
  <c r="Y38" i="266"/>
  <c r="X38" i="266"/>
  <c r="W38" i="266"/>
  <c r="P38" i="266"/>
  <c r="O38" i="266"/>
  <c r="AQ38" i="266" s="1"/>
  <c r="N38" i="266"/>
  <c r="M38" i="266"/>
  <c r="AU37" i="266"/>
  <c r="AP37" i="266"/>
  <c r="AI37" i="266"/>
  <c r="AN37" i="266" s="1"/>
  <c r="AH37" i="266"/>
  <c r="AF37" i="266"/>
  <c r="AE37" i="266"/>
  <c r="AA37" i="266"/>
  <c r="Z37" i="266"/>
  <c r="Y37" i="266"/>
  <c r="X37" i="266"/>
  <c r="W37" i="266"/>
  <c r="P37" i="266"/>
  <c r="O37" i="266"/>
  <c r="AD37" i="266" s="1"/>
  <c r="N37" i="266"/>
  <c r="AC37" i="266" s="1"/>
  <c r="M37" i="266"/>
  <c r="AB37" i="266" s="1"/>
  <c r="AQ36" i="266"/>
  <c r="AP36" i="266"/>
  <c r="AO36" i="266"/>
  <c r="AV36" i="266" s="1"/>
  <c r="AI36" i="266"/>
  <c r="AH36" i="266"/>
  <c r="AF36" i="266"/>
  <c r="AE36" i="266"/>
  <c r="AC36" i="266"/>
  <c r="AA36" i="266"/>
  <c r="Z36" i="266"/>
  <c r="Y36" i="266"/>
  <c r="X36" i="266"/>
  <c r="W36" i="266"/>
  <c r="P36" i="266"/>
  <c r="O36" i="266"/>
  <c r="AD36" i="266" s="1"/>
  <c r="N36" i="266"/>
  <c r="M36" i="266"/>
  <c r="AB36" i="266" s="1"/>
  <c r="AT35" i="266"/>
  <c r="AP35" i="266"/>
  <c r="AO35" i="266"/>
  <c r="AV35" i="266" s="1"/>
  <c r="AJ35" i="266"/>
  <c r="AI35" i="266"/>
  <c r="AH35" i="266"/>
  <c r="AF35" i="266"/>
  <c r="AE35" i="266"/>
  <c r="AD35" i="266"/>
  <c r="AC35" i="266"/>
  <c r="AA35" i="266"/>
  <c r="Z35" i="266"/>
  <c r="Y35" i="266"/>
  <c r="X35" i="266"/>
  <c r="W35" i="266"/>
  <c r="P35" i="266"/>
  <c r="O35" i="266"/>
  <c r="AQ35" i="266" s="1"/>
  <c r="N35" i="266"/>
  <c r="M35" i="266"/>
  <c r="AR35" i="266" s="1"/>
  <c r="AP34" i="266"/>
  <c r="AI34" i="266"/>
  <c r="AT34" i="266" s="1"/>
  <c r="AH34" i="266"/>
  <c r="AF34" i="266"/>
  <c r="AE34" i="266"/>
  <c r="AD34" i="266"/>
  <c r="AA34" i="266"/>
  <c r="Z34" i="266"/>
  <c r="Y34" i="266"/>
  <c r="X34" i="266"/>
  <c r="W34" i="266"/>
  <c r="P34" i="266"/>
  <c r="O34" i="266"/>
  <c r="AQ34" i="266" s="1"/>
  <c r="N34" i="266"/>
  <c r="AC34" i="266" s="1"/>
  <c r="M34" i="266"/>
  <c r="AR34" i="266" s="1"/>
  <c r="AI33" i="266"/>
  <c r="AH33" i="266"/>
  <c r="W33" i="266"/>
  <c r="AU32" i="266"/>
  <c r="AP32" i="266"/>
  <c r="AO32" i="266"/>
  <c r="AV32" i="266" s="1"/>
  <c r="AN32" i="266"/>
  <c r="AI32" i="266"/>
  <c r="AT32" i="266" s="1"/>
  <c r="AH32" i="266"/>
  <c r="AF32" i="266"/>
  <c r="AE32" i="266"/>
  <c r="AD32" i="266"/>
  <c r="AC32" i="266"/>
  <c r="AB32" i="266"/>
  <c r="AA32" i="266"/>
  <c r="Z32" i="266"/>
  <c r="Y32" i="266"/>
  <c r="X32" i="266"/>
  <c r="W32" i="266"/>
  <c r="P32" i="266"/>
  <c r="O32" i="266"/>
  <c r="AQ32" i="266" s="1"/>
  <c r="N32" i="266"/>
  <c r="M32" i="266"/>
  <c r="AT31" i="266"/>
  <c r="AP31" i="266"/>
  <c r="AO31" i="266"/>
  <c r="AV31" i="266" s="1"/>
  <c r="AJ31" i="266"/>
  <c r="AI31" i="266"/>
  <c r="AH31" i="266"/>
  <c r="AF31" i="266"/>
  <c r="AE31" i="266"/>
  <c r="AD31" i="266"/>
  <c r="AC31" i="266"/>
  <c r="AA31" i="266"/>
  <c r="Z31" i="266"/>
  <c r="Y31" i="266"/>
  <c r="X31" i="266"/>
  <c r="W31" i="266"/>
  <c r="P31" i="266"/>
  <c r="O31" i="266"/>
  <c r="AQ31" i="266" s="1"/>
  <c r="N31" i="266"/>
  <c r="M31" i="266"/>
  <c r="AR31" i="266" s="1"/>
  <c r="AP30" i="266"/>
  <c r="AN30" i="266"/>
  <c r="AI30" i="266"/>
  <c r="AT30" i="266" s="1"/>
  <c r="AH30" i="266"/>
  <c r="AF30" i="266"/>
  <c r="AE30" i="266"/>
  <c r="AD30" i="266"/>
  <c r="AA30" i="266"/>
  <c r="Z30" i="266"/>
  <c r="Y30" i="266"/>
  <c r="X30" i="266"/>
  <c r="W30" i="266"/>
  <c r="P30" i="266"/>
  <c r="O30" i="266"/>
  <c r="AQ30" i="266" s="1"/>
  <c r="N30" i="266"/>
  <c r="AC30" i="266" s="1"/>
  <c r="M30" i="266"/>
  <c r="AR30" i="266" s="1"/>
  <c r="AI29" i="266"/>
  <c r="AH29" i="266"/>
  <c r="W29" i="266"/>
  <c r="AU28" i="266"/>
  <c r="AP28" i="266"/>
  <c r="AO28" i="266"/>
  <c r="AV28" i="266" s="1"/>
  <c r="AN28" i="266"/>
  <c r="AI28" i="266"/>
  <c r="AT28" i="266" s="1"/>
  <c r="AH28" i="266"/>
  <c r="AF28" i="266"/>
  <c r="AE28" i="266"/>
  <c r="AD28" i="266"/>
  <c r="AC28" i="266"/>
  <c r="AB28" i="266"/>
  <c r="AA28" i="266"/>
  <c r="Z28" i="266"/>
  <c r="Y28" i="266"/>
  <c r="X28" i="266"/>
  <c r="W28" i="266"/>
  <c r="P28" i="266"/>
  <c r="O28" i="266"/>
  <c r="AQ28" i="266" s="1"/>
  <c r="N28" i="266"/>
  <c r="M28" i="266"/>
  <c r="AT27" i="266"/>
  <c r="AP27" i="266"/>
  <c r="AO27" i="266"/>
  <c r="AV27" i="266" s="1"/>
  <c r="AJ27" i="266"/>
  <c r="AI27" i="266"/>
  <c r="AH27" i="266"/>
  <c r="AF27" i="266"/>
  <c r="AE27" i="266"/>
  <c r="AD27" i="266"/>
  <c r="AC27" i="266"/>
  <c r="AA27" i="266"/>
  <c r="Z27" i="266"/>
  <c r="Y27" i="266"/>
  <c r="X27" i="266"/>
  <c r="W27" i="266"/>
  <c r="P27" i="266"/>
  <c r="O27" i="266"/>
  <c r="AQ27" i="266" s="1"/>
  <c r="N27" i="266"/>
  <c r="M27" i="266"/>
  <c r="AR27" i="266" s="1"/>
  <c r="AP26" i="266"/>
  <c r="AN26" i="266"/>
  <c r="AI26" i="266"/>
  <c r="AT26" i="266" s="1"/>
  <c r="AH26" i="266"/>
  <c r="AF26" i="266"/>
  <c r="AE26" i="266"/>
  <c r="AD26" i="266"/>
  <c r="AA26" i="266"/>
  <c r="Z26" i="266"/>
  <c r="Y26" i="266"/>
  <c r="X26" i="266"/>
  <c r="W26" i="266"/>
  <c r="P26" i="266"/>
  <c r="O26" i="266"/>
  <c r="AQ26" i="266" s="1"/>
  <c r="N26" i="266"/>
  <c r="AC26" i="266" s="1"/>
  <c r="M26" i="266"/>
  <c r="AR26" i="266" s="1"/>
  <c r="AI25" i="266"/>
  <c r="AH25" i="266"/>
  <c r="W25" i="266"/>
  <c r="AU24" i="266"/>
  <c r="AP24" i="266"/>
  <c r="AO24" i="266"/>
  <c r="AV24" i="266" s="1"/>
  <c r="AN24" i="266"/>
  <c r="AI24" i="266"/>
  <c r="AT24" i="266" s="1"/>
  <c r="AH24" i="266"/>
  <c r="AF24" i="266"/>
  <c r="AE24" i="266"/>
  <c r="AD24" i="266"/>
  <c r="AC24" i="266"/>
  <c r="AB24" i="266"/>
  <c r="AA24" i="266"/>
  <c r="Z24" i="266"/>
  <c r="Y24" i="266"/>
  <c r="X24" i="266"/>
  <c r="W24" i="266"/>
  <c r="P24" i="266"/>
  <c r="O24" i="266"/>
  <c r="AQ24" i="266" s="1"/>
  <c r="N24" i="266"/>
  <c r="M24" i="266"/>
  <c r="AT23" i="266"/>
  <c r="AP23" i="266"/>
  <c r="AO23" i="266"/>
  <c r="AV23" i="266" s="1"/>
  <c r="AJ23" i="266"/>
  <c r="AI23" i="266"/>
  <c r="AH23" i="266"/>
  <c r="AF23" i="266"/>
  <c r="AE23" i="266"/>
  <c r="AD23" i="266"/>
  <c r="AC23" i="266"/>
  <c r="AA23" i="266"/>
  <c r="Z23" i="266"/>
  <c r="Y23" i="266"/>
  <c r="X23" i="266"/>
  <c r="W23" i="266"/>
  <c r="P23" i="266"/>
  <c r="O23" i="266"/>
  <c r="AQ23" i="266" s="1"/>
  <c r="N23" i="266"/>
  <c r="M23" i="266"/>
  <c r="AR23" i="266" s="1"/>
  <c r="AU22" i="266"/>
  <c r="AP22" i="266"/>
  <c r="AN22" i="266"/>
  <c r="AI22" i="266"/>
  <c r="AT22" i="266" s="1"/>
  <c r="AH22" i="266"/>
  <c r="AF22" i="266"/>
  <c r="AE22" i="266"/>
  <c r="AD22" i="266"/>
  <c r="AA22" i="266"/>
  <c r="Z22" i="266"/>
  <c r="Y22" i="266"/>
  <c r="X22" i="266"/>
  <c r="W22" i="266"/>
  <c r="P22" i="266"/>
  <c r="O22" i="266"/>
  <c r="AQ22" i="266" s="1"/>
  <c r="N22" i="266"/>
  <c r="AC22" i="266" s="1"/>
  <c r="M22" i="266"/>
  <c r="AR22" i="266" s="1"/>
  <c r="AP21" i="266"/>
  <c r="AO21" i="266"/>
  <c r="AV21" i="266" s="1"/>
  <c r="AI21" i="266"/>
  <c r="AN21" i="266" s="1"/>
  <c r="AH21" i="266"/>
  <c r="AF21" i="266"/>
  <c r="AE21" i="266"/>
  <c r="AA21" i="266"/>
  <c r="Z21" i="266"/>
  <c r="Y21" i="266"/>
  <c r="X21" i="266"/>
  <c r="W21" i="266"/>
  <c r="P21" i="266"/>
  <c r="O21" i="266"/>
  <c r="AD21" i="266" s="1"/>
  <c r="N21" i="266"/>
  <c r="AC21" i="266" s="1"/>
  <c r="M21" i="266"/>
  <c r="AR21" i="266" s="1"/>
  <c r="AR20" i="266"/>
  <c r="AP20" i="266"/>
  <c r="AI20" i="266"/>
  <c r="AN20" i="266" s="1"/>
  <c r="AH20" i="266"/>
  <c r="AF20" i="266"/>
  <c r="AE20" i="266"/>
  <c r="AB20" i="266"/>
  <c r="AA20" i="266"/>
  <c r="Z20" i="266"/>
  <c r="Y20" i="266"/>
  <c r="X20" i="266"/>
  <c r="W20" i="266"/>
  <c r="P20" i="266"/>
  <c r="O20" i="266"/>
  <c r="AD20" i="266" s="1"/>
  <c r="N20" i="266"/>
  <c r="AO20" i="266" s="1"/>
  <c r="AV20" i="266" s="1"/>
  <c r="M20" i="266"/>
  <c r="AI19" i="266"/>
  <c r="AH19" i="266"/>
  <c r="W19" i="266"/>
  <c r="AU18" i="266"/>
  <c r="AP18" i="266"/>
  <c r="AN18" i="266"/>
  <c r="AI18" i="266"/>
  <c r="AT18" i="266" s="1"/>
  <c r="AH18" i="266"/>
  <c r="AF18" i="266"/>
  <c r="AE18" i="266"/>
  <c r="AD18" i="266"/>
  <c r="AA18" i="266"/>
  <c r="Z18" i="266"/>
  <c r="Y18" i="266"/>
  <c r="X18" i="266"/>
  <c r="W18" i="266"/>
  <c r="P18" i="266"/>
  <c r="O18" i="266"/>
  <c r="AQ18" i="266" s="1"/>
  <c r="N18" i="266"/>
  <c r="AC18" i="266" s="1"/>
  <c r="M18" i="266"/>
  <c r="AR18" i="266" s="1"/>
  <c r="AP17" i="266"/>
  <c r="AO17" i="266"/>
  <c r="AV17" i="266" s="1"/>
  <c r="AI17" i="266"/>
  <c r="AN17" i="266" s="1"/>
  <c r="AH17" i="266"/>
  <c r="AF17" i="266"/>
  <c r="AE17" i="266"/>
  <c r="AA17" i="266"/>
  <c r="Z17" i="266"/>
  <c r="Y17" i="266"/>
  <c r="X17" i="266"/>
  <c r="W17" i="266"/>
  <c r="P17" i="266"/>
  <c r="O17" i="266"/>
  <c r="AD17" i="266" s="1"/>
  <c r="N17" i="266"/>
  <c r="AC17" i="266" s="1"/>
  <c r="M17" i="266"/>
  <c r="AR17" i="266" s="1"/>
  <c r="AR16" i="266"/>
  <c r="AP16" i="266"/>
  <c r="AI16" i="266"/>
  <c r="AN16" i="266" s="1"/>
  <c r="AH16" i="266"/>
  <c r="AF16" i="266"/>
  <c r="AE16" i="266"/>
  <c r="AB16" i="266"/>
  <c r="AA16" i="266"/>
  <c r="Z16" i="266"/>
  <c r="Y16" i="266"/>
  <c r="X16" i="266"/>
  <c r="W16" i="266"/>
  <c r="P16" i="266"/>
  <c r="O16" i="266"/>
  <c r="AD16" i="266" s="1"/>
  <c r="N16" i="266"/>
  <c r="AO16" i="266" s="1"/>
  <c r="AV16" i="266" s="1"/>
  <c r="M16" i="266"/>
  <c r="AT15" i="266"/>
  <c r="AP15" i="266"/>
  <c r="AO15" i="266"/>
  <c r="AV15" i="266" s="1"/>
  <c r="AJ15" i="266"/>
  <c r="AI15" i="266"/>
  <c r="AH15" i="266"/>
  <c r="AF15" i="266"/>
  <c r="AE15" i="266"/>
  <c r="AC15" i="266"/>
  <c r="AB15" i="266"/>
  <c r="AA15" i="266"/>
  <c r="Z15" i="266"/>
  <c r="Y15" i="266"/>
  <c r="X15" i="266"/>
  <c r="W15" i="266"/>
  <c r="P15" i="266"/>
  <c r="O15" i="266"/>
  <c r="AD15" i="266" s="1"/>
  <c r="N15" i="266"/>
  <c r="M15" i="266"/>
  <c r="AI14" i="266"/>
  <c r="AH14" i="266"/>
  <c r="W14" i="266"/>
  <c r="AP13" i="266"/>
  <c r="AO13" i="266"/>
  <c r="AV13" i="266" s="1"/>
  <c r="AI13" i="266"/>
  <c r="AN13" i="266" s="1"/>
  <c r="AH13" i="266"/>
  <c r="AF13" i="266"/>
  <c r="AE13" i="266"/>
  <c r="AA13" i="266"/>
  <c r="Z13" i="266"/>
  <c r="Y13" i="266"/>
  <c r="X13" i="266"/>
  <c r="W13" i="266"/>
  <c r="P13" i="266"/>
  <c r="O13" i="266"/>
  <c r="AD13" i="266" s="1"/>
  <c r="N13" i="266"/>
  <c r="AC13" i="266" s="1"/>
  <c r="M13" i="266"/>
  <c r="AR13" i="266" s="1"/>
  <c r="AR12" i="266"/>
  <c r="AP12" i="266"/>
  <c r="AI12" i="266"/>
  <c r="AN12" i="266" s="1"/>
  <c r="AH12" i="266"/>
  <c r="AF12" i="266"/>
  <c r="AE12" i="266"/>
  <c r="AB12" i="266"/>
  <c r="AA12" i="266"/>
  <c r="Z12" i="266"/>
  <c r="Y12" i="266"/>
  <c r="X12" i="266"/>
  <c r="W12" i="266"/>
  <c r="P12" i="266"/>
  <c r="O12" i="266"/>
  <c r="AD12" i="266" s="1"/>
  <c r="N12" i="266"/>
  <c r="AO12" i="266" s="1"/>
  <c r="AV12" i="266" s="1"/>
  <c r="M12" i="266"/>
  <c r="AT11" i="266"/>
  <c r="AP11" i="266"/>
  <c r="AO11" i="266"/>
  <c r="AV11" i="266" s="1"/>
  <c r="AJ11" i="266"/>
  <c r="AI11" i="266"/>
  <c r="AN11" i="266" s="1"/>
  <c r="AH11" i="266"/>
  <c r="AF11" i="266"/>
  <c r="AE11" i="266"/>
  <c r="AC11" i="266"/>
  <c r="AB11" i="266"/>
  <c r="AA11" i="266"/>
  <c r="Z11" i="266"/>
  <c r="Y11" i="266"/>
  <c r="X11" i="266"/>
  <c r="W11" i="266"/>
  <c r="P11" i="266"/>
  <c r="O11" i="266"/>
  <c r="AD11" i="266" s="1"/>
  <c r="N11" i="266"/>
  <c r="M11" i="266"/>
  <c r="AI10" i="266"/>
  <c r="AH10" i="266"/>
  <c r="W10" i="266"/>
  <c r="AP9" i="266"/>
  <c r="AO9" i="266"/>
  <c r="AV9" i="266" s="1"/>
  <c r="AI9" i="266"/>
  <c r="AN9" i="266" s="1"/>
  <c r="AH9" i="266"/>
  <c r="AF9" i="266"/>
  <c r="AE9" i="266"/>
  <c r="AA9" i="266"/>
  <c r="Z9" i="266"/>
  <c r="Y9" i="266"/>
  <c r="X9" i="266"/>
  <c r="W9" i="266"/>
  <c r="P9" i="266"/>
  <c r="O9" i="266"/>
  <c r="AD9" i="266" s="1"/>
  <c r="N9" i="266"/>
  <c r="AC9" i="266" s="1"/>
  <c r="M9" i="266"/>
  <c r="AR9" i="266" s="1"/>
  <c r="AR8" i="266"/>
  <c r="AP8" i="266"/>
  <c r="AI8" i="266"/>
  <c r="AN8" i="266" s="1"/>
  <c r="AH8" i="266"/>
  <c r="AF8" i="266"/>
  <c r="AE8" i="266"/>
  <c r="AB8" i="266"/>
  <c r="AA8" i="266"/>
  <c r="Z8" i="266"/>
  <c r="Y8" i="266"/>
  <c r="X8" i="266"/>
  <c r="W8" i="266"/>
  <c r="P8" i="266"/>
  <c r="O8" i="266"/>
  <c r="AD8" i="266" s="1"/>
  <c r="N8" i="266"/>
  <c r="AO8" i="266" s="1"/>
  <c r="AV8" i="266" s="1"/>
  <c r="M8" i="266"/>
  <c r="AT7" i="266"/>
  <c r="AP7" i="266"/>
  <c r="AO7" i="266"/>
  <c r="AV7" i="266" s="1"/>
  <c r="AJ7" i="266"/>
  <c r="AI7" i="266"/>
  <c r="AN7" i="266" s="1"/>
  <c r="AH7" i="266"/>
  <c r="AF7" i="266"/>
  <c r="AE7" i="266"/>
  <c r="AC7" i="266"/>
  <c r="AB7" i="266"/>
  <c r="AA7" i="266"/>
  <c r="Z7" i="266"/>
  <c r="Y7" i="266"/>
  <c r="X7" i="266"/>
  <c r="W7" i="266"/>
  <c r="P7" i="266"/>
  <c r="O7" i="266"/>
  <c r="AD7" i="266" s="1"/>
  <c r="N7" i="266"/>
  <c r="M7" i="266"/>
  <c r="AU6" i="266"/>
  <c r="AP6" i="266"/>
  <c r="AO6" i="266"/>
  <c r="AV6" i="266" s="1"/>
  <c r="AN6" i="266"/>
  <c r="AI6" i="266"/>
  <c r="AT6" i="266" s="1"/>
  <c r="AH6" i="266"/>
  <c r="AF6" i="266"/>
  <c r="AE6" i="266"/>
  <c r="AD6" i="266"/>
  <c r="AC6" i="266"/>
  <c r="AB6" i="266"/>
  <c r="AA6" i="266"/>
  <c r="Z6" i="266"/>
  <c r="Y6" i="266"/>
  <c r="X6" i="266"/>
  <c r="W6" i="266"/>
  <c r="P6" i="266"/>
  <c r="O6" i="266"/>
  <c r="AQ6" i="266" s="1"/>
  <c r="N6" i="266"/>
  <c r="M6" i="266"/>
  <c r="AI5" i="266"/>
  <c r="AH5" i="266"/>
  <c r="W5" i="266"/>
  <c r="AI4" i="266"/>
  <c r="AQ3" i="266"/>
  <c r="AP3" i="266"/>
  <c r="AO3" i="266"/>
  <c r="AI3" i="266"/>
  <c r="AH3" i="266"/>
  <c r="AN2" i="266"/>
  <c r="AN45" i="266" s="1"/>
  <c r="AM2" i="266"/>
  <c r="AL2" i="266"/>
  <c r="AK2" i="266"/>
  <c r="AJ2" i="266"/>
  <c r="AJ52" i="266" s="1"/>
  <c r="AA2" i="266"/>
  <c r="A2" i="266"/>
  <c r="AU1" i="266"/>
  <c r="AU54" i="266" s="1"/>
  <c r="AR1" i="266"/>
  <c r="AQ1" i="266"/>
  <c r="AQ54" i="266" s="1"/>
  <c r="AP1" i="266"/>
  <c r="AO1" i="266"/>
  <c r="AJ1" i="266"/>
  <c r="AH1" i="266"/>
  <c r="AH2" i="266" s="1"/>
  <c r="AA1" i="266"/>
  <c r="A1" i="266"/>
  <c r="AT25" i="265"/>
  <c r="AP25" i="265"/>
  <c r="AO25" i="265"/>
  <c r="AV25" i="265" s="1"/>
  <c r="AJ25" i="265"/>
  <c r="AI25" i="265"/>
  <c r="AN25" i="265" s="1"/>
  <c r="AH25" i="265"/>
  <c r="AF25" i="265"/>
  <c r="AE25" i="265"/>
  <c r="AC25" i="265"/>
  <c r="AB25" i="265"/>
  <c r="AA25" i="265"/>
  <c r="Z25" i="265"/>
  <c r="Y25" i="265"/>
  <c r="X25" i="265"/>
  <c r="W25" i="265"/>
  <c r="P25" i="265"/>
  <c r="O25" i="265"/>
  <c r="AD25" i="265" s="1"/>
  <c r="N25" i="265"/>
  <c r="M25" i="265"/>
  <c r="AI24" i="265"/>
  <c r="AH24" i="265"/>
  <c r="W24" i="265"/>
  <c r="AP23" i="265"/>
  <c r="AO23" i="265"/>
  <c r="AV23" i="265" s="1"/>
  <c r="AI23" i="265"/>
  <c r="AN23" i="265" s="1"/>
  <c r="AH23" i="265"/>
  <c r="AF23" i="265"/>
  <c r="AE23" i="265"/>
  <c r="AA23" i="265"/>
  <c r="Z23" i="265"/>
  <c r="Y23" i="265"/>
  <c r="X23" i="265"/>
  <c r="W23" i="265"/>
  <c r="P23" i="265"/>
  <c r="O23" i="265"/>
  <c r="AD23" i="265" s="1"/>
  <c r="N23" i="265"/>
  <c r="AC23" i="265" s="1"/>
  <c r="M23" i="265"/>
  <c r="AR23" i="265" s="1"/>
  <c r="AI22" i="265"/>
  <c r="AH22" i="265"/>
  <c r="W22" i="265"/>
  <c r="AU21" i="265"/>
  <c r="AT21" i="265"/>
  <c r="AP21" i="265"/>
  <c r="AO21" i="265"/>
  <c r="AV21" i="265" s="1"/>
  <c r="AJ21" i="265"/>
  <c r="AI21" i="265"/>
  <c r="AH21" i="265"/>
  <c r="AF21" i="265"/>
  <c r="AE21" i="265"/>
  <c r="AD21" i="265"/>
  <c r="AC21" i="265"/>
  <c r="AA21" i="265"/>
  <c r="Z21" i="265"/>
  <c r="Y21" i="265"/>
  <c r="X21" i="265"/>
  <c r="W21" i="265"/>
  <c r="P21" i="265"/>
  <c r="O21" i="265"/>
  <c r="AQ21" i="265" s="1"/>
  <c r="N21" i="265"/>
  <c r="M21" i="265"/>
  <c r="AR21" i="265" s="1"/>
  <c r="AI20" i="265"/>
  <c r="AH20" i="265"/>
  <c r="W20" i="265"/>
  <c r="AT19" i="265"/>
  <c r="AR19" i="265"/>
  <c r="AP19" i="265"/>
  <c r="AO19" i="265"/>
  <c r="AV19" i="265" s="1"/>
  <c r="AJ19" i="265"/>
  <c r="AI19" i="265"/>
  <c r="AN19" i="265" s="1"/>
  <c r="AH19" i="265"/>
  <c r="AF19" i="265"/>
  <c r="AE19" i="265"/>
  <c r="AC19" i="265"/>
  <c r="AB19" i="265"/>
  <c r="AA19" i="265"/>
  <c r="Z19" i="265"/>
  <c r="Y19" i="265"/>
  <c r="X19" i="265"/>
  <c r="W19" i="265"/>
  <c r="P19" i="265"/>
  <c r="O19" i="265"/>
  <c r="AD19" i="265" s="1"/>
  <c r="N19" i="265"/>
  <c r="M19" i="265"/>
  <c r="AU18" i="265"/>
  <c r="AR18" i="265"/>
  <c r="AP18" i="265"/>
  <c r="AO18" i="265"/>
  <c r="AV18" i="265" s="1"/>
  <c r="AN18" i="265"/>
  <c r="AI18" i="265"/>
  <c r="AT18" i="265" s="1"/>
  <c r="AH18" i="265"/>
  <c r="AF18" i="265"/>
  <c r="AE18" i="265"/>
  <c r="AD18" i="265"/>
  <c r="AC18" i="265"/>
  <c r="AB18" i="265"/>
  <c r="AA18" i="265"/>
  <c r="Z18" i="265"/>
  <c r="Y18" i="265"/>
  <c r="X18" i="265"/>
  <c r="W18" i="265"/>
  <c r="P18" i="265"/>
  <c r="O18" i="265"/>
  <c r="AQ18" i="265" s="1"/>
  <c r="N18" i="265"/>
  <c r="M18" i="265"/>
  <c r="AU17" i="265"/>
  <c r="AT17" i="265"/>
  <c r="AP17" i="265"/>
  <c r="AO17" i="265"/>
  <c r="AV17" i="265" s="1"/>
  <c r="AJ17" i="265"/>
  <c r="AI17" i="265"/>
  <c r="AH17" i="265"/>
  <c r="AF17" i="265"/>
  <c r="AE17" i="265"/>
  <c r="AD17" i="265"/>
  <c r="AC17" i="265"/>
  <c r="AA17" i="265"/>
  <c r="Z17" i="265"/>
  <c r="Y17" i="265"/>
  <c r="X17" i="265"/>
  <c r="W17" i="265"/>
  <c r="P17" i="265"/>
  <c r="O17" i="265"/>
  <c r="AQ17" i="265" s="1"/>
  <c r="N17" i="265"/>
  <c r="M17" i="265"/>
  <c r="AR17" i="265" s="1"/>
  <c r="AI16" i="265"/>
  <c r="AH16" i="265"/>
  <c r="W16" i="265"/>
  <c r="AT15" i="265"/>
  <c r="AR15" i="265"/>
  <c r="AP15" i="265"/>
  <c r="AJ15" i="265"/>
  <c r="AI15" i="265"/>
  <c r="AN15" i="265" s="1"/>
  <c r="AH15" i="265"/>
  <c r="AF15" i="265"/>
  <c r="AE15" i="265"/>
  <c r="AC15" i="265"/>
  <c r="AB15" i="265"/>
  <c r="AA15" i="265"/>
  <c r="Z15" i="265"/>
  <c r="Y15" i="265"/>
  <c r="X15" i="265"/>
  <c r="W15" i="265"/>
  <c r="P15" i="265"/>
  <c r="O15" i="265"/>
  <c r="AD15" i="265" s="1"/>
  <c r="N15" i="265"/>
  <c r="AO15" i="265" s="1"/>
  <c r="AV15" i="265" s="1"/>
  <c r="M15" i="265"/>
  <c r="AU14" i="265"/>
  <c r="AR14" i="265"/>
  <c r="AP14" i="265"/>
  <c r="AO14" i="265"/>
  <c r="AV14" i="265" s="1"/>
  <c r="AN14" i="265"/>
  <c r="AI14" i="265"/>
  <c r="AT14" i="265" s="1"/>
  <c r="AH14" i="265"/>
  <c r="AF14" i="265"/>
  <c r="AE14" i="265"/>
  <c r="AD14" i="265"/>
  <c r="AC14" i="265"/>
  <c r="AB14" i="265"/>
  <c r="AA14" i="265"/>
  <c r="Z14" i="265"/>
  <c r="Y14" i="265"/>
  <c r="X14" i="265"/>
  <c r="W14" i="265"/>
  <c r="P14" i="265"/>
  <c r="O14" i="265"/>
  <c r="AQ14" i="265" s="1"/>
  <c r="N14" i="265"/>
  <c r="M14" i="265"/>
  <c r="AI13" i="265"/>
  <c r="AH13" i="265"/>
  <c r="W13" i="265"/>
  <c r="AR12" i="265"/>
  <c r="AP12" i="265"/>
  <c r="AI12" i="265"/>
  <c r="AN12" i="265" s="1"/>
  <c r="AH12" i="265"/>
  <c r="AF12" i="265"/>
  <c r="AE12" i="265"/>
  <c r="AB12" i="265"/>
  <c r="AA12" i="265"/>
  <c r="Z12" i="265"/>
  <c r="Y12" i="265"/>
  <c r="X12" i="265"/>
  <c r="W12" i="265"/>
  <c r="P12" i="265"/>
  <c r="O12" i="265"/>
  <c r="AD12" i="265" s="1"/>
  <c r="N12" i="265"/>
  <c r="AO12" i="265" s="1"/>
  <c r="AV12" i="265" s="1"/>
  <c r="M12" i="265"/>
  <c r="AI11" i="265"/>
  <c r="AH11" i="265"/>
  <c r="W11" i="265"/>
  <c r="AU10" i="265"/>
  <c r="AP10" i="265"/>
  <c r="AN10" i="265"/>
  <c r="AI10" i="265"/>
  <c r="AT10" i="265" s="1"/>
  <c r="AH10" i="265"/>
  <c r="AF10" i="265"/>
  <c r="AE10" i="265"/>
  <c r="AD10" i="265"/>
  <c r="AA10" i="265"/>
  <c r="Z10" i="265"/>
  <c r="Y10" i="265"/>
  <c r="X10" i="265"/>
  <c r="W10" i="265"/>
  <c r="P10" i="265"/>
  <c r="O10" i="265"/>
  <c r="AQ10" i="265" s="1"/>
  <c r="N10" i="265"/>
  <c r="AC10" i="265" s="1"/>
  <c r="M10" i="265"/>
  <c r="AR10" i="265" s="1"/>
  <c r="AP9" i="265"/>
  <c r="AO9" i="265"/>
  <c r="AV9" i="265" s="1"/>
  <c r="AI9" i="265"/>
  <c r="AN9" i="265" s="1"/>
  <c r="AH9" i="265"/>
  <c r="AF9" i="265"/>
  <c r="AE9" i="265"/>
  <c r="AA9" i="265"/>
  <c r="Z9" i="265"/>
  <c r="Y9" i="265"/>
  <c r="X9" i="265"/>
  <c r="W9" i="265"/>
  <c r="P9" i="265"/>
  <c r="O9" i="265"/>
  <c r="AD9" i="265" s="1"/>
  <c r="N9" i="265"/>
  <c r="AC9" i="265" s="1"/>
  <c r="M9" i="265"/>
  <c r="AB9" i="265" s="1"/>
  <c r="AR8" i="265"/>
  <c r="AP8" i="265"/>
  <c r="AI8" i="265"/>
  <c r="AJ8" i="265" s="1"/>
  <c r="AH8" i="265"/>
  <c r="AF8" i="265"/>
  <c r="AE8" i="265"/>
  <c r="AB8" i="265"/>
  <c r="AA8" i="265"/>
  <c r="Z8" i="265"/>
  <c r="Y8" i="265"/>
  <c r="X8" i="265"/>
  <c r="W8" i="265"/>
  <c r="P8" i="265"/>
  <c r="O8" i="265"/>
  <c r="AD8" i="265" s="1"/>
  <c r="N8" i="265"/>
  <c r="AO8" i="265" s="1"/>
  <c r="AV8" i="265" s="1"/>
  <c r="M8" i="265"/>
  <c r="AI7" i="265"/>
  <c r="AH7" i="265"/>
  <c r="W7" i="265"/>
  <c r="AU6" i="265"/>
  <c r="AP6" i="265"/>
  <c r="AN6" i="265"/>
  <c r="AI6" i="265"/>
  <c r="AT6" i="265" s="1"/>
  <c r="AH6" i="265"/>
  <c r="AF6" i="265"/>
  <c r="AE6" i="265"/>
  <c r="AD6" i="265"/>
  <c r="AA6" i="265"/>
  <c r="Z6" i="265"/>
  <c r="Y6" i="265"/>
  <c r="X6" i="265"/>
  <c r="W6" i="265"/>
  <c r="P6" i="265"/>
  <c r="O6" i="265"/>
  <c r="AQ6" i="265" s="1"/>
  <c r="N6" i="265"/>
  <c r="AC6" i="265" s="1"/>
  <c r="M6" i="265"/>
  <c r="AR6" i="265" s="1"/>
  <c r="AI5" i="265"/>
  <c r="AH5" i="265"/>
  <c r="W5" i="265"/>
  <c r="AI4" i="265"/>
  <c r="AU3" i="265"/>
  <c r="AR3" i="265"/>
  <c r="AQ3" i="265"/>
  <c r="AI3" i="265"/>
  <c r="AH3" i="265"/>
  <c r="AN2" i="265"/>
  <c r="AN21" i="265" s="1"/>
  <c r="AM2" i="265"/>
  <c r="AL2" i="265"/>
  <c r="AK2" i="265"/>
  <c r="AJ2" i="265"/>
  <c r="AA2" i="265"/>
  <c r="A2" i="265"/>
  <c r="AU1" i="265"/>
  <c r="AU23" i="265" s="1"/>
  <c r="AR1" i="265"/>
  <c r="AR25" i="265" s="1"/>
  <c r="AQ1" i="265"/>
  <c r="AP1" i="265"/>
  <c r="AP3" i="265" s="1"/>
  <c r="AO1" i="265"/>
  <c r="AO3" i="265" s="1"/>
  <c r="AJ1" i="265"/>
  <c r="AA1" i="265"/>
  <c r="A1" i="265"/>
  <c r="AH1" i="265" s="1"/>
  <c r="AH2" i="265" s="1"/>
  <c r="AQ15" i="265" l="1"/>
  <c r="AQ19" i="265"/>
  <c r="AR59" i="266"/>
  <c r="AR55" i="266"/>
  <c r="AR49" i="266"/>
  <c r="AR45" i="266"/>
  <c r="AR41" i="266"/>
  <c r="AR6" i="266"/>
  <c r="AQ7" i="266"/>
  <c r="AQ11" i="266"/>
  <c r="AQ15" i="266"/>
  <c r="AR24" i="266"/>
  <c r="AU26" i="266"/>
  <c r="AR28" i="266"/>
  <c r="AU30" i="266"/>
  <c r="AR32" i="266"/>
  <c r="AN34" i="266"/>
  <c r="AU34" i="266"/>
  <c r="AQ37" i="266"/>
  <c r="AT39" i="266"/>
  <c r="AR40" i="266"/>
  <c r="AR43" i="266"/>
  <c r="AN46" i="266"/>
  <c r="AR48" i="266"/>
  <c r="AU49" i="266"/>
  <c r="AT51" i="266"/>
  <c r="AJ51" i="266"/>
  <c r="AU51" i="266"/>
  <c r="AN52" i="266"/>
  <c r="AR53" i="266"/>
  <c r="AT54" i="266"/>
  <c r="AJ54" i="266"/>
  <c r="AJ55" i="266"/>
  <c r="AR56" i="266"/>
  <c r="AN57" i="266"/>
  <c r="AR61" i="266"/>
  <c r="AQ6" i="267"/>
  <c r="AN18" i="267"/>
  <c r="AT18" i="267"/>
  <c r="AJ18" i="267"/>
  <c r="AT28" i="267"/>
  <c r="AJ28" i="267"/>
  <c r="AN7" i="268"/>
  <c r="AT7" i="268"/>
  <c r="AJ7" i="268"/>
  <c r="AN11" i="268"/>
  <c r="AT11" i="268"/>
  <c r="AJ11" i="268"/>
  <c r="AO13" i="268"/>
  <c r="AV13" i="268" s="1"/>
  <c r="AC13" i="268"/>
  <c r="AN17" i="268"/>
  <c r="AT17" i="268"/>
  <c r="AJ17" i="268"/>
  <c r="AO19" i="268"/>
  <c r="AV19" i="268" s="1"/>
  <c r="AC19" i="268"/>
  <c r="AQ41" i="268"/>
  <c r="AD41" i="268"/>
  <c r="AO96" i="268"/>
  <c r="AV96" i="268" s="1"/>
  <c r="AC96" i="268"/>
  <c r="AN118" i="268"/>
  <c r="AT118" i="268"/>
  <c r="AJ118" i="268"/>
  <c r="AQ101" i="269"/>
  <c r="AD101" i="269"/>
  <c r="AB142" i="269"/>
  <c r="AR142" i="269"/>
  <c r="AQ160" i="269"/>
  <c r="AD160" i="269"/>
  <c r="AO17" i="270"/>
  <c r="AV17" i="270" s="1"/>
  <c r="AC17" i="270"/>
  <c r="AN17" i="270"/>
  <c r="AT17" i="270"/>
  <c r="AJ17" i="270"/>
  <c r="AN52" i="270"/>
  <c r="AT52" i="270"/>
  <c r="AJ52" i="270"/>
  <c r="AD104" i="270"/>
  <c r="AQ104" i="270"/>
  <c r="AQ25" i="265"/>
  <c r="AO6" i="265"/>
  <c r="AV6" i="265" s="1"/>
  <c r="AQ8" i="265"/>
  <c r="AO10" i="265"/>
  <c r="AV10" i="265" s="1"/>
  <c r="AQ12" i="265"/>
  <c r="AJ14" i="265"/>
  <c r="AN17" i="265"/>
  <c r="AJ18" i="265"/>
  <c r="AU56" i="266"/>
  <c r="AU50" i="266"/>
  <c r="AU46" i="266"/>
  <c r="AU42" i="266"/>
  <c r="AU36" i="266"/>
  <c r="AU61" i="266"/>
  <c r="AU53" i="266"/>
  <c r="AJ6" i="266"/>
  <c r="AR7" i="266"/>
  <c r="AQ8" i="266"/>
  <c r="AR11" i="266"/>
  <c r="AQ12" i="266"/>
  <c r="AR15" i="266"/>
  <c r="AQ16" i="266"/>
  <c r="AO18" i="266"/>
  <c r="AV18" i="266" s="1"/>
  <c r="AQ20" i="266"/>
  <c r="AO22" i="266"/>
  <c r="AV22" i="266" s="1"/>
  <c r="AN23" i="266"/>
  <c r="AU23" i="266"/>
  <c r="AJ24" i="266"/>
  <c r="AO26" i="266"/>
  <c r="AV26" i="266" s="1"/>
  <c r="AN27" i="266"/>
  <c r="AU27" i="266"/>
  <c r="AJ28" i="266"/>
  <c r="AO30" i="266"/>
  <c r="AV30" i="266" s="1"/>
  <c r="AN31" i="266"/>
  <c r="AU31" i="266"/>
  <c r="AJ32" i="266"/>
  <c r="AO34" i="266"/>
  <c r="AV34" i="266" s="1"/>
  <c r="AN35" i="266"/>
  <c r="AU35" i="266"/>
  <c r="AR37" i="266"/>
  <c r="AJ38" i="266"/>
  <c r="AU38" i="266"/>
  <c r="AU39" i="266"/>
  <c r="AJ40" i="266"/>
  <c r="AU41" i="266"/>
  <c r="AT43" i="266"/>
  <c r="AJ43" i="266"/>
  <c r="AU43" i="266"/>
  <c r="AQ45" i="266"/>
  <c r="AJ46" i="266"/>
  <c r="AT48" i="266"/>
  <c r="AJ48" i="266"/>
  <c r="AU48" i="266"/>
  <c r="AJ49" i="266"/>
  <c r="AR50" i="266"/>
  <c r="AN51" i="266"/>
  <c r="AQ53" i="266"/>
  <c r="AT53" i="266"/>
  <c r="AN54" i="266"/>
  <c r="AN55" i="266"/>
  <c r="AT56" i="266"/>
  <c r="AU59" i="266"/>
  <c r="AQ61" i="266"/>
  <c r="AT61" i="266"/>
  <c r="AJ7" i="267"/>
  <c r="AQ9" i="267"/>
  <c r="AJ10" i="267"/>
  <c r="AQ11" i="267"/>
  <c r="AD15" i="267"/>
  <c r="AU16" i="267"/>
  <c r="AO18" i="267"/>
  <c r="AV18" i="267" s="1"/>
  <c r="AJ21" i="267"/>
  <c r="AR25" i="267"/>
  <c r="AB25" i="267"/>
  <c r="AU25" i="267"/>
  <c r="AQ27" i="267"/>
  <c r="AT27" i="267"/>
  <c r="AN28" i="267"/>
  <c r="AR6" i="268"/>
  <c r="AB6" i="268"/>
  <c r="AU15" i="268"/>
  <c r="AO27" i="268"/>
  <c r="AV27" i="268" s="1"/>
  <c r="AC27" i="268"/>
  <c r="AU32" i="268"/>
  <c r="AR37" i="268"/>
  <c r="AB37" i="268"/>
  <c r="AT42" i="268"/>
  <c r="AN42" i="268"/>
  <c r="AJ42" i="268"/>
  <c r="AQ13" i="266"/>
  <c r="AO23" i="268"/>
  <c r="AV23" i="268" s="1"/>
  <c r="AC23" i="268"/>
  <c r="AC8" i="265"/>
  <c r="AJ12" i="265"/>
  <c r="AT12" i="265"/>
  <c r="AU15" i="265"/>
  <c r="AU19" i="265"/>
  <c r="AB23" i="265"/>
  <c r="AU25" i="265"/>
  <c r="AR3" i="266"/>
  <c r="AU7" i="266"/>
  <c r="AC8" i="266"/>
  <c r="AJ8" i="266"/>
  <c r="AT8" i="266"/>
  <c r="AB9" i="266"/>
  <c r="AU11" i="266"/>
  <c r="AC12" i="266"/>
  <c r="AJ12" i="266"/>
  <c r="AT12" i="266"/>
  <c r="AB13" i="266"/>
  <c r="AN15" i="266"/>
  <c r="AU15" i="266"/>
  <c r="AC16" i="266"/>
  <c r="AJ16" i="266"/>
  <c r="AT16" i="266"/>
  <c r="AB17" i="266"/>
  <c r="AC20" i="266"/>
  <c r="AJ20" i="266"/>
  <c r="AT20" i="266"/>
  <c r="AB21" i="266"/>
  <c r="AR36" i="266"/>
  <c r="AD41" i="266"/>
  <c r="AN41" i="266"/>
  <c r="AU45" i="266"/>
  <c r="AD48" i="266"/>
  <c r="AN50" i="266"/>
  <c r="AC53" i="266"/>
  <c r="AJ53" i="266"/>
  <c r="AQ55" i="266"/>
  <c r="AJ56" i="266"/>
  <c r="AQ57" i="266"/>
  <c r="AD59" i="266"/>
  <c r="AN59" i="266"/>
  <c r="AC61" i="266"/>
  <c r="AJ61" i="266"/>
  <c r="AC6" i="267"/>
  <c r="AJ6" i="267"/>
  <c r="AR8" i="267"/>
  <c r="AT11" i="267"/>
  <c r="AJ11" i="267"/>
  <c r="AC16" i="267"/>
  <c r="AJ16" i="267"/>
  <c r="AQ20" i="267"/>
  <c r="AC23" i="267"/>
  <c r="AO24" i="267"/>
  <c r="AV24" i="267" s="1"/>
  <c r="AJ27" i="267"/>
  <c r="AN123" i="268"/>
  <c r="AN119" i="268"/>
  <c r="AN115" i="268"/>
  <c r="AN111" i="268"/>
  <c r="AN107" i="268"/>
  <c r="AN103" i="268"/>
  <c r="AN87" i="268"/>
  <c r="AN83" i="268"/>
  <c r="AN77" i="268"/>
  <c r="AN71" i="268"/>
  <c r="AN67" i="268"/>
  <c r="AN63" i="268"/>
  <c r="AN59" i="268"/>
  <c r="AN121" i="268"/>
  <c r="AN65" i="268"/>
  <c r="AN31" i="268"/>
  <c r="AN98" i="268"/>
  <c r="AN94" i="268"/>
  <c r="AN80" i="268"/>
  <c r="AN24" i="268"/>
  <c r="AN14" i="268"/>
  <c r="AN37" i="268"/>
  <c r="AN90" i="268"/>
  <c r="AN76" i="268"/>
  <c r="AN66" i="268"/>
  <c r="AN52" i="268"/>
  <c r="AN28" i="268"/>
  <c r="AN27" i="268"/>
  <c r="AN22" i="268"/>
  <c r="AN18" i="268"/>
  <c r="AN12" i="268"/>
  <c r="AN8" i="268"/>
  <c r="AN74" i="268"/>
  <c r="AN62" i="268"/>
  <c r="AN56" i="268"/>
  <c r="AN41" i="268"/>
  <c r="AN32" i="268"/>
  <c r="AN48" i="268"/>
  <c r="AN6" i="268"/>
  <c r="AQ8" i="268"/>
  <c r="AQ12" i="268"/>
  <c r="AR14" i="268"/>
  <c r="AB14" i="268"/>
  <c r="AQ18" i="268"/>
  <c r="AN38" i="268"/>
  <c r="AU42" i="268"/>
  <c r="AN45" i="268"/>
  <c r="AD51" i="268"/>
  <c r="AQ51" i="268"/>
  <c r="AN51" i="268"/>
  <c r="AT51" i="268"/>
  <c r="AJ51" i="268"/>
  <c r="AO100" i="268"/>
  <c r="AV100" i="268" s="1"/>
  <c r="AC100" i="268"/>
  <c r="AQ21" i="266"/>
  <c r="AT37" i="266"/>
  <c r="AJ37" i="266"/>
  <c r="AR42" i="266"/>
  <c r="AN24" i="267"/>
  <c r="AT24" i="267"/>
  <c r="AJ24" i="267"/>
  <c r="AN21" i="268"/>
  <c r="AT21" i="268"/>
  <c r="AJ21" i="268"/>
  <c r="AQ48" i="268"/>
  <c r="AD48" i="268"/>
  <c r="AT8" i="265"/>
  <c r="AR9" i="265"/>
  <c r="AC12" i="265"/>
  <c r="AB6" i="265"/>
  <c r="AN8" i="265"/>
  <c r="AU8" i="265"/>
  <c r="AJ9" i="265"/>
  <c r="AT9" i="265"/>
  <c r="AB10" i="265"/>
  <c r="AU12" i="265"/>
  <c r="AJ23" i="265"/>
  <c r="AT23" i="265"/>
  <c r="AU3" i="266"/>
  <c r="AU8" i="266"/>
  <c r="AJ9" i="266"/>
  <c r="AT9" i="266"/>
  <c r="AU12" i="266"/>
  <c r="AJ13" i="266"/>
  <c r="AT13" i="266"/>
  <c r="AU16" i="266"/>
  <c r="AJ17" i="266"/>
  <c r="AT17" i="266"/>
  <c r="AB18" i="266"/>
  <c r="AU20" i="266"/>
  <c r="AJ21" i="266"/>
  <c r="AT21" i="266"/>
  <c r="AB22" i="266"/>
  <c r="AB26" i="266"/>
  <c r="AB30" i="266"/>
  <c r="AB34" i="266"/>
  <c r="AN36" i="266"/>
  <c r="AT36" i="266"/>
  <c r="AO37" i="266"/>
  <c r="AV37" i="266" s="1"/>
  <c r="AR38" i="266"/>
  <c r="AB38" i="266"/>
  <c r="AN42" i="266"/>
  <c r="AC45" i="266"/>
  <c r="AJ45" i="266"/>
  <c r="AQ49" i="266"/>
  <c r="AJ50" i="266"/>
  <c r="AU52" i="266"/>
  <c r="AC56" i="266"/>
  <c r="AT8" i="267"/>
  <c r="AJ8" i="267"/>
  <c r="AC9" i="267"/>
  <c r="AJ9" i="267"/>
  <c r="AN11" i="267"/>
  <c r="AR15" i="267"/>
  <c r="AB15" i="267"/>
  <c r="AU15" i="267"/>
  <c r="AC20" i="267"/>
  <c r="AJ20" i="267"/>
  <c r="AT22" i="267"/>
  <c r="AJ22" i="267"/>
  <c r="AU22" i="267"/>
  <c r="AB24" i="267"/>
  <c r="AN10" i="268"/>
  <c r="AN15" i="268"/>
  <c r="AN16" i="268"/>
  <c r="AR24" i="268"/>
  <c r="AB24" i="268"/>
  <c r="AC32" i="268"/>
  <c r="AO32" i="268"/>
  <c r="AV32" i="268" s="1"/>
  <c r="AN34" i="268"/>
  <c r="AC56" i="268"/>
  <c r="AO56" i="268"/>
  <c r="AV56" i="268" s="1"/>
  <c r="AC74" i="268"/>
  <c r="AO74" i="268"/>
  <c r="AV74" i="268" s="1"/>
  <c r="AQ9" i="265"/>
  <c r="AQ23" i="265"/>
  <c r="AQ9" i="266"/>
  <c r="AQ17" i="266"/>
  <c r="AU125" i="268"/>
  <c r="AU113" i="268"/>
  <c r="AU109" i="268"/>
  <c r="AU97" i="268"/>
  <c r="AU93" i="268"/>
  <c r="AU89" i="268"/>
  <c r="AU79" i="268"/>
  <c r="AU73" i="268"/>
  <c r="AU69" i="268"/>
  <c r="AU55" i="268"/>
  <c r="AU51" i="268"/>
  <c r="AU47" i="268"/>
  <c r="AU43" i="268"/>
  <c r="AU39" i="268"/>
  <c r="AU35" i="268"/>
  <c r="AU25" i="268"/>
  <c r="AU116" i="268"/>
  <c r="AU112" i="268"/>
  <c r="AU108" i="268"/>
  <c r="AU100" i="268"/>
  <c r="AU96" i="268"/>
  <c r="AU88" i="268"/>
  <c r="AU84" i="268"/>
  <c r="AU78" i="268"/>
  <c r="AU72" i="268"/>
  <c r="AU68" i="268"/>
  <c r="AU60" i="268"/>
  <c r="AU50" i="268"/>
  <c r="AU46" i="268"/>
  <c r="AU124" i="268"/>
  <c r="AU123" i="268"/>
  <c r="AU119" i="268"/>
  <c r="AU115" i="268"/>
  <c r="AU111" i="268"/>
  <c r="AU107" i="268"/>
  <c r="AU103" i="268"/>
  <c r="AU87" i="268"/>
  <c r="AU83" i="268"/>
  <c r="AU77" i="268"/>
  <c r="AU71" i="268"/>
  <c r="AU67" i="268"/>
  <c r="AU63" i="268"/>
  <c r="AU59" i="268"/>
  <c r="AU122" i="268"/>
  <c r="AU118" i="268"/>
  <c r="AU106" i="268"/>
  <c r="AU102" i="268"/>
  <c r="AU86" i="268"/>
  <c r="AU82" i="268"/>
  <c r="AU121" i="268"/>
  <c r="AU105" i="268"/>
  <c r="AU91" i="268"/>
  <c r="AU81" i="268"/>
  <c r="AU75" i="268"/>
  <c r="AU65" i="268"/>
  <c r="AU57" i="268"/>
  <c r="AU53" i="268"/>
  <c r="AU31" i="268"/>
  <c r="AU90" i="268"/>
  <c r="AU45" i="268"/>
  <c r="AU33" i="268"/>
  <c r="AU24" i="268"/>
  <c r="AU14" i="268"/>
  <c r="AU74" i="268"/>
  <c r="AU56" i="268"/>
  <c r="AU48" i="268"/>
  <c r="AU34" i="268"/>
  <c r="AU23" i="268"/>
  <c r="AU19" i="268"/>
  <c r="AU13" i="268"/>
  <c r="AU37" i="268"/>
  <c r="AU26" i="268"/>
  <c r="AU22" i="268"/>
  <c r="AU18" i="268"/>
  <c r="AU12" i="268"/>
  <c r="AU8" i="268"/>
  <c r="AU3" i="268"/>
  <c r="AU38" i="268"/>
  <c r="AU30" i="268"/>
  <c r="AU28" i="268"/>
  <c r="AU27" i="268"/>
  <c r="AU21" i="268"/>
  <c r="AU17" i="268"/>
  <c r="AU11" i="268"/>
  <c r="AU7" i="268"/>
  <c r="AU98" i="268"/>
  <c r="AU94" i="268"/>
  <c r="AU80" i="268"/>
  <c r="AU76" i="268"/>
  <c r="AU66" i="268"/>
  <c r="AU58" i="268"/>
  <c r="AU41" i="268"/>
  <c r="AU16" i="268"/>
  <c r="AU10" i="268"/>
  <c r="AU6" i="268"/>
  <c r="AO38" i="268"/>
  <c r="AV38" i="268" s="1"/>
  <c r="AC38" i="268"/>
  <c r="AJ6" i="265"/>
  <c r="AU9" i="265"/>
  <c r="AJ10" i="265"/>
  <c r="AB17" i="265"/>
  <c r="AB21" i="265"/>
  <c r="AU9" i="266"/>
  <c r="AU13" i="266"/>
  <c r="AU17" i="266"/>
  <c r="AJ18" i="266"/>
  <c r="AU21" i="266"/>
  <c r="AJ22" i="266"/>
  <c r="AB23" i="266"/>
  <c r="AJ26" i="266"/>
  <c r="AB27" i="266"/>
  <c r="AJ30" i="266"/>
  <c r="AB31" i="266"/>
  <c r="AJ34" i="266"/>
  <c r="AB35" i="266"/>
  <c r="AJ36" i="266"/>
  <c r="AQ39" i="266"/>
  <c r="AJ42" i="266"/>
  <c r="AT46" i="266"/>
  <c r="AC50" i="266"/>
  <c r="AC52" i="266"/>
  <c r="AU55" i="266"/>
  <c r="AT57" i="266"/>
  <c r="AJ57" i="266"/>
  <c r="AU57" i="266"/>
  <c r="AU24" i="267"/>
  <c r="AU18" i="267"/>
  <c r="AU14" i="267"/>
  <c r="AU10" i="267"/>
  <c r="AU23" i="267"/>
  <c r="AU13" i="267"/>
  <c r="AU27" i="267"/>
  <c r="AU21" i="267"/>
  <c r="AU7" i="267"/>
  <c r="AQ7" i="267"/>
  <c r="AT7" i="267"/>
  <c r="AN8" i="267"/>
  <c r="AT10" i="267"/>
  <c r="AN14" i="267"/>
  <c r="AT14" i="267"/>
  <c r="AJ14" i="267"/>
  <c r="AR19" i="267"/>
  <c r="AB19" i="267"/>
  <c r="AU19" i="267"/>
  <c r="AQ21" i="267"/>
  <c r="AT21" i="267"/>
  <c r="AN22" i="267"/>
  <c r="AQ23" i="267"/>
  <c r="AQ26" i="267"/>
  <c r="AQ28" i="267"/>
  <c r="AU28" i="267"/>
  <c r="AQ22" i="268"/>
  <c r="AN25" i="268"/>
  <c r="AU62" i="268"/>
  <c r="AD119" i="268"/>
  <c r="AQ119" i="268"/>
  <c r="AQ42" i="266"/>
  <c r="AQ46" i="266"/>
  <c r="AQ50" i="266"/>
  <c r="AQ56" i="266"/>
  <c r="AR9" i="267"/>
  <c r="AQ10" i="267"/>
  <c r="AR13" i="267"/>
  <c r="AQ14" i="267"/>
  <c r="AQ18" i="267"/>
  <c r="AQ24" i="267"/>
  <c r="AR8" i="268"/>
  <c r="AR12" i="268"/>
  <c r="AQ13" i="268"/>
  <c r="AO15" i="268"/>
  <c r="AV15" i="268" s="1"/>
  <c r="AR18" i="268"/>
  <c r="AQ19" i="268"/>
  <c r="AR22" i="268"/>
  <c r="AQ23" i="268"/>
  <c r="AO25" i="268"/>
  <c r="AV25" i="268" s="1"/>
  <c r="AR30" i="268"/>
  <c r="AQ32" i="268"/>
  <c r="AT32" i="268"/>
  <c r="AJ32" i="268"/>
  <c r="AN35" i="268"/>
  <c r="AT35" i="268"/>
  <c r="AQ37" i="268"/>
  <c r="AQ38" i="268"/>
  <c r="AT38" i="268"/>
  <c r="AJ41" i="268"/>
  <c r="AQ43" i="268"/>
  <c r="AQ47" i="268"/>
  <c r="AC52" i="268"/>
  <c r="AO52" i="268"/>
  <c r="AV52" i="268" s="1"/>
  <c r="AR53" i="268"/>
  <c r="AB53" i="268"/>
  <c r="AQ56" i="268"/>
  <c r="AQ57" i="268"/>
  <c r="AJ57" i="268"/>
  <c r="AQ59" i="268"/>
  <c r="AR60" i="268"/>
  <c r="AQ62" i="268"/>
  <c r="AT62" i="268"/>
  <c r="AJ62" i="268"/>
  <c r="AR63" i="268"/>
  <c r="AQ65" i="268"/>
  <c r="AJ65" i="268"/>
  <c r="AQ67" i="268"/>
  <c r="AR68" i="268"/>
  <c r="AJ71" i="268"/>
  <c r="AO72" i="268"/>
  <c r="AV72" i="268" s="1"/>
  <c r="AC72" i="268"/>
  <c r="AQ74" i="268"/>
  <c r="AQ75" i="268"/>
  <c r="AJ75" i="268"/>
  <c r="AQ77" i="268"/>
  <c r="AR78" i="268"/>
  <c r="AR82" i="268"/>
  <c r="AQ87" i="268"/>
  <c r="AR89" i="268"/>
  <c r="AB89" i="268"/>
  <c r="AN91" i="268"/>
  <c r="AQ96" i="268"/>
  <c r="AN96" i="268"/>
  <c r="AQ100" i="268"/>
  <c r="AN100" i="268"/>
  <c r="AQ107" i="268"/>
  <c r="AR109" i="268"/>
  <c r="AB109" i="268"/>
  <c r="AQ111" i="268"/>
  <c r="AR113" i="268"/>
  <c r="AB113" i="268"/>
  <c r="AQ115" i="268"/>
  <c r="AR121" i="268"/>
  <c r="AR123" i="268"/>
  <c r="AN125" i="268"/>
  <c r="AJ125" i="268"/>
  <c r="AQ9" i="269"/>
  <c r="AD9" i="269"/>
  <c r="AQ16" i="269"/>
  <c r="AD16" i="269"/>
  <c r="AB37" i="269"/>
  <c r="AR37" i="269"/>
  <c r="AQ14" i="268"/>
  <c r="AR19" i="268"/>
  <c r="AR23" i="268"/>
  <c r="AQ24" i="268"/>
  <c r="AR26" i="268"/>
  <c r="AC30" i="268"/>
  <c r="AO30" i="268"/>
  <c r="AV30" i="268" s="1"/>
  <c r="AR33" i="268"/>
  <c r="AB33" i="268"/>
  <c r="AR34" i="268"/>
  <c r="AR43" i="268"/>
  <c r="AR45" i="268"/>
  <c r="AR47" i="268"/>
  <c r="AR50" i="268"/>
  <c r="AN53" i="268"/>
  <c r="AQ58" i="268"/>
  <c r="AT58" i="268"/>
  <c r="AJ58" i="268"/>
  <c r="AR59" i="268"/>
  <c r="AQ66" i="268"/>
  <c r="AT66" i="268"/>
  <c r="AJ66" i="268"/>
  <c r="AR67" i="268"/>
  <c r="AR69" i="268"/>
  <c r="AB69" i="268"/>
  <c r="AQ72" i="268"/>
  <c r="AN72" i="268"/>
  <c r="AT72" i="268"/>
  <c r="AJ72" i="268"/>
  <c r="AQ76" i="268"/>
  <c r="AT76" i="268"/>
  <c r="AJ76" i="268"/>
  <c r="AR77" i="268"/>
  <c r="AR79" i="268"/>
  <c r="AB79" i="268"/>
  <c r="AR81" i="268"/>
  <c r="AR83" i="268"/>
  <c r="AR86" i="268"/>
  <c r="AN89" i="268"/>
  <c r="AQ90" i="268"/>
  <c r="AQ91" i="268"/>
  <c r="AJ91" i="268"/>
  <c r="AQ102" i="268"/>
  <c r="AN102" i="268"/>
  <c r="AT102" i="268"/>
  <c r="AJ102" i="268"/>
  <c r="AR106" i="268"/>
  <c r="AN109" i="268"/>
  <c r="AN113" i="268"/>
  <c r="AO124" i="268"/>
  <c r="AV124" i="268" s="1"/>
  <c r="AC124" i="268"/>
  <c r="AD125" i="268"/>
  <c r="AQ125" i="268"/>
  <c r="AB30" i="269"/>
  <c r="AR30" i="269"/>
  <c r="AB90" i="269"/>
  <c r="AR90" i="269"/>
  <c r="AJ13" i="268"/>
  <c r="AT13" i="268"/>
  <c r="AJ19" i="268"/>
  <c r="AT19" i="268"/>
  <c r="AJ23" i="268"/>
  <c r="AT23" i="268"/>
  <c r="AT26" i="268"/>
  <c r="AJ26" i="268"/>
  <c r="AT30" i="268"/>
  <c r="AJ30" i="268"/>
  <c r="AR31" i="268"/>
  <c r="AB31" i="268"/>
  <c r="AJ38" i="268"/>
  <c r="AQ39" i="268"/>
  <c r="AN43" i="268"/>
  <c r="AT43" i="268"/>
  <c r="AN46" i="268"/>
  <c r="AQ53" i="268"/>
  <c r="AJ53" i="268"/>
  <c r="AQ55" i="268"/>
  <c r="AN58" i="268"/>
  <c r="AJ63" i="268"/>
  <c r="AN69" i="268"/>
  <c r="AQ73" i="268"/>
  <c r="AN79" i="268"/>
  <c r="AC80" i="268"/>
  <c r="AO80" i="268"/>
  <c r="AV80" i="268" s="1"/>
  <c r="AN81" i="268"/>
  <c r="AO84" i="268"/>
  <c r="AV84" i="268" s="1"/>
  <c r="AC84" i="268"/>
  <c r="AR87" i="268"/>
  <c r="AR93" i="268"/>
  <c r="AB93" i="268"/>
  <c r="AR97" i="268"/>
  <c r="AB97" i="268"/>
  <c r="AR105" i="268"/>
  <c r="AR107" i="268"/>
  <c r="AR111" i="268"/>
  <c r="AR115" i="268"/>
  <c r="AR118" i="268"/>
  <c r="AQ121" i="268"/>
  <c r="AQ122" i="268"/>
  <c r="AN122" i="268"/>
  <c r="AT122" i="268"/>
  <c r="AJ122" i="268"/>
  <c r="AN124" i="268"/>
  <c r="AN21" i="269"/>
  <c r="AT21" i="269"/>
  <c r="AJ21" i="269"/>
  <c r="AN24" i="269"/>
  <c r="AT24" i="269"/>
  <c r="AJ24" i="269"/>
  <c r="AT83" i="269"/>
  <c r="AJ83" i="269"/>
  <c r="AN83" i="269"/>
  <c r="AB52" i="266"/>
  <c r="AB6" i="267"/>
  <c r="AJ15" i="267"/>
  <c r="AB16" i="267"/>
  <c r="AJ19" i="267"/>
  <c r="AB20" i="267"/>
  <c r="AJ25" i="267"/>
  <c r="AB26" i="267"/>
  <c r="AJ123" i="268"/>
  <c r="AJ119" i="268"/>
  <c r="AJ115" i="268"/>
  <c r="AJ111" i="268"/>
  <c r="AJ107" i="268"/>
  <c r="AJ103" i="268"/>
  <c r="AJ87" i="268"/>
  <c r="AJ83" i="268"/>
  <c r="AJ14" i="268"/>
  <c r="AB15" i="268"/>
  <c r="AJ24" i="268"/>
  <c r="AB25" i="268"/>
  <c r="AN26" i="268"/>
  <c r="AN30" i="268"/>
  <c r="AR41" i="268"/>
  <c r="AB41" i="268"/>
  <c r="AR42" i="268"/>
  <c r="AJ43" i="268"/>
  <c r="AC46" i="268"/>
  <c r="AJ46" i="268"/>
  <c r="AN47" i="268"/>
  <c r="AT47" i="268"/>
  <c r="AJ47" i="268"/>
  <c r="AQ50" i="268"/>
  <c r="AD52" i="268"/>
  <c r="AC53" i="268"/>
  <c r="AJ59" i="268"/>
  <c r="AO60" i="268"/>
  <c r="AV60" i="268" s="1"/>
  <c r="AC60" i="268"/>
  <c r="AJ67" i="268"/>
  <c r="AO68" i="268"/>
  <c r="AV68" i="268" s="1"/>
  <c r="AC68" i="268"/>
  <c r="AQ71" i="268"/>
  <c r="AJ77" i="268"/>
  <c r="AO78" i="268"/>
  <c r="AV78" i="268" s="1"/>
  <c r="AC78" i="268"/>
  <c r="AQ80" i="268"/>
  <c r="AQ81" i="268"/>
  <c r="AJ81" i="268"/>
  <c r="AQ82" i="268"/>
  <c r="AN82" i="268"/>
  <c r="AT82" i="268"/>
  <c r="AJ82" i="268"/>
  <c r="AQ84" i="268"/>
  <c r="AN84" i="268"/>
  <c r="AO88" i="268"/>
  <c r="AV88" i="268" s="1"/>
  <c r="AC88" i="268"/>
  <c r="AN93" i="268"/>
  <c r="AQ94" i="268"/>
  <c r="AN97" i="268"/>
  <c r="AQ98" i="268"/>
  <c r="AQ103" i="268"/>
  <c r="AN105" i="268"/>
  <c r="AO108" i="268"/>
  <c r="AV108" i="268" s="1"/>
  <c r="AC108" i="268"/>
  <c r="AO112" i="268"/>
  <c r="AV112" i="268" s="1"/>
  <c r="AC112" i="268"/>
  <c r="AO116" i="268"/>
  <c r="AV116" i="268" s="1"/>
  <c r="AC116" i="268"/>
  <c r="AR119" i="268"/>
  <c r="AT125" i="268"/>
  <c r="AQ31" i="269"/>
  <c r="AD31" i="269"/>
  <c r="AQ40" i="269"/>
  <c r="AD40" i="269"/>
  <c r="AT69" i="269"/>
  <c r="AJ69" i="269"/>
  <c r="AN69" i="269"/>
  <c r="AR98" i="268"/>
  <c r="AR94" i="268"/>
  <c r="AR90" i="268"/>
  <c r="AR80" i="268"/>
  <c r="AR74" i="268"/>
  <c r="AR56" i="268"/>
  <c r="AR52" i="268"/>
  <c r="AR48" i="268"/>
  <c r="AR116" i="268"/>
  <c r="AR112" i="268"/>
  <c r="AR108" i="268"/>
  <c r="AR100" i="268"/>
  <c r="AR96" i="268"/>
  <c r="AR88" i="268"/>
  <c r="AR84" i="268"/>
  <c r="AR124" i="268"/>
  <c r="AB10" i="268"/>
  <c r="AB16" i="268"/>
  <c r="AO26" i="268"/>
  <c r="AV26" i="268" s="1"/>
  <c r="AR27" i="268"/>
  <c r="AB27" i="268"/>
  <c r="AC34" i="268"/>
  <c r="AN39" i="268"/>
  <c r="AT39" i="268"/>
  <c r="AC48" i="268"/>
  <c r="AO48" i="268"/>
  <c r="AV48" i="268" s="1"/>
  <c r="AN50" i="268"/>
  <c r="AR55" i="268"/>
  <c r="AB55" i="268"/>
  <c r="AR57" i="268"/>
  <c r="AB57" i="268"/>
  <c r="AQ60" i="268"/>
  <c r="AN60" i="268"/>
  <c r="AT60" i="268"/>
  <c r="AJ60" i="268"/>
  <c r="AR62" i="268"/>
  <c r="AR65" i="268"/>
  <c r="AB65" i="268"/>
  <c r="AQ68" i="268"/>
  <c r="AN68" i="268"/>
  <c r="AT68" i="268"/>
  <c r="AJ68" i="268"/>
  <c r="AR71" i="268"/>
  <c r="AR73" i="268"/>
  <c r="AB73" i="268"/>
  <c r="AR75" i="268"/>
  <c r="AB75" i="268"/>
  <c r="AQ78" i="268"/>
  <c r="AN78" i="268"/>
  <c r="AT78" i="268"/>
  <c r="AJ78" i="268"/>
  <c r="AQ86" i="268"/>
  <c r="AN86" i="268"/>
  <c r="AT86" i="268"/>
  <c r="AJ86" i="268"/>
  <c r="AQ88" i="268"/>
  <c r="AN88" i="268"/>
  <c r="AR102" i="268"/>
  <c r="AQ105" i="268"/>
  <c r="AJ105" i="268"/>
  <c r="AQ106" i="268"/>
  <c r="AN106" i="268"/>
  <c r="AT106" i="268"/>
  <c r="AJ106" i="268"/>
  <c r="AQ108" i="268"/>
  <c r="AN108" i="268"/>
  <c r="AQ112" i="268"/>
  <c r="AN112" i="268"/>
  <c r="AQ116" i="268"/>
  <c r="AN116" i="268"/>
  <c r="AQ123" i="268"/>
  <c r="AO6" i="269"/>
  <c r="AV6" i="269" s="1"/>
  <c r="AC6" i="269"/>
  <c r="AB8" i="269"/>
  <c r="AR8" i="269"/>
  <c r="AB45" i="268"/>
  <c r="AD53" i="268"/>
  <c r="AD57" i="268"/>
  <c r="AB59" i="268"/>
  <c r="AB63" i="268"/>
  <c r="AD65" i="268"/>
  <c r="AB67" i="268"/>
  <c r="AB71" i="268"/>
  <c r="AD75" i="268"/>
  <c r="AB77" i="268"/>
  <c r="AD81" i="268"/>
  <c r="AB83" i="268"/>
  <c r="AB87" i="268"/>
  <c r="AO90" i="268"/>
  <c r="AV90" i="268" s="1"/>
  <c r="AD91" i="268"/>
  <c r="AO94" i="268"/>
  <c r="AV94" i="268" s="1"/>
  <c r="AO98" i="268"/>
  <c r="AV98" i="268" s="1"/>
  <c r="AB103" i="268"/>
  <c r="AD105" i="268"/>
  <c r="AB107" i="268"/>
  <c r="AB111" i="268"/>
  <c r="AB115" i="268"/>
  <c r="AB119" i="268"/>
  <c r="AD121" i="268"/>
  <c r="AB123" i="268"/>
  <c r="AB125" i="268"/>
  <c r="AC7" i="269"/>
  <c r="AU9" i="269"/>
  <c r="AT11" i="269"/>
  <c r="AJ11" i="269"/>
  <c r="AU11" i="269"/>
  <c r="AT13" i="269"/>
  <c r="AJ16" i="269"/>
  <c r="AQ23" i="269"/>
  <c r="AB24" i="269"/>
  <c r="AQ25" i="269"/>
  <c r="AT28" i="269"/>
  <c r="AU31" i="269"/>
  <c r="AT33" i="269"/>
  <c r="AJ33" i="269"/>
  <c r="AU33" i="269"/>
  <c r="AT35" i="269"/>
  <c r="AR43" i="269"/>
  <c r="AQ44" i="269"/>
  <c r="AR46" i="269"/>
  <c r="AB46" i="269"/>
  <c r="AT59" i="269"/>
  <c r="AJ59" i="269"/>
  <c r="AN59" i="269"/>
  <c r="AQ69" i="269"/>
  <c r="AQ83" i="269"/>
  <c r="AR88" i="269"/>
  <c r="AQ91" i="269"/>
  <c r="AQ98" i="269"/>
  <c r="AQ111" i="269"/>
  <c r="AD111" i="269"/>
  <c r="AQ114" i="269"/>
  <c r="AJ114" i="269"/>
  <c r="AD126" i="269"/>
  <c r="AQ126" i="269"/>
  <c r="AR151" i="269"/>
  <c r="AQ89" i="268"/>
  <c r="AQ93" i="268"/>
  <c r="AQ97" i="268"/>
  <c r="AQ109" i="268"/>
  <c r="AQ113" i="268"/>
  <c r="AT124" i="268"/>
  <c r="AQ156" i="269"/>
  <c r="AQ132" i="269"/>
  <c r="AQ149" i="269"/>
  <c r="AQ135" i="269"/>
  <c r="AQ129" i="269"/>
  <c r="AQ127" i="269"/>
  <c r="AQ140" i="269"/>
  <c r="AQ145" i="269"/>
  <c r="AQ142" i="269"/>
  <c r="AQ125" i="269"/>
  <c r="AQ120" i="269"/>
  <c r="AQ108" i="269"/>
  <c r="AQ116" i="269"/>
  <c r="AQ106" i="269"/>
  <c r="AQ97" i="269"/>
  <c r="AQ94" i="269"/>
  <c r="AQ84" i="269"/>
  <c r="AQ80" i="269"/>
  <c r="AQ76" i="269"/>
  <c r="AQ66" i="269"/>
  <c r="AQ56" i="269"/>
  <c r="AQ54" i="269"/>
  <c r="AQ153" i="269"/>
  <c r="AJ157" i="269"/>
  <c r="AJ150" i="269"/>
  <c r="AJ136" i="269"/>
  <c r="AJ140" i="269"/>
  <c r="AJ125" i="269"/>
  <c r="AJ160" i="269"/>
  <c r="AJ154" i="269"/>
  <c r="AJ151" i="269"/>
  <c r="AJ146" i="269"/>
  <c r="AJ134" i="269"/>
  <c r="AJ120" i="269"/>
  <c r="AJ158" i="269"/>
  <c r="AJ143" i="269"/>
  <c r="AJ132" i="269"/>
  <c r="AJ138" i="269"/>
  <c r="AJ115" i="269"/>
  <c r="AJ108" i="269"/>
  <c r="AJ105" i="269"/>
  <c r="AJ92" i="269"/>
  <c r="AJ82" i="269"/>
  <c r="AJ76" i="269"/>
  <c r="AJ66" i="269"/>
  <c r="AJ56" i="269"/>
  <c r="AJ54" i="269"/>
  <c r="AJ94" i="269"/>
  <c r="AJ84" i="269"/>
  <c r="AJ80" i="269"/>
  <c r="AJ78" i="269"/>
  <c r="AJ68" i="269"/>
  <c r="AJ58" i="269"/>
  <c r="AJ141" i="269"/>
  <c r="AJ88" i="269"/>
  <c r="AJ118" i="269"/>
  <c r="AJ89" i="269"/>
  <c r="AJ75" i="269"/>
  <c r="AJ74" i="269"/>
  <c r="AJ72" i="269"/>
  <c r="AJ65" i="269"/>
  <c r="AJ64" i="269"/>
  <c r="AJ62" i="269"/>
  <c r="AJ48" i="269"/>
  <c r="AJ112" i="269"/>
  <c r="AJ102" i="269"/>
  <c r="AT8" i="269"/>
  <c r="AJ8" i="269"/>
  <c r="AJ9" i="269"/>
  <c r="AR10" i="269"/>
  <c r="AR17" i="269"/>
  <c r="AQ19" i="269"/>
  <c r="AQ22" i="269"/>
  <c r="AR25" i="269"/>
  <c r="AR27" i="269"/>
  <c r="AQ28" i="269"/>
  <c r="AT30" i="269"/>
  <c r="AJ30" i="269"/>
  <c r="AJ31" i="269"/>
  <c r="AR32" i="269"/>
  <c r="AT37" i="269"/>
  <c r="AJ37" i="269"/>
  <c r="AQ38" i="269"/>
  <c r="AR39" i="269"/>
  <c r="AQ41" i="269"/>
  <c r="AU41" i="269"/>
  <c r="AT43" i="269"/>
  <c r="AJ43" i="269"/>
  <c r="AQ48" i="269"/>
  <c r="AR50" i="269"/>
  <c r="AB50" i="269"/>
  <c r="AQ53" i="269"/>
  <c r="AQ59" i="269"/>
  <c r="AT71" i="269"/>
  <c r="AJ71" i="269"/>
  <c r="AN71" i="269"/>
  <c r="AQ86" i="269"/>
  <c r="AQ89" i="269"/>
  <c r="AR93" i="269"/>
  <c r="AO95" i="269"/>
  <c r="AV95" i="269" s="1"/>
  <c r="AC95" i="269"/>
  <c r="AO102" i="269"/>
  <c r="AV102" i="269" s="1"/>
  <c r="AC102" i="269"/>
  <c r="AR118" i="269"/>
  <c r="AO125" i="269"/>
  <c r="AV125" i="269" s="1"/>
  <c r="AC125" i="269"/>
  <c r="AJ84" i="268"/>
  <c r="AT84" i="268"/>
  <c r="AJ88" i="268"/>
  <c r="AT88" i="268"/>
  <c r="AJ96" i="268"/>
  <c r="AT96" i="268"/>
  <c r="AJ100" i="268"/>
  <c r="AT100" i="268"/>
  <c r="AJ108" i="268"/>
  <c r="AT108" i="268"/>
  <c r="AJ112" i="268"/>
  <c r="AT112" i="268"/>
  <c r="AJ116" i="268"/>
  <c r="AT116" i="268"/>
  <c r="AJ124" i="268"/>
  <c r="AR160" i="269"/>
  <c r="AR154" i="269"/>
  <c r="AR150" i="269"/>
  <c r="AR146" i="269"/>
  <c r="AR140" i="269"/>
  <c r="AR136" i="269"/>
  <c r="AR132" i="269"/>
  <c r="AR123" i="269"/>
  <c r="AR117" i="269"/>
  <c r="AR111" i="269"/>
  <c r="AR101" i="269"/>
  <c r="AR97" i="269"/>
  <c r="AR91" i="269"/>
  <c r="AR138" i="269"/>
  <c r="AR127" i="269"/>
  <c r="AR144" i="269"/>
  <c r="AR121" i="269"/>
  <c r="AR161" i="269"/>
  <c r="AR95" i="269"/>
  <c r="AR85" i="269"/>
  <c r="AR75" i="269"/>
  <c r="AR65" i="269"/>
  <c r="AR119" i="269"/>
  <c r="AR89" i="269"/>
  <c r="AR71" i="269"/>
  <c r="AR61" i="269"/>
  <c r="AR23" i="269"/>
  <c r="AR3" i="269"/>
  <c r="AR49" i="269"/>
  <c r="AR131" i="269"/>
  <c r="AR115" i="269"/>
  <c r="AR105" i="269"/>
  <c r="AR53" i="269"/>
  <c r="AR6" i="269"/>
  <c r="AJ6" i="269"/>
  <c r="AN8" i="269"/>
  <c r="AR12" i="269"/>
  <c r="AQ12" i="269"/>
  <c r="AJ13" i="269"/>
  <c r="AQ14" i="269"/>
  <c r="AQ17" i="269"/>
  <c r="AR19" i="269"/>
  <c r="AJ20" i="269"/>
  <c r="AR22" i="269"/>
  <c r="AT25" i="269"/>
  <c r="AJ25" i="269"/>
  <c r="AQ27" i="269"/>
  <c r="AJ28" i="269"/>
  <c r="AN30" i="269"/>
  <c r="AR34" i="269"/>
  <c r="AQ34" i="269"/>
  <c r="AJ35" i="269"/>
  <c r="AN37" i="269"/>
  <c r="AR38" i="269"/>
  <c r="AN43" i="269"/>
  <c r="AR44" i="269"/>
  <c r="AJ50" i="269"/>
  <c r="AR52" i="269"/>
  <c r="AT61" i="269"/>
  <c r="AJ61" i="269"/>
  <c r="AN61" i="269"/>
  <c r="AQ71" i="269"/>
  <c r="AD71" i="269"/>
  <c r="AQ77" i="269"/>
  <c r="AR86" i="269"/>
  <c r="AT93" i="269"/>
  <c r="AJ93" i="269"/>
  <c r="AN93" i="269"/>
  <c r="AO112" i="269"/>
  <c r="AV112" i="269" s="1"/>
  <c r="AC112" i="269"/>
  <c r="AR113" i="269"/>
  <c r="AJ55" i="268"/>
  <c r="AT55" i="268"/>
  <c r="AJ69" i="268"/>
  <c r="AT69" i="268"/>
  <c r="AJ73" i="268"/>
  <c r="AT73" i="268"/>
  <c r="AJ79" i="268"/>
  <c r="AT79" i="268"/>
  <c r="AJ89" i="268"/>
  <c r="AT89" i="268"/>
  <c r="AJ93" i="268"/>
  <c r="AT93" i="268"/>
  <c r="AJ97" i="268"/>
  <c r="AT97" i="268"/>
  <c r="AJ109" i="268"/>
  <c r="AT109" i="268"/>
  <c r="AJ113" i="268"/>
  <c r="AT113" i="268"/>
  <c r="AH1" i="269"/>
  <c r="AH2" i="269" s="1"/>
  <c r="AU161" i="269"/>
  <c r="AU155" i="269"/>
  <c r="AU151" i="269"/>
  <c r="AU147" i="269"/>
  <c r="AU141" i="269"/>
  <c r="AU158" i="269"/>
  <c r="AU144" i="269"/>
  <c r="AU138" i="269"/>
  <c r="AU134" i="269"/>
  <c r="AU130" i="269"/>
  <c r="AU126" i="269"/>
  <c r="AU149" i="269"/>
  <c r="AU135" i="269"/>
  <c r="AU129" i="269"/>
  <c r="AU122" i="269"/>
  <c r="AU116" i="269"/>
  <c r="AU110" i="269"/>
  <c r="AU106" i="269"/>
  <c r="AU100" i="269"/>
  <c r="AU96" i="269"/>
  <c r="AU90" i="269"/>
  <c r="AU86" i="269"/>
  <c r="AU76" i="269"/>
  <c r="AU66" i="269"/>
  <c r="AU56" i="269"/>
  <c r="AU52" i="269"/>
  <c r="AU150" i="269"/>
  <c r="AU136" i="269"/>
  <c r="AU127" i="269"/>
  <c r="AU121" i="269"/>
  <c r="AU115" i="269"/>
  <c r="AU109" i="269"/>
  <c r="AU105" i="269"/>
  <c r="AU95" i="269"/>
  <c r="AU89" i="269"/>
  <c r="AU85" i="269"/>
  <c r="AU157" i="269"/>
  <c r="AU139" i="269"/>
  <c r="AU125" i="269"/>
  <c r="AU120" i="269"/>
  <c r="AU159" i="269"/>
  <c r="AU153" i="269"/>
  <c r="AU145" i="269"/>
  <c r="AU142" i="269"/>
  <c r="AU140" i="269"/>
  <c r="AU119" i="269"/>
  <c r="AU160" i="269"/>
  <c r="AU156" i="269"/>
  <c r="AU154" i="269"/>
  <c r="AU146" i="269"/>
  <c r="AU131" i="269"/>
  <c r="AU118" i="269"/>
  <c r="AU112" i="269"/>
  <c r="AU102" i="269"/>
  <c r="AU98" i="269"/>
  <c r="AU92" i="269"/>
  <c r="AU82" i="269"/>
  <c r="AU78" i="269"/>
  <c r="AU72" i="269"/>
  <c r="AU68" i="269"/>
  <c r="AU62" i="269"/>
  <c r="AU58" i="269"/>
  <c r="AU54" i="269"/>
  <c r="AU117" i="269"/>
  <c r="AU108" i="269"/>
  <c r="AU93" i="269"/>
  <c r="AU83" i="269"/>
  <c r="AU79" i="269"/>
  <c r="AU71" i="269"/>
  <c r="AU69" i="269"/>
  <c r="AU61" i="269"/>
  <c r="AU59" i="269"/>
  <c r="AU46" i="269"/>
  <c r="AU111" i="269"/>
  <c r="AU101" i="269"/>
  <c r="AU94" i="269"/>
  <c r="AU84" i="269"/>
  <c r="AU80" i="269"/>
  <c r="AU50" i="269"/>
  <c r="AU49" i="269"/>
  <c r="AU45" i="269"/>
  <c r="AU39" i="269"/>
  <c r="AU35" i="269"/>
  <c r="AU21" i="269"/>
  <c r="AU17" i="269"/>
  <c r="AU13" i="269"/>
  <c r="AU7" i="269"/>
  <c r="AU97" i="269"/>
  <c r="AU88" i="269"/>
  <c r="AU73" i="269"/>
  <c r="AU63" i="269"/>
  <c r="AU48" i="269"/>
  <c r="AU44" i="269"/>
  <c r="AU38" i="269"/>
  <c r="AU143" i="269"/>
  <c r="AU91" i="269"/>
  <c r="AU74" i="269"/>
  <c r="AU64" i="269"/>
  <c r="AU53" i="269"/>
  <c r="AU132" i="269"/>
  <c r="AU123" i="269"/>
  <c r="AU113" i="269"/>
  <c r="AU103" i="269"/>
  <c r="AU77" i="269"/>
  <c r="AU75" i="269"/>
  <c r="AU67" i="269"/>
  <c r="AU65" i="269"/>
  <c r="AU57" i="269"/>
  <c r="AU42" i="269"/>
  <c r="AU32" i="269"/>
  <c r="AU28" i="269"/>
  <c r="AU24" i="269"/>
  <c r="AU10" i="269"/>
  <c r="AR9" i="269"/>
  <c r="AQ10" i="269"/>
  <c r="AR16" i="269"/>
  <c r="AT19" i="269"/>
  <c r="AJ19" i="269"/>
  <c r="AU19" i="269"/>
  <c r="AT22" i="269"/>
  <c r="AJ22" i="269"/>
  <c r="AU22" i="269"/>
  <c r="AJ23" i="269"/>
  <c r="AN25" i="269"/>
  <c r="AR31" i="269"/>
  <c r="AQ32" i="269"/>
  <c r="AR40" i="269"/>
  <c r="AB40" i="269"/>
  <c r="AU40" i="269"/>
  <c r="AJ41" i="269"/>
  <c r="AO45" i="269"/>
  <c r="AV45" i="269" s="1"/>
  <c r="AC45" i="269"/>
  <c r="AN45" i="269"/>
  <c r="AT45" i="269"/>
  <c r="AJ45" i="269"/>
  <c r="AQ61" i="269"/>
  <c r="AD61" i="269"/>
  <c r="AQ67" i="269"/>
  <c r="AR72" i="269"/>
  <c r="AB72" i="269"/>
  <c r="AR77" i="269"/>
  <c r="AR79" i="269"/>
  <c r="AQ93" i="269"/>
  <c r="AU104" i="269"/>
  <c r="AR106" i="269"/>
  <c r="AJ48" i="268"/>
  <c r="AJ52" i="268"/>
  <c r="AJ56" i="268"/>
  <c r="AJ74" i="268"/>
  <c r="AJ80" i="268"/>
  <c r="AB81" i="268"/>
  <c r="AJ90" i="268"/>
  <c r="AB91" i="268"/>
  <c r="AJ94" i="268"/>
  <c r="AJ98" i="268"/>
  <c r="AB105" i="268"/>
  <c r="AB121" i="268"/>
  <c r="AQ3" i="269"/>
  <c r="AJ10" i="269"/>
  <c r="AU12" i="269"/>
  <c r="AT14" i="269"/>
  <c r="AJ14" i="269"/>
  <c r="AU14" i="269"/>
  <c r="AJ17" i="269"/>
  <c r="AN19" i="269"/>
  <c r="AQ21" i="269"/>
  <c r="AN22" i="269"/>
  <c r="AU27" i="269"/>
  <c r="AJ32" i="269"/>
  <c r="AU34" i="269"/>
  <c r="AJ38" i="269"/>
  <c r="AN39" i="269"/>
  <c r="AT39" i="269"/>
  <c r="AJ39" i="269"/>
  <c r="AQ42" i="269"/>
  <c r="AJ44" i="269"/>
  <c r="AR48" i="269"/>
  <c r="AO49" i="269"/>
  <c r="AV49" i="269" s="1"/>
  <c r="AC49" i="269"/>
  <c r="AQ57" i="269"/>
  <c r="AR62" i="269"/>
  <c r="AB62" i="269"/>
  <c r="AR67" i="269"/>
  <c r="AR69" i="269"/>
  <c r="AQ75" i="269"/>
  <c r="AT79" i="269"/>
  <c r="AJ79" i="269"/>
  <c r="AN79" i="269"/>
  <c r="AR83" i="269"/>
  <c r="AO85" i="269"/>
  <c r="AV85" i="269" s="1"/>
  <c r="AC85" i="269"/>
  <c r="AQ96" i="269"/>
  <c r="AU114" i="269"/>
  <c r="AR116" i="269"/>
  <c r="AC117" i="269"/>
  <c r="AO117" i="269"/>
  <c r="AV117" i="269" s="1"/>
  <c r="AO121" i="269"/>
  <c r="AV121" i="269" s="1"/>
  <c r="AC121" i="269"/>
  <c r="AQ7" i="269"/>
  <c r="AD10" i="269"/>
  <c r="AB12" i="269"/>
  <c r="AQ13" i="269"/>
  <c r="AB16" i="269"/>
  <c r="AB20" i="269"/>
  <c r="AD24" i="269"/>
  <c r="AD28" i="269"/>
  <c r="AD32" i="269"/>
  <c r="AB34" i="269"/>
  <c r="AQ35" i="269"/>
  <c r="AB38" i="269"/>
  <c r="AQ39" i="269"/>
  <c r="AD42" i="269"/>
  <c r="AB44" i="269"/>
  <c r="AQ45" i="269"/>
  <c r="AB48" i="269"/>
  <c r="AC57" i="269"/>
  <c r="AO57" i="269"/>
  <c r="AV57" i="269" s="1"/>
  <c r="AQ58" i="269"/>
  <c r="AB59" i="269"/>
  <c r="AN62" i="269"/>
  <c r="AC67" i="269"/>
  <c r="AO67" i="269"/>
  <c r="AV67" i="269" s="1"/>
  <c r="AQ68" i="269"/>
  <c r="AB69" i="269"/>
  <c r="AN72" i="269"/>
  <c r="AC77" i="269"/>
  <c r="AO77" i="269"/>
  <c r="AV77" i="269" s="1"/>
  <c r="AQ78" i="269"/>
  <c r="AB79" i="269"/>
  <c r="AR80" i="269"/>
  <c r="AB80" i="269"/>
  <c r="AB83" i="269"/>
  <c r="AR84" i="269"/>
  <c r="AQ85" i="269"/>
  <c r="AQ88" i="269"/>
  <c r="AN89" i="269"/>
  <c r="AB93" i="269"/>
  <c r="AR94" i="269"/>
  <c r="AQ95" i="269"/>
  <c r="AC98" i="269"/>
  <c r="AQ100" i="269"/>
  <c r="AN101" i="269"/>
  <c r="AQ102" i="269"/>
  <c r="AD104" i="269"/>
  <c r="AN104" i="269"/>
  <c r="AQ110" i="269"/>
  <c r="AN111" i="269"/>
  <c r="AQ112" i="269"/>
  <c r="AD114" i="269"/>
  <c r="AN114" i="269"/>
  <c r="AN118" i="269"/>
  <c r="AQ119" i="269"/>
  <c r="AN119" i="269"/>
  <c r="AT119" i="269"/>
  <c r="AJ119" i="269"/>
  <c r="AQ121" i="269"/>
  <c r="AN121" i="269"/>
  <c r="AN125" i="269"/>
  <c r="AQ134" i="269"/>
  <c r="AN135" i="269"/>
  <c r="AQ136" i="269"/>
  <c r="AR141" i="269"/>
  <c r="AQ143" i="269"/>
  <c r="AD143" i="269"/>
  <c r="AQ146" i="269"/>
  <c r="AD146" i="269"/>
  <c r="AO151" i="269"/>
  <c r="AV151" i="269" s="1"/>
  <c r="AC151" i="269"/>
  <c r="AR153" i="269"/>
  <c r="AQ158" i="269"/>
  <c r="AO33" i="270"/>
  <c r="AV33" i="270" s="1"/>
  <c r="AC33" i="270"/>
  <c r="AQ50" i="269"/>
  <c r="AC53" i="269"/>
  <c r="AO53" i="269"/>
  <c r="AV53" i="269" s="1"/>
  <c r="AT57" i="269"/>
  <c r="AJ57" i="269"/>
  <c r="AR58" i="269"/>
  <c r="AB58" i="269"/>
  <c r="AR63" i="269"/>
  <c r="AT67" i="269"/>
  <c r="AJ67" i="269"/>
  <c r="AR68" i="269"/>
  <c r="AB68" i="269"/>
  <c r="AR73" i="269"/>
  <c r="AT77" i="269"/>
  <c r="AJ77" i="269"/>
  <c r="AR78" i="269"/>
  <c r="AB78" i="269"/>
  <c r="AN85" i="269"/>
  <c r="AN90" i="269"/>
  <c r="AT90" i="269"/>
  <c r="AJ90" i="269"/>
  <c r="AN95" i="269"/>
  <c r="AR100" i="269"/>
  <c r="AQ103" i="269"/>
  <c r="AT103" i="269"/>
  <c r="AJ103" i="269"/>
  <c r="AR108" i="269"/>
  <c r="AQ109" i="269"/>
  <c r="AR110" i="269"/>
  <c r="AQ113" i="269"/>
  <c r="AT113" i="269"/>
  <c r="AJ113" i="269"/>
  <c r="AN117" i="269"/>
  <c r="AQ118" i="269"/>
  <c r="AN136" i="269"/>
  <c r="AB139" i="269"/>
  <c r="AR139" i="269"/>
  <c r="AO140" i="269"/>
  <c r="AV140" i="269" s="1"/>
  <c r="AC140" i="269"/>
  <c r="AN149" i="269"/>
  <c r="AQ150" i="269"/>
  <c r="AN31" i="270"/>
  <c r="AT31" i="270"/>
  <c r="AJ31" i="270"/>
  <c r="AD32" i="270"/>
  <c r="AQ32" i="270"/>
  <c r="AN44" i="269"/>
  <c r="AN48" i="269"/>
  <c r="AJ49" i="269"/>
  <c r="AT49" i="269"/>
  <c r="AT50" i="269"/>
  <c r="AQ52" i="269"/>
  <c r="AT53" i="269"/>
  <c r="AJ53" i="269"/>
  <c r="AR54" i="269"/>
  <c r="AB54" i="269"/>
  <c r="AR56" i="269"/>
  <c r="AN57" i="269"/>
  <c r="AN58" i="269"/>
  <c r="AN64" i="269"/>
  <c r="AN65" i="269"/>
  <c r="AR66" i="269"/>
  <c r="AN67" i="269"/>
  <c r="AN68" i="269"/>
  <c r="AN74" i="269"/>
  <c r="AN75" i="269"/>
  <c r="AR76" i="269"/>
  <c r="AN77" i="269"/>
  <c r="AN78" i="269"/>
  <c r="AR82" i="269"/>
  <c r="AB82" i="269"/>
  <c r="AJ85" i="269"/>
  <c r="AN86" i="269"/>
  <c r="AT86" i="269"/>
  <c r="AJ86" i="269"/>
  <c r="AC91" i="269"/>
  <c r="AO91" i="269"/>
  <c r="AV91" i="269" s="1"/>
  <c r="AR92" i="269"/>
  <c r="AB92" i="269"/>
  <c r="AJ95" i="269"/>
  <c r="AN96" i="269"/>
  <c r="AT96" i="269"/>
  <c r="AJ96" i="269"/>
  <c r="AN103" i="269"/>
  <c r="AR104" i="269"/>
  <c r="AQ105" i="269"/>
  <c r="AN109" i="269"/>
  <c r="AN113" i="269"/>
  <c r="AR114" i="269"/>
  <c r="AQ115" i="269"/>
  <c r="AR122" i="269"/>
  <c r="AB122" i="269"/>
  <c r="AB130" i="269"/>
  <c r="AR130" i="269"/>
  <c r="AR145" i="269"/>
  <c r="AQ157" i="269"/>
  <c r="AO7" i="270"/>
  <c r="AV7" i="270" s="1"/>
  <c r="AC7" i="270"/>
  <c r="AN7" i="270"/>
  <c r="AT7" i="270"/>
  <c r="AJ7" i="270"/>
  <c r="AN157" i="269"/>
  <c r="AN140" i="269"/>
  <c r="AN160" i="269"/>
  <c r="AN154" i="269"/>
  <c r="AN153" i="269"/>
  <c r="AN146" i="269"/>
  <c r="AN145" i="269"/>
  <c r="AN142" i="269"/>
  <c r="AN120" i="269"/>
  <c r="AN156" i="269"/>
  <c r="AN143" i="269"/>
  <c r="AN132" i="269"/>
  <c r="AN131" i="269"/>
  <c r="AN129" i="269"/>
  <c r="AJ40" i="269"/>
  <c r="AJ46" i="269"/>
  <c r="AN53" i="269"/>
  <c r="AN54" i="269"/>
  <c r="AN56" i="269"/>
  <c r="AT56" i="269"/>
  <c r="AD57" i="269"/>
  <c r="AQ63" i="269"/>
  <c r="AT63" i="269"/>
  <c r="AJ63" i="269"/>
  <c r="AN66" i="269"/>
  <c r="AT66" i="269"/>
  <c r="AD67" i="269"/>
  <c r="AQ73" i="269"/>
  <c r="AT73" i="269"/>
  <c r="AJ73" i="269"/>
  <c r="AN76" i="269"/>
  <c r="AT76" i="269"/>
  <c r="AD77" i="269"/>
  <c r="AN82" i="269"/>
  <c r="AN88" i="269"/>
  <c r="AN92" i="269"/>
  <c r="AC97" i="269"/>
  <c r="AO97" i="269"/>
  <c r="AV97" i="269" s="1"/>
  <c r="AR98" i="269"/>
  <c r="AB98" i="269"/>
  <c r="AN100" i="269"/>
  <c r="AT100" i="269"/>
  <c r="AJ100" i="269"/>
  <c r="AN105" i="269"/>
  <c r="AJ109" i="269"/>
  <c r="AN110" i="269"/>
  <c r="AT110" i="269"/>
  <c r="AJ110" i="269"/>
  <c r="AN115" i="269"/>
  <c r="AN122" i="269"/>
  <c r="AQ123" i="269"/>
  <c r="AR126" i="269"/>
  <c r="AB159" i="269"/>
  <c r="AR159" i="269"/>
  <c r="AO21" i="270"/>
  <c r="AV21" i="270" s="1"/>
  <c r="AC21" i="270"/>
  <c r="AN21" i="270"/>
  <c r="AT21" i="270"/>
  <c r="AJ21" i="270"/>
  <c r="AN27" i="270"/>
  <c r="AT27" i="270"/>
  <c r="AJ27" i="270"/>
  <c r="AD28" i="270"/>
  <c r="AQ28" i="270"/>
  <c r="AT43" i="270"/>
  <c r="AJ43" i="270"/>
  <c r="AN43" i="270"/>
  <c r="AN50" i="269"/>
  <c r="AN52" i="269"/>
  <c r="AT52" i="269"/>
  <c r="AC61" i="269"/>
  <c r="AO61" i="269"/>
  <c r="AV61" i="269" s="1"/>
  <c r="AQ62" i="269"/>
  <c r="AN63" i="269"/>
  <c r="AR64" i="269"/>
  <c r="AB64" i="269"/>
  <c r="AC71" i="269"/>
  <c r="AO71" i="269"/>
  <c r="AV71" i="269" s="1"/>
  <c r="AQ72" i="269"/>
  <c r="AN73" i="269"/>
  <c r="AR74" i="269"/>
  <c r="AB74" i="269"/>
  <c r="AN80" i="269"/>
  <c r="AQ82" i="269"/>
  <c r="AD82" i="269"/>
  <c r="AN84" i="269"/>
  <c r="AQ90" i="269"/>
  <c r="AN91" i="269"/>
  <c r="AQ92" i="269"/>
  <c r="AN94" i="269"/>
  <c r="AN98" i="269"/>
  <c r="AC101" i="269"/>
  <c r="AO101" i="269"/>
  <c r="AV101" i="269" s="1"/>
  <c r="AR102" i="269"/>
  <c r="AB102" i="269"/>
  <c r="AC105" i="269"/>
  <c r="AN106" i="269"/>
  <c r="AT106" i="269"/>
  <c r="AJ106" i="269"/>
  <c r="AC111" i="269"/>
  <c r="AO111" i="269"/>
  <c r="AV111" i="269" s="1"/>
  <c r="AR112" i="269"/>
  <c r="AB112" i="269"/>
  <c r="AC115" i="269"/>
  <c r="AN116" i="269"/>
  <c r="AT116" i="269"/>
  <c r="AJ116" i="269"/>
  <c r="AR120" i="269"/>
  <c r="AN123" i="269"/>
  <c r="AR125" i="269"/>
  <c r="AN126" i="269"/>
  <c r="AJ126" i="269"/>
  <c r="AQ131" i="269"/>
  <c r="AD131" i="269"/>
  <c r="AR134" i="269"/>
  <c r="AQ154" i="269"/>
  <c r="AD154" i="269"/>
  <c r="AB84" i="269"/>
  <c r="AB88" i="269"/>
  <c r="AD92" i="269"/>
  <c r="AB94" i="269"/>
  <c r="AD98" i="269"/>
  <c r="AD102" i="269"/>
  <c r="AB104" i="269"/>
  <c r="AB108" i="269"/>
  <c r="AD112" i="269"/>
  <c r="AB114" i="269"/>
  <c r="AD118" i="269"/>
  <c r="AB120" i="269"/>
  <c r="AO123" i="269"/>
  <c r="AV123" i="269" s="1"/>
  <c r="AB126" i="269"/>
  <c r="AT131" i="269"/>
  <c r="AJ131" i="269"/>
  <c r="AC132" i="269"/>
  <c r="AB134" i="269"/>
  <c r="AN134" i="269"/>
  <c r="AQ139" i="269"/>
  <c r="AC141" i="269"/>
  <c r="AC143" i="269"/>
  <c r="AN151" i="269"/>
  <c r="AT156" i="269"/>
  <c r="AJ156" i="269"/>
  <c r="AT11" i="270"/>
  <c r="AJ11" i="270"/>
  <c r="AQ12" i="270"/>
  <c r="AR14" i="270"/>
  <c r="AB14" i="270"/>
  <c r="AQ40" i="270"/>
  <c r="AD40" i="270"/>
  <c r="AQ43" i="270"/>
  <c r="AD43" i="270"/>
  <c r="AQ68" i="270"/>
  <c r="AO81" i="270"/>
  <c r="AV81" i="270" s="1"/>
  <c r="AC81" i="270"/>
  <c r="AQ122" i="269"/>
  <c r="AT125" i="269"/>
  <c r="AQ130" i="269"/>
  <c r="AT142" i="269"/>
  <c r="AJ142" i="269"/>
  <c r="AT145" i="269"/>
  <c r="AJ145" i="269"/>
  <c r="AR147" i="269"/>
  <c r="AT153" i="269"/>
  <c r="AJ153" i="269"/>
  <c r="AR155" i="269"/>
  <c r="AQ159" i="269"/>
  <c r="AJ104" i="270"/>
  <c r="AJ98" i="270"/>
  <c r="AJ94" i="270"/>
  <c r="AJ88" i="270"/>
  <c r="AJ102" i="270"/>
  <c r="AJ82" i="270"/>
  <c r="AJ84" i="270"/>
  <c r="AJ108" i="270"/>
  <c r="AJ86" i="270"/>
  <c r="AJ46" i="270"/>
  <c r="AJ45" i="270"/>
  <c r="AJ44" i="270"/>
  <c r="AJ38" i="270"/>
  <c r="AJ9" i="270"/>
  <c r="AJ79" i="270"/>
  <c r="AJ76" i="270"/>
  <c r="AJ64" i="270"/>
  <c r="AJ61" i="270"/>
  <c r="AJ51" i="270"/>
  <c r="AJ68" i="270"/>
  <c r="AJ65" i="270"/>
  <c r="AJ36" i="270"/>
  <c r="AJ78" i="270"/>
  <c r="AJ69" i="270"/>
  <c r="AJ54" i="270"/>
  <c r="AJ32" i="270"/>
  <c r="AJ28" i="270"/>
  <c r="AJ24" i="270"/>
  <c r="AJ58" i="270"/>
  <c r="AJ40" i="270"/>
  <c r="AR10" i="270"/>
  <c r="AB10" i="270"/>
  <c r="AQ19" i="270"/>
  <c r="AQ23" i="270"/>
  <c r="AR36" i="270"/>
  <c r="AB36" i="270"/>
  <c r="AB39" i="270"/>
  <c r="AR39" i="270"/>
  <c r="AB42" i="270"/>
  <c r="AR42" i="270"/>
  <c r="AJ70" i="270"/>
  <c r="AJ92" i="270"/>
  <c r="AQ93" i="270"/>
  <c r="AQ95" i="270"/>
  <c r="AQ97" i="270"/>
  <c r="AJ121" i="269"/>
  <c r="AT121" i="269"/>
  <c r="AR129" i="269"/>
  <c r="AN130" i="269"/>
  <c r="AT139" i="269"/>
  <c r="AJ139" i="269"/>
  <c r="AQ144" i="269"/>
  <c r="AR157" i="269"/>
  <c r="AT159" i="269"/>
  <c r="AJ159" i="269"/>
  <c r="AQ76" i="270"/>
  <c r="AQ88" i="270"/>
  <c r="AQ54" i="270"/>
  <c r="AQ58" i="270"/>
  <c r="AQ47" i="270"/>
  <c r="AQ44" i="270"/>
  <c r="AQ3" i="270"/>
  <c r="AQ81" i="270"/>
  <c r="AQ50" i="270"/>
  <c r="AQ38" i="270"/>
  <c r="AQ35" i="270"/>
  <c r="AQ64" i="270"/>
  <c r="AQ6" i="270"/>
  <c r="AR8" i="270"/>
  <c r="AB8" i="270"/>
  <c r="AC9" i="270"/>
  <c r="AO9" i="270"/>
  <c r="AV9" i="270" s="1"/>
  <c r="AQ16" i="270"/>
  <c r="AT19" i="270"/>
  <c r="AJ19" i="270"/>
  <c r="AQ20" i="270"/>
  <c r="AN23" i="270"/>
  <c r="AT23" i="270"/>
  <c r="AJ23" i="270"/>
  <c r="AO25" i="270"/>
  <c r="AV25" i="270" s="1"/>
  <c r="AC25" i="270"/>
  <c r="AO54" i="270"/>
  <c r="AV54" i="270" s="1"/>
  <c r="AC54" i="270"/>
  <c r="AR68" i="270"/>
  <c r="AB68" i="270"/>
  <c r="AR90" i="270"/>
  <c r="AB90" i="270"/>
  <c r="AQ91" i="270"/>
  <c r="AJ122" i="269"/>
  <c r="AT122" i="269"/>
  <c r="AT127" i="269"/>
  <c r="AJ127" i="269"/>
  <c r="AJ130" i="269"/>
  <c r="AR135" i="269"/>
  <c r="AQ138" i="269"/>
  <c r="AN139" i="269"/>
  <c r="AR143" i="269"/>
  <c r="AN144" i="269"/>
  <c r="AN147" i="269"/>
  <c r="AR149" i="269"/>
  <c r="AN155" i="269"/>
  <c r="AC157" i="269"/>
  <c r="AO157" i="269"/>
  <c r="AV157" i="269" s="1"/>
  <c r="AR158" i="269"/>
  <c r="AB158" i="269"/>
  <c r="AN159" i="269"/>
  <c r="AN161" i="269"/>
  <c r="AQ9" i="270"/>
  <c r="AQ10" i="270"/>
  <c r="AJ12" i="270"/>
  <c r="AO13" i="270"/>
  <c r="AV13" i="270" s="1"/>
  <c r="AC13" i="270"/>
  <c r="AN13" i="270"/>
  <c r="AT13" i="270"/>
  <c r="AJ13" i="270"/>
  <c r="AQ14" i="270"/>
  <c r="AN19" i="270"/>
  <c r="AQ30" i="270"/>
  <c r="AQ39" i="270"/>
  <c r="AQ42" i="270"/>
  <c r="AJ47" i="270"/>
  <c r="AJ55" i="270"/>
  <c r="AQ71" i="270"/>
  <c r="AJ91" i="269"/>
  <c r="AJ97" i="269"/>
  <c r="AJ101" i="269"/>
  <c r="AJ111" i="269"/>
  <c r="AJ117" i="269"/>
  <c r="AB118" i="269"/>
  <c r="AJ123" i="269"/>
  <c r="AN127" i="269"/>
  <c r="AT135" i="269"/>
  <c r="AJ135" i="269"/>
  <c r="AC136" i="269"/>
  <c r="AN138" i="269"/>
  <c r="AN141" i="269"/>
  <c r="AJ144" i="269"/>
  <c r="AJ147" i="269"/>
  <c r="AT149" i="269"/>
  <c r="AJ149" i="269"/>
  <c r="AC150" i="269"/>
  <c r="AJ155" i="269"/>
  <c r="AJ161" i="269"/>
  <c r="AU104" i="270"/>
  <c r="AU98" i="270"/>
  <c r="AU94" i="270"/>
  <c r="AU88" i="270"/>
  <c r="AU84" i="270"/>
  <c r="AU109" i="270"/>
  <c r="AU103" i="270"/>
  <c r="AU97" i="270"/>
  <c r="AU93" i="270"/>
  <c r="AU87" i="270"/>
  <c r="AU108" i="270"/>
  <c r="AU102" i="270"/>
  <c r="AU92" i="270"/>
  <c r="AU86" i="270"/>
  <c r="AU82" i="270"/>
  <c r="AU106" i="270"/>
  <c r="AU100" i="270"/>
  <c r="AU90" i="270"/>
  <c r="AU80" i="270"/>
  <c r="AU76" i="270"/>
  <c r="AU72" i="270"/>
  <c r="AU62" i="270"/>
  <c r="AU58" i="270"/>
  <c r="AU105" i="270"/>
  <c r="AU99" i="270"/>
  <c r="AU95" i="270"/>
  <c r="AU89" i="270"/>
  <c r="AU79" i="270"/>
  <c r="AU107" i="270"/>
  <c r="AU78" i="270"/>
  <c r="AU75" i="270"/>
  <c r="AU74" i="270"/>
  <c r="AU57" i="270"/>
  <c r="AU52" i="270"/>
  <c r="AU48" i="270"/>
  <c r="AU42" i="270"/>
  <c r="AU38" i="270"/>
  <c r="AU34" i="270"/>
  <c r="AU101" i="270"/>
  <c r="AU81" i="270"/>
  <c r="AU55" i="270"/>
  <c r="AU67" i="270"/>
  <c r="AU45" i="270"/>
  <c r="AU44" i="270"/>
  <c r="AU14" i="270"/>
  <c r="AU8" i="270"/>
  <c r="AU3" i="270"/>
  <c r="AU83" i="270"/>
  <c r="AU50" i="270"/>
  <c r="AU35" i="270"/>
  <c r="AU25" i="270"/>
  <c r="AU21" i="270"/>
  <c r="AU17" i="270"/>
  <c r="AU13" i="270"/>
  <c r="AU7" i="270"/>
  <c r="AU64" i="270"/>
  <c r="AU61" i="270"/>
  <c r="AU53" i="270"/>
  <c r="AU51" i="270"/>
  <c r="AU36" i="270"/>
  <c r="AU33" i="270"/>
  <c r="AU32" i="270"/>
  <c r="AU28" i="270"/>
  <c r="AU24" i="270"/>
  <c r="AU20" i="270"/>
  <c r="AU16" i="270"/>
  <c r="AU12" i="270"/>
  <c r="AU6" i="270"/>
  <c r="AU91" i="270"/>
  <c r="AU71" i="270"/>
  <c r="AU68" i="270"/>
  <c r="AU39" i="270"/>
  <c r="AU31" i="270"/>
  <c r="AU27" i="270"/>
  <c r="AU23" i="270"/>
  <c r="AU65" i="270"/>
  <c r="AU59" i="270"/>
  <c r="AU54" i="270"/>
  <c r="AU40" i="270"/>
  <c r="AU30" i="270"/>
  <c r="AU10" i="270"/>
  <c r="AJ10" i="270"/>
  <c r="AQ27" i="270"/>
  <c r="AJ30" i="270"/>
  <c r="AQ31" i="270"/>
  <c r="AD34" i="270"/>
  <c r="AQ34" i="270"/>
  <c r="AN34" i="270"/>
  <c r="AJ34" i="270"/>
  <c r="AU46" i="270"/>
  <c r="AD62" i="270"/>
  <c r="AQ62" i="270"/>
  <c r="AN62" i="270"/>
  <c r="AT62" i="270"/>
  <c r="AJ62" i="270"/>
  <c r="AU63" i="270"/>
  <c r="AO65" i="270"/>
  <c r="AV65" i="270" s="1"/>
  <c r="AC65" i="270"/>
  <c r="AQ141" i="269"/>
  <c r="AQ147" i="269"/>
  <c r="AQ151" i="269"/>
  <c r="AQ155" i="269"/>
  <c r="AQ161" i="269"/>
  <c r="AR105" i="270"/>
  <c r="AR99" i="270"/>
  <c r="AR95" i="270"/>
  <c r="AR89" i="270"/>
  <c r="AR104" i="270"/>
  <c r="AR98" i="270"/>
  <c r="AR94" i="270"/>
  <c r="AR88" i="270"/>
  <c r="AR84" i="270"/>
  <c r="AR109" i="270"/>
  <c r="AR83" i="270"/>
  <c r="AR79" i="270"/>
  <c r="AR72" i="270"/>
  <c r="AR93" i="270"/>
  <c r="AR103" i="270"/>
  <c r="AR87" i="270"/>
  <c r="AR71" i="270"/>
  <c r="AR70" i="270"/>
  <c r="AR51" i="270"/>
  <c r="AR6" i="270"/>
  <c r="AQ7" i="270"/>
  <c r="AR12" i="270"/>
  <c r="AQ13" i="270"/>
  <c r="AR16" i="270"/>
  <c r="AQ17" i="270"/>
  <c r="AR20" i="270"/>
  <c r="AQ21" i="270"/>
  <c r="AR24" i="270"/>
  <c r="AQ25" i="270"/>
  <c r="AR28" i="270"/>
  <c r="AR32" i="270"/>
  <c r="AQ36" i="270"/>
  <c r="AO44" i="270"/>
  <c r="AV44" i="270" s="1"/>
  <c r="AO45" i="270"/>
  <c r="AV45" i="270" s="1"/>
  <c r="AN47" i="270"/>
  <c r="AR48" i="270"/>
  <c r="AQ51" i="270"/>
  <c r="AQ53" i="270"/>
  <c r="AR59" i="270"/>
  <c r="AQ61" i="270"/>
  <c r="AR64" i="270"/>
  <c r="AB64" i="270"/>
  <c r="AQ65" i="270"/>
  <c r="AT67" i="270"/>
  <c r="AJ67" i="270"/>
  <c r="AN67" i="270"/>
  <c r="AN70" i="270"/>
  <c r="AR76" i="270"/>
  <c r="AN78" i="270"/>
  <c r="AN80" i="270"/>
  <c r="AT80" i="270"/>
  <c r="AJ80" i="270"/>
  <c r="AN83" i="270"/>
  <c r="AD84" i="270"/>
  <c r="AQ84" i="270"/>
  <c r="AN97" i="270"/>
  <c r="AT97" i="270"/>
  <c r="AJ97" i="270"/>
  <c r="AN98" i="270"/>
  <c r="AC99" i="270"/>
  <c r="AO99" i="270"/>
  <c r="AV99" i="270" s="1"/>
  <c r="AN103" i="270"/>
  <c r="AT103" i="270"/>
  <c r="AJ103" i="270"/>
  <c r="AR106" i="270"/>
  <c r="AB106" i="270"/>
  <c r="AN106" i="270"/>
  <c r="AT33" i="270"/>
  <c r="AT39" i="270"/>
  <c r="AJ39" i="270"/>
  <c r="AT42" i="270"/>
  <c r="AR44" i="270"/>
  <c r="AB44" i="270"/>
  <c r="AT59" i="270"/>
  <c r="AJ59" i="270"/>
  <c r="AT63" i="270"/>
  <c r="AJ63" i="270"/>
  <c r="AN63" i="270"/>
  <c r="AQ67" i="270"/>
  <c r="AN74" i="270"/>
  <c r="AO80" i="270"/>
  <c r="AV80" i="270" s="1"/>
  <c r="AR86" i="270"/>
  <c r="AB86" i="270"/>
  <c r="AQ90" i="270"/>
  <c r="AJ25" i="270"/>
  <c r="AT25" i="270"/>
  <c r="AJ33" i="270"/>
  <c r="AR35" i="270"/>
  <c r="AR38" i="270"/>
  <c r="AN39" i="270"/>
  <c r="AJ42" i="270"/>
  <c r="AQ45" i="270"/>
  <c r="AD48" i="270"/>
  <c r="AQ48" i="270"/>
  <c r="AR50" i="270"/>
  <c r="AT53" i="270"/>
  <c r="AJ53" i="270"/>
  <c r="AR55" i="270"/>
  <c r="AN59" i="270"/>
  <c r="AQ63" i="270"/>
  <c r="AO63" i="270"/>
  <c r="AV63" i="270" s="1"/>
  <c r="AD67" i="270"/>
  <c r="AN71" i="270"/>
  <c r="AJ74" i="270"/>
  <c r="AN75" i="270"/>
  <c r="AJ75" i="270"/>
  <c r="AD80" i="270"/>
  <c r="AQ80" i="270"/>
  <c r="AR82" i="270"/>
  <c r="AB82" i="270"/>
  <c r="AR92" i="270"/>
  <c r="AB129" i="269"/>
  <c r="AB143" i="269"/>
  <c r="AB157" i="269"/>
  <c r="AN104" i="270"/>
  <c r="AN84" i="270"/>
  <c r="AN108" i="270"/>
  <c r="AN102" i="270"/>
  <c r="AN92" i="270"/>
  <c r="AN86" i="270"/>
  <c r="AN82" i="270"/>
  <c r="AN101" i="270"/>
  <c r="AN81" i="270"/>
  <c r="AN107" i="270"/>
  <c r="AR3" i="270"/>
  <c r="AJ8" i="270"/>
  <c r="AT8" i="270"/>
  <c r="AB9" i="270"/>
  <c r="AJ14" i="270"/>
  <c r="AT14" i="270"/>
  <c r="AT35" i="270"/>
  <c r="AJ35" i="270"/>
  <c r="AN36" i="270"/>
  <c r="AN38" i="270"/>
  <c r="AT38" i="270"/>
  <c r="AO39" i="270"/>
  <c r="AV39" i="270" s="1"/>
  <c r="AR40" i="270"/>
  <c r="AB40" i="270"/>
  <c r="AC42" i="270"/>
  <c r="AB46" i="270"/>
  <c r="AR47" i="270"/>
  <c r="AJ48" i="270"/>
  <c r="AT50" i="270"/>
  <c r="AJ50" i="270"/>
  <c r="AC51" i="270"/>
  <c r="AN53" i="270"/>
  <c r="AQ55" i="270"/>
  <c r="AB59" i="270"/>
  <c r="AC61" i="270"/>
  <c r="AR62" i="270"/>
  <c r="AD63" i="270"/>
  <c r="AC64" i="270"/>
  <c r="AN65" i="270"/>
  <c r="AR67" i="270"/>
  <c r="AN68" i="270"/>
  <c r="AJ71" i="270"/>
  <c r="AD75" i="270"/>
  <c r="AQ75" i="270"/>
  <c r="AR80" i="270"/>
  <c r="AQ86" i="270"/>
  <c r="AR97" i="270"/>
  <c r="AQ98" i="270"/>
  <c r="AR102" i="270"/>
  <c r="AR107" i="270"/>
  <c r="AB30" i="270"/>
  <c r="AR34" i="270"/>
  <c r="AR43" i="270"/>
  <c r="AC48" i="270"/>
  <c r="AN50" i="270"/>
  <c r="AN51" i="270"/>
  <c r="AR54" i="270"/>
  <c r="AN55" i="270"/>
  <c r="AQ57" i="270"/>
  <c r="AJ57" i="270"/>
  <c r="AR58" i="270"/>
  <c r="AN61" i="270"/>
  <c r="AR63" i="270"/>
  <c r="AN64" i="270"/>
  <c r="AR69" i="270"/>
  <c r="AC71" i="270"/>
  <c r="AD72" i="270"/>
  <c r="AQ72" i="270"/>
  <c r="AN72" i="270"/>
  <c r="AJ72" i="270"/>
  <c r="AR75" i="270"/>
  <c r="AC76" i="270"/>
  <c r="AR78" i="270"/>
  <c r="AC79" i="270"/>
  <c r="AR81" i="270"/>
  <c r="AB81" i="270"/>
  <c r="AQ83" i="270"/>
  <c r="AQ87" i="270"/>
  <c r="AC105" i="270"/>
  <c r="AO105" i="270"/>
  <c r="AV105" i="270" s="1"/>
  <c r="AQ52" i="270"/>
  <c r="AN58" i="270"/>
  <c r="AT58" i="270"/>
  <c r="AQ74" i="270"/>
  <c r="AN76" i="270"/>
  <c r="AT76" i="270"/>
  <c r="AQ78" i="270"/>
  <c r="AN79" i="270"/>
  <c r="AT83" i="270"/>
  <c r="AJ83" i="270"/>
  <c r="AN93" i="270"/>
  <c r="AT93" i="270"/>
  <c r="AJ93" i="270"/>
  <c r="AN94" i="270"/>
  <c r="AC95" i="270"/>
  <c r="AO95" i="270"/>
  <c r="AV95" i="270" s="1"/>
  <c r="AQ100" i="270"/>
  <c r="AQ105" i="270"/>
  <c r="AQ108" i="270"/>
  <c r="AQ109" i="270"/>
  <c r="AN109" i="270"/>
  <c r="AT109" i="270"/>
  <c r="AJ109" i="270"/>
  <c r="AR101" i="270"/>
  <c r="AB54" i="270"/>
  <c r="AC57" i="270"/>
  <c r="AC75" i="270"/>
  <c r="AQ79" i="270"/>
  <c r="AQ82" i="270"/>
  <c r="AN87" i="270"/>
  <c r="AT87" i="270"/>
  <c r="AJ87" i="270"/>
  <c r="AN88" i="270"/>
  <c r="AC89" i="270"/>
  <c r="AO89" i="270"/>
  <c r="AV89" i="270" s="1"/>
  <c r="AR91" i="270"/>
  <c r="AQ94" i="270"/>
  <c r="AQ99" i="270"/>
  <c r="AQ102" i="270"/>
  <c r="AQ106" i="270"/>
  <c r="AQ89" i="270"/>
  <c r="AQ92" i="270"/>
  <c r="AR100" i="270"/>
  <c r="AB100" i="270"/>
  <c r="AN100" i="270"/>
  <c r="AQ101" i="270"/>
  <c r="AQ103" i="270"/>
  <c r="AR108" i="270"/>
  <c r="AD89" i="270"/>
  <c r="AN89" i="270"/>
  <c r="AJ90" i="270"/>
  <c r="AT90" i="270"/>
  <c r="AB91" i="270"/>
  <c r="AD95" i="270"/>
  <c r="AN95" i="270"/>
  <c r="AD99" i="270"/>
  <c r="AN99" i="270"/>
  <c r="AJ100" i="270"/>
  <c r="AT100" i="270"/>
  <c r="AB101" i="270"/>
  <c r="AD105" i="270"/>
  <c r="AN105" i="270"/>
  <c r="AJ106" i="270"/>
  <c r="AT106" i="270"/>
  <c r="AB107" i="270"/>
  <c r="AJ81" i="270"/>
  <c r="AD90" i="270"/>
  <c r="AC91" i="270"/>
  <c r="AJ91" i="270"/>
  <c r="AB92" i="270"/>
  <c r="AD100" i="270"/>
  <c r="AC101" i="270"/>
  <c r="AJ101" i="270"/>
  <c r="AB102" i="270"/>
  <c r="AD106" i="270"/>
  <c r="AC107" i="270"/>
  <c r="AJ107" i="270"/>
  <c r="AB108" i="270"/>
  <c r="AJ89" i="270"/>
  <c r="AJ95" i="270"/>
  <c r="AJ99" i="270"/>
  <c r="AJ105" i="270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<sst xmlns="http://schemas.openxmlformats.org/spreadsheetml/2006/main" count="29855" uniqueCount="3411">
  <si>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</si>
  <si>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</si>
  <si>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</si>
  <si>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</si>
  <si>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</si>
  <si>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</si>
  <si>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</si>
  <si>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</si>
  <si>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</si>
  <si>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</si>
  <si>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</si>
  <si>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</si>
  <si>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</si>
  <si>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</si>
  <si>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</si>
  <si>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</si>
  <si>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</si>
  <si>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</si>
  <si>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</si>
  <si>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</si>
  <si>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</si>
  <si>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</si>
  <si>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</si>
  <si>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</si>
  <si>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</si>
  <si>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</si>
  <si>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</si>
  <si>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</si>
  <si>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</si>
  <si>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</si>
  <si>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</si>
  <si>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</si>
  <si>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</si>
  <si>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</si>
  <si>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</si>
  <si>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</si>
  <si>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</si>
  <si>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</si>
  <si>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</si>
  <si>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</si>
  <si>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</si>
  <si>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</si>
  <si>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</si>
  <si>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</si>
  <si>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</si>
  <si>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</si>
  <si>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</si>
  <si>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</si>
  <si>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</si>
  <si>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</si>
  <si>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</si>
  <si>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</si>
  <si>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</si>
  <si>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</si>
  <si>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</si>
  <si>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</si>
  <si>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</si>
  <si>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</si>
  <si>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</si>
  <si>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</si>
  <si>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</si>
  <si>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</si>
  <si>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</si>
  <si>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</si>
  <si>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</si>
  <si>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</si>
  <si>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</si>
  <si>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</si>
  <si>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</si>
  <si>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</si>
  <si>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</si>
  <si>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</si>
  <si>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</si>
  <si>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</si>
  <si>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</si>
  <si>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</si>
  <si>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</si>
  <si>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</si>
  <si>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</si>
  <si>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</si>
  <si>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</si>
  <si>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</si>
  <si>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</si>
  <si>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</si>
  <si>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</si>
  <si>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</si>
  <si>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</si>
  <si>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</si>
  <si>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</si>
  <si>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</si>
  <si>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[관교동]</t>
  </si>
  <si>
    <t>쌍용</t>
  </si>
  <si>
    <t>1991.07.</t>
  </si>
  <si>
    <t>계단식</t>
  </si>
  <si>
    <t>https://new.land.naver.com/complexes/2273?tab=detail&amp;rf=Y</t>
  </si>
  <si>
    <t>인천시 미추홀구 관교동 13-7</t>
  </si>
  <si>
    <t>인천시</t>
  </si>
  <si>
    <t>미추홀구</t>
  </si>
  <si>
    <t>관교동</t>
  </si>
  <si>
    <t>인천시 미추홀구 주승로 231</t>
  </si>
  <si>
    <t>풍림</t>
  </si>
  <si>
    <t>1991.02.</t>
  </si>
  <si>
    <t>https://new.land.naver.com/complexes/2274?tab=detail&amp;rf=Y</t>
  </si>
  <si>
    <t>인천시 미추홀구 관교동 13-8</t>
  </si>
  <si>
    <t>인천시 미추홀구 문화로 45</t>
  </si>
  <si>
    <t>동부</t>
  </si>
  <si>
    <t>1991.09.</t>
  </si>
  <si>
    <t>https://new.land.naver.com/complexes/2267?tab=detail&amp;rf=Y</t>
  </si>
  <si>
    <t>인천시 미추홀구 관교동 13-11</t>
  </si>
  <si>
    <t>인천시 미추홀구 주승로 253</t>
  </si>
  <si>
    <t>삼환1단지</t>
  </si>
  <si>
    <t>1992.04.</t>
  </si>
  <si>
    <t>https://new.land.naver.com/complexes/2269?tab=detail&amp;rf=Y</t>
  </si>
  <si>
    <t>인천시 미추홀구 관교동 13-6</t>
  </si>
  <si>
    <t>인천시 미추홀구 주승로 223</t>
  </si>
  <si>
    <t>동아</t>
  </si>
  <si>
    <t>1990.10.</t>
  </si>
  <si>
    <t>https://new.land.naver.com/complexes/2268?tab=detail&amp;rf=Y</t>
  </si>
  <si>
    <t>인천시 미추홀구 관교동 13-3</t>
  </si>
  <si>
    <t>인천시 미추홀구 인하로430번길 15</t>
  </si>
  <si>
    <t>삼환2단지</t>
  </si>
  <si>
    <t>1991.11.</t>
  </si>
  <si>
    <t>https://new.land.naver.com/complexes/2270?tab=detail&amp;rf=Y</t>
  </si>
  <si>
    <t>인천시 미추홀구 관교동 13-10</t>
  </si>
  <si>
    <t>인천시 미추홀구 문화로 23</t>
  </si>
  <si>
    <t>성지</t>
  </si>
  <si>
    <t>1991.08.</t>
  </si>
  <si>
    <t>https://new.land.naver.com/complexes/2271?tab=detail&amp;rf=Y</t>
  </si>
  <si>
    <t>인천시 미추홀구 관교동 13-9</t>
  </si>
  <si>
    <t>인천시 미추홀구 문화로 35</t>
  </si>
  <si>
    <t>신비마을</t>
  </si>
  <si>
    <t>1994.03.</t>
  </si>
  <si>
    <t>복도식</t>
  </si>
  <si>
    <t>https://new.land.naver.com/complexes/2272?tab=detail&amp;rf=Y</t>
  </si>
  <si>
    <t>인천시 미추홀구 관교동 511</t>
  </si>
  <si>
    <t>인천시 미추홀구 경원대로 689</t>
  </si>
  <si>
    <t>[도화동]</t>
  </si>
  <si>
    <t>하임스토리(390-9)</t>
  </si>
  <si>
    <t>2012.09.</t>
  </si>
  <si>
    <t>89A</t>
  </si>
  <si>
    <t>https://new.land.naver.com/complexes/112677?tab=detail&amp;rf=Y</t>
  </si>
  <si>
    <t>인천시 미추홀구 도화동 390-9</t>
  </si>
  <si>
    <t>도화동</t>
  </si>
  <si>
    <t>인천시 미추홀구 경인로 299</t>
  </si>
  <si>
    <t>90B</t>
  </si>
  <si>
    <t>삼덕진주(108-5)</t>
  </si>
  <si>
    <t>1984.11.</t>
  </si>
  <si>
    <t>https://new.land.naver.com/complexes/8941?tab=detail&amp;rf=Y</t>
  </si>
  <si>
    <t>인천시 미추홀구 도화동 108-5</t>
  </si>
  <si>
    <t>인천시 미추홀구 장고개로16번길 49</t>
  </si>
  <si>
    <t>e편한세상도화5단지(민간임대)</t>
  </si>
  <si>
    <t>2018.01.</t>
  </si>
  <si>
    <t>82A</t>
  </si>
  <si>
    <t>https://new.land.naver.com/complexes/119591?tab=detail&amp;rf=Y</t>
  </si>
  <si>
    <t>인천시 미추홀구 도화동 1004</t>
  </si>
  <si>
    <t>인천시 미추홀구 숙골로112번길 11</t>
  </si>
  <si>
    <t>109A</t>
  </si>
  <si>
    <t>110B</t>
  </si>
  <si>
    <t>110C</t>
  </si>
  <si>
    <t>도화역대성유니드</t>
  </si>
  <si>
    <t>2014.09.</t>
  </si>
  <si>
    <t>https://new.land.naver.com/complexes/104885?tab=detail&amp;rf=Y</t>
  </si>
  <si>
    <t>인천시 미추홀구 도화동 984</t>
  </si>
  <si>
    <t>인천시 미추홀구 숙골로8번길 15</t>
  </si>
  <si>
    <t>갤럭시타워</t>
  </si>
  <si>
    <t>2011.12.</t>
  </si>
  <si>
    <t>92A</t>
  </si>
  <si>
    <t>https://new.land.naver.com/complexes/106113?tab=detail&amp;rf=Y</t>
  </si>
  <si>
    <t>인천시 미추홀구 도화동 482-2</t>
  </si>
  <si>
    <t>인천시 미추홀구 경인북길485번길 4</t>
  </si>
  <si>
    <t>92B</t>
  </si>
  <si>
    <t>금강</t>
  </si>
  <si>
    <t>2003.11.</t>
  </si>
  <si>
    <t>https://new.land.naver.com/complexes/110976?tab=detail&amp;rf=Y</t>
  </si>
  <si>
    <t>인천시 미추홀구 도화동 369-17</t>
  </si>
  <si>
    <t>인천시 미추홀구 석바위로21번길 6</t>
  </si>
  <si>
    <t>54A</t>
  </si>
  <si>
    <t>55B</t>
  </si>
  <si>
    <t>58A</t>
  </si>
  <si>
    <t>60B</t>
  </si>
  <si>
    <t>더샵인천스카이타워1단지</t>
  </si>
  <si>
    <t>2020.11.</t>
  </si>
  <si>
    <t>101B</t>
  </si>
  <si>
    <t>https://new.land.naver.com/complexes/118761?tab=detail&amp;rf=Y</t>
  </si>
  <si>
    <t>인천시 미추홀구 도화동 1011</t>
  </si>
  <si>
    <t>인천시 미추홀구 숙골로88번길 12</t>
  </si>
  <si>
    <t>102A</t>
  </si>
  <si>
    <t>114A</t>
  </si>
  <si>
    <t>114B</t>
  </si>
  <si>
    <t>더젠시티</t>
  </si>
  <si>
    <t>2015.01.</t>
  </si>
  <si>
    <t>https://new.land.naver.com/complexes/112090?tab=detail&amp;rf=Y</t>
  </si>
  <si>
    <t>인천시 미추홀구 도화동 437-4</t>
  </si>
  <si>
    <t>인천시 미추홀구 경인로 318</t>
  </si>
  <si>
    <t>63A</t>
  </si>
  <si>
    <t>63B</t>
  </si>
  <si>
    <t>65B</t>
  </si>
  <si>
    <t>65A</t>
  </si>
  <si>
    <t>65C</t>
  </si>
  <si>
    <t>삼성건영</t>
  </si>
  <si>
    <t>2003.12.</t>
  </si>
  <si>
    <t>https://new.land.naver.com/complexes/13768?tab=detail&amp;rf=Y</t>
  </si>
  <si>
    <t>인천시 미추홀구 도화동 463-3</t>
  </si>
  <si>
    <t>인천시 미추홀구 남주길11번길 85</t>
  </si>
  <si>
    <t>제국칸스빌</t>
  </si>
  <si>
    <t>2005.02.</t>
  </si>
  <si>
    <t>https://new.land.naver.com/complexes/104002?tab=detail&amp;rf=Y</t>
  </si>
  <si>
    <t>인천시 미추홀구 도화동 563-7</t>
  </si>
  <si>
    <t>인천시 미추홀구 주안로 19</t>
  </si>
  <si>
    <t>홈유레카</t>
  </si>
  <si>
    <t>2017.07.</t>
  </si>
  <si>
    <t>복합식</t>
  </si>
  <si>
    <t>https://new.land.naver.com/complexes/121215?tab=detail&amp;rf=Y</t>
  </si>
  <si>
    <t>인천시 미추홀구 도화동 377-2</t>
  </si>
  <si>
    <t>인천시 미추홀구 경인로325번길 9</t>
  </si>
  <si>
    <t>스타뷰</t>
  </si>
  <si>
    <t>2018.08.</t>
  </si>
  <si>
    <t>https://new.land.naver.com/complexes/125607?tab=detail&amp;rf=Y</t>
  </si>
  <si>
    <t>인천시 미추홀구 도화동 437-1</t>
  </si>
  <si>
    <t>인천시 미추홀구 경인로 314</t>
  </si>
  <si>
    <t>83A</t>
  </si>
  <si>
    <t>84B</t>
  </si>
  <si>
    <t>85A</t>
  </si>
  <si>
    <t>87B</t>
  </si>
  <si>
    <t>티오피시그니쳐</t>
  </si>
  <si>
    <t>2021.02.</t>
  </si>
  <si>
    <t>68A</t>
  </si>
  <si>
    <t>https://new.land.naver.com/complexes/139403?tab=detail&amp;rf=Y</t>
  </si>
  <si>
    <t>인천시 미추홀구 도화동 545-14</t>
  </si>
  <si>
    <t>인천시 미추홀구 경인로252번길 16</t>
  </si>
  <si>
    <t>68B</t>
  </si>
  <si>
    <t>도화신동아파밀리에</t>
  </si>
  <si>
    <t>109C</t>
  </si>
  <si>
    <t>https://new.land.naver.com/complexes/27511?tab=detail&amp;rf=Y</t>
  </si>
  <si>
    <t>인천시 미추홀구 도화동 982</t>
  </si>
  <si>
    <t>인천시 미추홀구 송림로 194</t>
  </si>
  <si>
    <t>109D</t>
  </si>
  <si>
    <t>대경이즈뷰</t>
  </si>
  <si>
    <t>2008.07.</t>
  </si>
  <si>
    <t>https://new.land.naver.com/complexes/104203?tab=detail&amp;rf=Y</t>
  </si>
  <si>
    <t>인천시 미추홀구 도화동 461-2</t>
  </si>
  <si>
    <t>인천시 미추홀구 제일로24번길 10</t>
  </si>
  <si>
    <t>94A</t>
  </si>
  <si>
    <t>95B</t>
  </si>
  <si>
    <t>쑥골마을봉림,백영</t>
  </si>
  <si>
    <t>2002.03.</t>
  </si>
  <si>
    <t>https://new.land.naver.com/complexes/101990?tab=detail&amp;rf=Y</t>
  </si>
  <si>
    <t>인천시 미추홀구 도화동 534-24</t>
  </si>
  <si>
    <t>인천시 미추홀구 경인로 256</t>
  </si>
  <si>
    <t>49A</t>
  </si>
  <si>
    <t>50B</t>
  </si>
  <si>
    <t>51A</t>
  </si>
  <si>
    <t>51C</t>
  </si>
  <si>
    <t>51B</t>
  </si>
  <si>
    <t>60A</t>
  </si>
  <si>
    <t>62B</t>
  </si>
  <si>
    <t>66B</t>
  </si>
  <si>
    <t>66A</t>
  </si>
  <si>
    <t>우남</t>
  </si>
  <si>
    <t>1980.03.</t>
  </si>
  <si>
    <t>https://new.land.naver.com/complexes/12896?tab=detail&amp;rf=Y</t>
  </si>
  <si>
    <t>인천시 미추홀구 도화동 573-1</t>
  </si>
  <si>
    <t>인천시 미추홀구 숙골로8번길 14</t>
  </si>
  <si>
    <t>신태양4차</t>
  </si>
  <si>
    <t>1984.12.</t>
  </si>
  <si>
    <t>https://new.land.naver.com/complexes/8948?tab=detail&amp;rf=Y</t>
  </si>
  <si>
    <t>인천시 미추홀구 도화동 134-2</t>
  </si>
  <si>
    <t>인천시 미추홀구 석정로302번길 17</t>
  </si>
  <si>
    <t>TS굿모닝</t>
  </si>
  <si>
    <t>2002.11.</t>
  </si>
  <si>
    <t>https://new.land.naver.com/complexes/11680?tab=detail&amp;rf=Y</t>
  </si>
  <si>
    <t>인천시 미추홀구 도화동 108-1</t>
  </si>
  <si>
    <t>인천시 미추홀구 장고개로36번길 36</t>
  </si>
  <si>
    <t>신세계</t>
  </si>
  <si>
    <t>2017.03.</t>
  </si>
  <si>
    <t>64B</t>
  </si>
  <si>
    <t>https://new.land.naver.com/complexes/123880?tab=detail&amp;rf=Y</t>
  </si>
  <si>
    <t>인천시 미추홀구 도화동 424-2</t>
  </si>
  <si>
    <t>인천시 미추홀구 한나루로 610</t>
  </si>
  <si>
    <t>64A</t>
  </si>
  <si>
    <t>삼덕진주(106-4)</t>
  </si>
  <si>
    <t>1984.04.</t>
  </si>
  <si>
    <t>72A</t>
  </si>
  <si>
    <t>https://new.land.naver.com/complexes/100680?tab=detail&amp;rf=Y</t>
  </si>
  <si>
    <t>인천시 미추홀구 도화동 106-4</t>
  </si>
  <si>
    <t>인천시 미추홀구</t>
  </si>
  <si>
    <t>73B</t>
  </si>
  <si>
    <t>도화역금강펜테리움센트럴파크</t>
  </si>
  <si>
    <t>https://new.land.naver.com/complexes/122163?tab=detail&amp;rf=Y</t>
  </si>
  <si>
    <t>인천시 미추홀구 도화동 987</t>
  </si>
  <si>
    <t>인천시 미추홀구 송림로257번길 6</t>
  </si>
  <si>
    <t>라이프타워</t>
  </si>
  <si>
    <t>2016.11.</t>
  </si>
  <si>
    <t>https://new.land.naver.com/complexes/118030?tab=detail&amp;rf=Y</t>
  </si>
  <si>
    <t>인천시 미추홀구 도화동 638-3</t>
  </si>
  <si>
    <t>인천시 미추홀구 경인로 181</t>
  </si>
  <si>
    <t>72B</t>
  </si>
  <si>
    <t>88A</t>
  </si>
  <si>
    <t>88B</t>
  </si>
  <si>
    <t>88C</t>
  </si>
  <si>
    <t>도화한승미메이드</t>
  </si>
  <si>
    <t>2006.03.</t>
  </si>
  <si>
    <t>https://new.land.naver.com/complexes/22414?tab=detail&amp;rf=Y</t>
  </si>
  <si>
    <t>인천시 미추홀구 도화동 431-3</t>
  </si>
  <si>
    <t>인천시 미추홀구 경인로 302</t>
  </si>
  <si>
    <t>89B</t>
  </si>
  <si>
    <t>미추홀</t>
  </si>
  <si>
    <t>2003.06.</t>
  </si>
  <si>
    <t>https://new.land.naver.com/complexes/13246?tab=detail&amp;rf=Y</t>
  </si>
  <si>
    <t>인천시 미추홀구 도화동 103-28</t>
  </si>
  <si>
    <t>인천시 미추홀구 석정로252번길 5</t>
  </si>
  <si>
    <t>엔에스파크</t>
  </si>
  <si>
    <t>2014.05.</t>
  </si>
  <si>
    <t>https://new.land.naver.com/complexes/109199?tab=detail&amp;rf=Y</t>
  </si>
  <si>
    <t>인천시 미추홀구 도화동 457-4</t>
  </si>
  <si>
    <t>인천시 미추홀구 제일로9번길 6</t>
  </si>
  <si>
    <t>반석데파트</t>
  </si>
  <si>
    <t>2003.05.</t>
  </si>
  <si>
    <t>78A</t>
  </si>
  <si>
    <t>https://new.land.naver.com/complexes/13312?tab=detail&amp;rf=Y</t>
  </si>
  <si>
    <t>인천시 미추홀구 도화동 404-16</t>
  </si>
  <si>
    <t>인천시 미추홀구 석바위로 9</t>
  </si>
  <si>
    <t>80B</t>
  </si>
  <si>
    <t>인성</t>
  </si>
  <si>
    <t>https://new.land.naver.com/complexes/23655?tab=detail&amp;rf=Y</t>
  </si>
  <si>
    <t>인천시 미추홀구 도화동 96-1</t>
  </si>
  <si>
    <t>인천시 미추홀구 석정로240번길 13</t>
  </si>
  <si>
    <t>다인</t>
  </si>
  <si>
    <t>2016.04.</t>
  </si>
  <si>
    <t>https://new.land.naver.com/complexes/142900?tab=detail&amp;rf=Y</t>
  </si>
  <si>
    <t>인천시 미추홀구 도화동 495-6</t>
  </si>
  <si>
    <t>인천시 미추홀구 경인북길 431</t>
  </si>
  <si>
    <t>삼성캐슬</t>
  </si>
  <si>
    <t>2019.01.</t>
  </si>
  <si>
    <t>https://new.land.naver.com/complexes/126169?tab=detail&amp;rf=Y</t>
  </si>
  <si>
    <t>인천시 미추홀구 도화동 594-4</t>
  </si>
  <si>
    <t>인천시 미추홀구 경인로 225</t>
  </si>
  <si>
    <t>아이홈</t>
  </si>
  <si>
    <t>2015.10.</t>
  </si>
  <si>
    <t>https://new.land.naver.com/complexes/112088?tab=detail&amp;rf=Y</t>
  </si>
  <si>
    <t>인천시 미추홀구 도화동 377-11</t>
  </si>
  <si>
    <t>인천시 미추홀구 경인로 313</t>
  </si>
  <si>
    <t>대림</t>
  </si>
  <si>
    <t>2002.07.</t>
  </si>
  <si>
    <t>https://new.land.naver.com/complexes/130612?tab=detail&amp;rf=Y</t>
  </si>
  <si>
    <t>인천시 미추홀구 도화동 594-3</t>
  </si>
  <si>
    <t>인천시 미추홀구 숙골로 19-9</t>
  </si>
  <si>
    <t>리치빌</t>
  </si>
  <si>
    <t>2016.12.</t>
  </si>
  <si>
    <t>57B</t>
  </si>
  <si>
    <t>https://new.land.naver.com/complexes/116574?tab=detail&amp;rf=Y</t>
  </si>
  <si>
    <t>인천시 미추홀구 도화동 545-3</t>
  </si>
  <si>
    <t>인천시 미추홀구 경인로246번길 9</t>
  </si>
  <si>
    <t>57A</t>
  </si>
  <si>
    <t>78B</t>
  </si>
  <si>
    <t>원일</t>
  </si>
  <si>
    <t>98B</t>
  </si>
  <si>
    <t>https://new.land.naver.com/complexes/8949?tab=detail&amp;rf=Y</t>
  </si>
  <si>
    <t>인천시 미추홀구 도화동 444-18</t>
  </si>
  <si>
    <t>인천시 미추홀구 제일로 46-1</t>
  </si>
  <si>
    <t>98A</t>
  </si>
  <si>
    <t>삼라마이다스</t>
  </si>
  <si>
    <t>2005.10.</t>
  </si>
  <si>
    <t>138B</t>
  </si>
  <si>
    <t>https://new.land.naver.com/complexes/24210?tab=detail&amp;rf=Y</t>
  </si>
  <si>
    <t>인천시 미추홀구 도화동 434-2</t>
  </si>
  <si>
    <t>인천시 미추홀구 제일로 31</t>
  </si>
  <si>
    <t>140A</t>
  </si>
  <si>
    <t>141A</t>
  </si>
  <si>
    <t>142B</t>
  </si>
  <si>
    <t>145B</t>
  </si>
  <si>
    <t>146B1</t>
  </si>
  <si>
    <t>165A</t>
  </si>
  <si>
    <t>165B</t>
  </si>
  <si>
    <t>세명</t>
  </si>
  <si>
    <t>2002.12.</t>
  </si>
  <si>
    <t>https://new.land.naver.com/complexes/117164?tab=detail&amp;rf=Y</t>
  </si>
  <si>
    <t>인천시 미추홀구 도화동 372-15</t>
  </si>
  <si>
    <t>인천시 미추홀구 주안로50번길 61</t>
  </si>
  <si>
    <t>59B</t>
  </si>
  <si>
    <t>68C</t>
  </si>
  <si>
    <t>69B</t>
  </si>
  <si>
    <t>69A</t>
  </si>
  <si>
    <t>84A</t>
  </si>
  <si>
    <t>86B</t>
  </si>
  <si>
    <t>93A</t>
  </si>
  <si>
    <t>주안애팰리스</t>
  </si>
  <si>
    <t>https://new.land.naver.com/complexes/112089?tab=detail&amp;rf=Y</t>
  </si>
  <si>
    <t>인천시 미추홀구 도화동 377-13</t>
  </si>
  <si>
    <t>인천시 미추홀구 경인로 315</t>
  </si>
  <si>
    <t>하임스토리(638-5)</t>
  </si>
  <si>
    <t>2017.01.</t>
  </si>
  <si>
    <t>https://new.land.naver.com/complexes/126562?tab=detail&amp;rf=Y</t>
  </si>
  <si>
    <t>인천시 미추홀구 도화동 638-5</t>
  </si>
  <si>
    <t>인천시 미추홀구 경인로 179</t>
  </si>
  <si>
    <t>67A</t>
  </si>
  <si>
    <t>삼성타워</t>
  </si>
  <si>
    <t>2015.12.</t>
  </si>
  <si>
    <t>https://new.land.naver.com/complexes/121612?tab=detail&amp;rf=Y</t>
  </si>
  <si>
    <t>인천시 미추홀구 도화동 391-2</t>
  </si>
  <si>
    <t>인천시 미추홀구 석바위로 10</t>
  </si>
  <si>
    <t>에버그린</t>
  </si>
  <si>
    <t>2012.03.</t>
  </si>
  <si>
    <t>https://new.land.naver.com/complexes/117785?tab=detail&amp;rf=Y</t>
  </si>
  <si>
    <t>인천시 미추홀구 도화동 618-8</t>
  </si>
  <si>
    <t>인천시 미추홀구 경인로 201</t>
  </si>
  <si>
    <t>74A</t>
  </si>
  <si>
    <t>75B</t>
  </si>
  <si>
    <t>버드나무</t>
  </si>
  <si>
    <t>2005.01.</t>
  </si>
  <si>
    <t>https://new.land.naver.com/complexes/100187?tab=detail&amp;rf=Y</t>
  </si>
  <si>
    <t>인천시 미추홀구 도화동 545-2</t>
  </si>
  <si>
    <t>인천시 미추홀구 경인로246번길 5</t>
  </si>
  <si>
    <t>정우팰리스</t>
  </si>
  <si>
    <t>2015.09.</t>
  </si>
  <si>
    <t>https://new.land.naver.com/complexes/137342?tab=detail&amp;rf=Y</t>
  </si>
  <si>
    <t>인천시 미추홀구 도화동 484-7</t>
  </si>
  <si>
    <t>인천시 미추홀구 경인북길485번길 7</t>
  </si>
  <si>
    <t>58C</t>
  </si>
  <si>
    <t>58B</t>
  </si>
  <si>
    <t>59E</t>
  </si>
  <si>
    <t>59D</t>
  </si>
  <si>
    <t>60F</t>
  </si>
  <si>
    <t>더샵인천스카이타워2단지</t>
  </si>
  <si>
    <t>101C</t>
  </si>
  <si>
    <t>https://new.land.naver.com/complexes/118759?tab=detail&amp;rf=Y</t>
  </si>
  <si>
    <t>인천시 미추홀구 도화동 1002</t>
  </si>
  <si>
    <t>인천시 미추홀구 숙골로87번길 5</t>
  </si>
  <si>
    <t>113D</t>
  </si>
  <si>
    <t>114C</t>
  </si>
  <si>
    <t>e편한세상도화6-1단지(민간임대)</t>
  </si>
  <si>
    <t>https://new.land.naver.com/complexes/119595?tab=detail&amp;rf=Y</t>
  </si>
  <si>
    <t>인천시 미추홀구 도화동 1009</t>
  </si>
  <si>
    <t>인천시 미추홀구 숙골로88번길 46</t>
  </si>
  <si>
    <t>85B</t>
  </si>
  <si>
    <t>95A</t>
  </si>
  <si>
    <t>96B</t>
  </si>
  <si>
    <t>96E</t>
  </si>
  <si>
    <t>96D</t>
  </si>
  <si>
    <t>96C</t>
  </si>
  <si>
    <t>110A</t>
  </si>
  <si>
    <t>디아나</t>
  </si>
  <si>
    <t>2017.06.</t>
  </si>
  <si>
    <t>https://new.land.naver.com/complexes/137926?tab=detail&amp;rf=Y</t>
  </si>
  <si>
    <t>인천시 미추홀구 도화동 469-2</t>
  </si>
  <si>
    <t>인천시 미추홀구 제일로 10</t>
  </si>
  <si>
    <t>96A</t>
  </si>
  <si>
    <t>연주프라임</t>
  </si>
  <si>
    <t>68D</t>
  </si>
  <si>
    <t>https://new.land.naver.com/complexes/135148?tab=detail&amp;rf=Y</t>
  </si>
  <si>
    <t>인천시 미추홀구 도화동 442-4</t>
  </si>
  <si>
    <t>인천시 미추홀구 제일로 43</t>
  </si>
  <si>
    <t>68E</t>
  </si>
  <si>
    <t>69C</t>
  </si>
  <si>
    <t>69F</t>
  </si>
  <si>
    <t>동오</t>
  </si>
  <si>
    <t>1989.09.</t>
  </si>
  <si>
    <t>https://new.land.naver.com/complexes/8939?tab=detail&amp;rf=Y</t>
  </si>
  <si>
    <t>인천시 미추홀구 도화동 574-3</t>
  </si>
  <si>
    <t>인천시 미추홀구 주안로7번길 31</t>
  </si>
  <si>
    <t>71A</t>
  </si>
  <si>
    <t>주영팰리스</t>
  </si>
  <si>
    <t>2014.04.</t>
  </si>
  <si>
    <t>62A</t>
  </si>
  <si>
    <t>https://new.land.naver.com/complexes/109711?tab=detail&amp;rf=Y</t>
  </si>
  <si>
    <t>인천시 미추홀구 도화동 389-13</t>
  </si>
  <si>
    <t>인천시 미추홀구 경인로 301</t>
  </si>
  <si>
    <t>64C</t>
  </si>
  <si>
    <t>64D</t>
  </si>
  <si>
    <t>노블레스타워</t>
  </si>
  <si>
    <t>2013.05.</t>
  </si>
  <si>
    <t>https://new.land.naver.com/complexes/123009?tab=detail&amp;rf=Y</t>
  </si>
  <si>
    <t>인천시 미추홀구 도화동 359-8</t>
  </si>
  <si>
    <t>인천시 미추홀구 석바위로33번길 4</t>
  </si>
  <si>
    <t>79A</t>
  </si>
  <si>
    <t>79B</t>
  </si>
  <si>
    <t>91A</t>
  </si>
  <si>
    <t>해든빌</t>
  </si>
  <si>
    <t>https://new.land.naver.com/complexes/121156?tab=detail&amp;rf=Y</t>
  </si>
  <si>
    <t>인천시 미추홀구 도화동 534-1</t>
  </si>
  <si>
    <t>인천시 미추홀구 경인로268번길 4</t>
  </si>
  <si>
    <t>다우림</t>
  </si>
  <si>
    <t>https://new.land.naver.com/complexes/112678?tab=detail&amp;rf=Y</t>
  </si>
  <si>
    <t>인천시 미추홀구 도화동 425-3</t>
  </si>
  <si>
    <t>인천시 미추홀구 제일로27번길 27</t>
  </si>
  <si>
    <t>더젠씨티</t>
  </si>
  <si>
    <t>2020.05.</t>
  </si>
  <si>
    <t>https://new.land.naver.com/complexes/133950?tab=detail&amp;rf=Y</t>
  </si>
  <si>
    <t>인천시 미추홀구 도화동 642-4</t>
  </si>
  <si>
    <t>인천시 미추홀구 경인로 159</t>
  </si>
  <si>
    <t>70B</t>
  </si>
  <si>
    <t>대동</t>
  </si>
  <si>
    <t>1983.12.</t>
  </si>
  <si>
    <t>https://new.land.naver.com/complexes/16512?tab=detail&amp;rf=Y</t>
  </si>
  <si>
    <t>인천시 미추홀구 도화동 919</t>
  </si>
  <si>
    <t>인천시 미추홀구 염전로128번길 35</t>
  </si>
  <si>
    <t>벨라지오</t>
  </si>
  <si>
    <t>2012.06.</t>
  </si>
  <si>
    <t>https://new.land.naver.com/complexes/119305?tab=detail&amp;rf=Y</t>
  </si>
  <si>
    <t>인천시 미추홀구 도화동 440-3</t>
  </si>
  <si>
    <t>인천시 미추홀구 제일로9번길 18</t>
  </si>
  <si>
    <t>70D</t>
  </si>
  <si>
    <t>81A</t>
  </si>
  <si>
    <t>82B</t>
  </si>
  <si>
    <t>82E</t>
  </si>
  <si>
    <t>83C</t>
  </si>
  <si>
    <t>83D</t>
  </si>
  <si>
    <t>BS뷰</t>
  </si>
  <si>
    <t>2016.01.</t>
  </si>
  <si>
    <t>https://new.land.naver.com/complexes/134147?tab=detail&amp;rf=Y</t>
  </si>
  <si>
    <t>인천시 미추홀구 도화동 369-1</t>
  </si>
  <si>
    <t>인천시 미추홀구 석바위로 29</t>
  </si>
  <si>
    <t>62C</t>
  </si>
  <si>
    <t>나산</t>
  </si>
  <si>
    <t>1996.10.</t>
  </si>
  <si>
    <t>https://new.land.naver.com/complexes/8935?tab=detail&amp;rf=Y</t>
  </si>
  <si>
    <t>인천시 미추홀구 도화동 601-2</t>
  </si>
  <si>
    <t>인천시 미추홀구 경인로 221</t>
  </si>
  <si>
    <t>성락</t>
  </si>
  <si>
    <t>1981.05.</t>
  </si>
  <si>
    <t>https://new.land.naver.com/complexes/8944?tab=detail&amp;rf=Y</t>
  </si>
  <si>
    <t>인천시 미추홀구 도화동 109-1</t>
  </si>
  <si>
    <t>인천시 미추홀구 석정로279번길 30</t>
  </si>
  <si>
    <t>신태양3차</t>
  </si>
  <si>
    <t>https://new.land.naver.com/complexes/8947?tab=detail&amp;rf=Y</t>
  </si>
  <si>
    <t>인천시 미추홀구 도화동 132-1</t>
  </si>
  <si>
    <t>인천시 미추홀구 석정로302번길 27</t>
  </si>
  <si>
    <t>더프레스티움</t>
  </si>
  <si>
    <t>2021.04.</t>
  </si>
  <si>
    <t>https://new.land.naver.com/complexes/141697?tab=detail&amp;rf=Y</t>
  </si>
  <si>
    <t>인천시 미추홀구 도화동 642-17</t>
  </si>
  <si>
    <t>인천시 미추홀구 경인로 165</t>
  </si>
  <si>
    <t>87C</t>
  </si>
  <si>
    <t>뉴더웰</t>
  </si>
  <si>
    <t>2016.06.</t>
  </si>
  <si>
    <t>https://new.land.naver.com/complexes/117103?tab=detail&amp;rf=Y</t>
  </si>
  <si>
    <t>인천시 미추홀구 도화동 618-2</t>
  </si>
  <si>
    <t>인천시 미추홀구 경인로 195</t>
  </si>
  <si>
    <t>산에들에</t>
  </si>
  <si>
    <t>https://new.land.naver.com/complexes/133570?tab=detail&amp;rf=Y</t>
  </si>
  <si>
    <t>인천시 미추홀구 도화동 375-12</t>
  </si>
  <si>
    <t>인천시 미추홀구 석바위로 26-1</t>
  </si>
  <si>
    <t>이화(108-2)</t>
  </si>
  <si>
    <t>1985.05.</t>
  </si>
  <si>
    <t>https://new.land.naver.com/complexes/8951?tab=detail&amp;rf=Y</t>
  </si>
  <si>
    <t>인천시 미추홀구 도화동 108-2</t>
  </si>
  <si>
    <t>인천시 미추홀구 장고개로36번길 46</t>
  </si>
  <si>
    <t>주안역미추홀더리브</t>
  </si>
  <si>
    <t>2023.09.</t>
  </si>
  <si>
    <t>https://new.land.naver.com/complexes/133741?tab=detail&amp;rf=Y</t>
  </si>
  <si>
    <t>인천시 미추홀구 도화동 377-1</t>
  </si>
  <si>
    <t>105A</t>
  </si>
  <si>
    <t>106B</t>
  </si>
  <si>
    <t>119B</t>
  </si>
  <si>
    <t>120A</t>
  </si>
  <si>
    <t>120E</t>
  </si>
  <si>
    <t>121C</t>
  </si>
  <si>
    <t>122D</t>
  </si>
  <si>
    <t>1992.02.</t>
  </si>
  <si>
    <t>https://new.land.naver.com/complexes/8953?tab=detail&amp;rf=Y</t>
  </si>
  <si>
    <t>인천시 미추홀구 도화동 601-1</t>
  </si>
  <si>
    <t>인천시 미추홀구 경인로 203-12</t>
  </si>
  <si>
    <t>신태양2차</t>
  </si>
  <si>
    <t>1982.10.</t>
  </si>
  <si>
    <t>https://new.land.naver.com/complexes/8946?tab=detail&amp;rf=Y</t>
  </si>
  <si>
    <t>인천시 미추홀구 도화동 137-2</t>
  </si>
  <si>
    <t>인천시 미추홀구 석정로302번길 6</t>
  </si>
  <si>
    <t>올레오</t>
  </si>
  <si>
    <t>2018.10.</t>
  </si>
  <si>
    <t>https://new.land.naver.com/complexes/123251?tab=detail&amp;rf=Y</t>
  </si>
  <si>
    <t>인천시 미추홀구 도화동 432-2</t>
  </si>
  <si>
    <t>인천시 미추홀구 경인로 306</t>
  </si>
  <si>
    <t>수봉</t>
  </si>
  <si>
    <t>1980.07.</t>
  </si>
  <si>
    <t>https://new.land.naver.com/complexes/16517?tab=detail&amp;rf=Y</t>
  </si>
  <si>
    <t>인천시 미추홀구 도화동 산50-16</t>
  </si>
  <si>
    <t>인천시 미추홀구 수봉북로 40</t>
  </si>
  <si>
    <t>세림펠리체(도시형)</t>
  </si>
  <si>
    <t>2019.08.</t>
  </si>
  <si>
    <t>52E</t>
  </si>
  <si>
    <t>https://new.land.naver.com/complexes/127680?tab=detail&amp;rf=Y</t>
  </si>
  <si>
    <t>인천시 미추홀구 도화동 550-7</t>
  </si>
  <si>
    <t>인천시 미추홀구 경인로 255</t>
  </si>
  <si>
    <t>52A</t>
  </si>
  <si>
    <t>52C</t>
  </si>
  <si>
    <t>52D</t>
  </si>
  <si>
    <t>52B</t>
  </si>
  <si>
    <t>53J</t>
  </si>
  <si>
    <t>53I</t>
  </si>
  <si>
    <t>53H</t>
  </si>
  <si>
    <t>53G</t>
  </si>
  <si>
    <t>53F</t>
  </si>
  <si>
    <t>54K</t>
  </si>
  <si>
    <t>54L</t>
  </si>
  <si>
    <t>가온누리</t>
  </si>
  <si>
    <t>2013.06.</t>
  </si>
  <si>
    <t>https://new.land.naver.com/complexes/114654?tab=detail&amp;rf=Y</t>
  </si>
  <si>
    <t>인천시 미추홀구 도화동 618-9</t>
  </si>
  <si>
    <t>인천시 미추홀구 경인로 193-1</t>
  </si>
  <si>
    <t>78C</t>
  </si>
  <si>
    <t>79D</t>
  </si>
  <si>
    <t>100A</t>
  </si>
  <si>
    <t>103B</t>
  </si>
  <si>
    <t>골드프라임</t>
  </si>
  <si>
    <t>https://new.land.naver.com/complexes/142205?tab=detail&amp;rf=Y</t>
  </si>
  <si>
    <t>인천시 미추홀구 도화동 479</t>
  </si>
  <si>
    <t>인천시 미추홀구 경인로 274</t>
  </si>
  <si>
    <t>72C</t>
  </si>
  <si>
    <t>동원</t>
  </si>
  <si>
    <t>1987.05.</t>
  </si>
  <si>
    <t>https://new.land.naver.com/complexes/8940?tab=detail&amp;rf=Y</t>
  </si>
  <si>
    <t>인천시 미추홀구 도화동 557-1</t>
  </si>
  <si>
    <t>인천시 미추홀구 주안로 27</t>
  </si>
  <si>
    <t>삼원</t>
  </si>
  <si>
    <t>1985.07.</t>
  </si>
  <si>
    <t>https://new.land.naver.com/complexes/8942?tab=detail&amp;rf=Y</t>
  </si>
  <si>
    <t>인천시 미추홀구 도화동 136-16</t>
  </si>
  <si>
    <t>인천시 미추홀구 석정로314번길 12-32</t>
  </si>
  <si>
    <t>해피타운</t>
  </si>
  <si>
    <t>2015.07.</t>
  </si>
  <si>
    <t>https://new.land.naver.com/complexes/121254?tab=detail&amp;rf=Y</t>
  </si>
  <si>
    <t>인천시 미추홀구 도화동 648-15</t>
  </si>
  <si>
    <t>인천시 미추홀구 경인로 135</t>
  </si>
  <si>
    <t>72D</t>
  </si>
  <si>
    <t>이화(119-7)</t>
  </si>
  <si>
    <t>1986.12.</t>
  </si>
  <si>
    <t>https://new.land.naver.com/complexes/102921?tab=detail&amp;rf=Y</t>
  </si>
  <si>
    <t>인천시 미추홀구 도화동 119-7</t>
  </si>
  <si>
    <t>인천시 미추홀구 장고개로36번길 15</t>
  </si>
  <si>
    <t>에버그린2차</t>
  </si>
  <si>
    <t>https://new.land.naver.com/complexes/122709?tab=detail&amp;rf=Y</t>
  </si>
  <si>
    <t>인천시 미추홀구 도화동 618-1</t>
  </si>
  <si>
    <t>인천시 미추홀구 경인로 197</t>
  </si>
  <si>
    <t>80C</t>
  </si>
  <si>
    <t>102B</t>
  </si>
  <si>
    <t>103C</t>
  </si>
  <si>
    <t>신태양1차</t>
  </si>
  <si>
    <t>1981.12.</t>
  </si>
  <si>
    <t>https://new.land.naver.com/complexes/8945?tab=detail&amp;rf=Y</t>
  </si>
  <si>
    <t>인천시 미추홀구 도화동 119-42</t>
  </si>
  <si>
    <t>인천시 미추홀구 석정로323번길 2</t>
  </si>
  <si>
    <t>솔리체</t>
  </si>
  <si>
    <t>2009.10.</t>
  </si>
  <si>
    <t>https://new.land.naver.com/complexes/107751?tab=detail&amp;rf=Y</t>
  </si>
  <si>
    <t>인천시 미추홀구 도화동 480-3</t>
  </si>
  <si>
    <t>인천시 미추홀구 경인로 268</t>
  </si>
  <si>
    <t>쑥골원룸텔</t>
  </si>
  <si>
    <t>2002.01.</t>
  </si>
  <si>
    <t>https://new.land.naver.com/complexes/115203?tab=detail&amp;rf=Y</t>
  </si>
  <si>
    <t>인천시 미추홀구 도화동 103-2</t>
  </si>
  <si>
    <t>인천시 미추홀구 석정로 260-1</t>
  </si>
  <si>
    <t>25A</t>
  </si>
  <si>
    <t>26B</t>
  </si>
  <si>
    <t>28E</t>
  </si>
  <si>
    <t>28F</t>
  </si>
  <si>
    <t>29A</t>
  </si>
  <si>
    <t>29D</t>
  </si>
  <si>
    <t>30B</t>
  </si>
  <si>
    <t>30C</t>
  </si>
  <si>
    <t>태화</t>
  </si>
  <si>
    <t>https://new.land.naver.com/complexes/8952?tab=detail&amp;rf=Y</t>
  </si>
  <si>
    <t>인천시 미추홀구 도화동 105-1</t>
  </si>
  <si>
    <t>인천시 미추홀구 석정로 291</t>
  </si>
  <si>
    <t>[문학동]</t>
  </si>
  <si>
    <t>삼영</t>
  </si>
  <si>
    <t>2001.04.</t>
  </si>
  <si>
    <t>https://new.land.naver.com/complexes/23294?tab=detail&amp;rf=Y</t>
  </si>
  <si>
    <t>인천시 미추홀구 문학동 379-4</t>
  </si>
  <si>
    <t>문학동</t>
  </si>
  <si>
    <t>인천시 미추홀구 매소홀로 566</t>
  </si>
  <si>
    <t>파인</t>
  </si>
  <si>
    <t>2004.05.</t>
  </si>
  <si>
    <t>https://new.land.naver.com/complexes/119243?tab=detail&amp;rf=Y</t>
  </si>
  <si>
    <t>인천시 미추홀구 문학동 156-13</t>
  </si>
  <si>
    <t>인천시 미추홀구 소성로282번길 12</t>
  </si>
  <si>
    <t>호산</t>
  </si>
  <si>
    <t>1996.12.</t>
  </si>
  <si>
    <t>https://new.land.naver.com/complexes/8709?tab=detail&amp;rf=Y</t>
  </si>
  <si>
    <t>인천시 미추홀구 문학동 376-1</t>
  </si>
  <si>
    <t>인천시 미추홀구 소성로318번길 5</t>
  </si>
  <si>
    <t>국일</t>
  </si>
  <si>
    <t>1994.12.</t>
  </si>
  <si>
    <t>https://new.land.naver.com/complexes/8708?tab=detail&amp;rf=Y</t>
  </si>
  <si>
    <t>인천시 미추홀구 문학동 390-4</t>
  </si>
  <si>
    <t>인천시 미추홀구 소성로 346</t>
  </si>
  <si>
    <t>[숭의동]</t>
  </si>
  <si>
    <t>뉴월드</t>
  </si>
  <si>
    <t>56A</t>
  </si>
  <si>
    <t>https://new.land.naver.com/complexes/109033?tab=detail&amp;rf=Y</t>
  </si>
  <si>
    <t>인천시 미추홀구 숭의동 296-26</t>
  </si>
  <si>
    <t>숭의동</t>
  </si>
  <si>
    <t>인천시 미추홀구 장천로6번길 17</t>
  </si>
  <si>
    <t>다드림</t>
  </si>
  <si>
    <t>61A</t>
  </si>
  <si>
    <t>https://new.land.naver.com/complexes/123718?tab=detail&amp;rf=Y</t>
  </si>
  <si>
    <t>인천시 미추홀구 숭의동 166-17</t>
  </si>
  <si>
    <t>인천시 미추홀구 독배로492번길 34</t>
  </si>
  <si>
    <t>61B</t>
  </si>
  <si>
    <t>61C</t>
  </si>
  <si>
    <t>세움</t>
  </si>
  <si>
    <t>https://new.land.naver.com/complexes/121831?tab=detail&amp;rf=Y</t>
  </si>
  <si>
    <t>인천시 미추홀구 숭의동 187-50</t>
  </si>
  <si>
    <t>인천시 미추홀구 장천로 39</t>
  </si>
  <si>
    <t>투민힐스빌</t>
  </si>
  <si>
    <t>https://new.land.naver.com/complexes/126223?tab=detail&amp;rf=Y</t>
  </si>
  <si>
    <t>인천시 미추홀구 숭의동 75-5,</t>
  </si>
  <si>
    <t>인천시 미추홀구 경인로 98</t>
  </si>
  <si>
    <t>명보프라임</t>
  </si>
  <si>
    <t>https://new.land.naver.com/complexes/134388?tab=detail&amp;rf=Y</t>
  </si>
  <si>
    <t>인천시 미추홀구 숭의동 164-10</t>
  </si>
  <si>
    <t>인천시 미추홀구 독배로492번길 15</t>
  </si>
  <si>
    <t>76C</t>
  </si>
  <si>
    <t>뉴그린</t>
  </si>
  <si>
    <t>https://new.land.naver.com/complexes/25160?tab=detail&amp;rf=Y</t>
  </si>
  <si>
    <t>인천시 미추홀구 숭의동 296-56</t>
  </si>
  <si>
    <t>인천시 미추홀구 장천로8번길 11</t>
  </si>
  <si>
    <t>행복캐슬</t>
  </si>
  <si>
    <t>2014.08.</t>
  </si>
  <si>
    <t>https://new.land.naver.com/complexes/119300?tab=detail&amp;rf=Y</t>
  </si>
  <si>
    <t>인천시 미추홀구 숭의동 122-3</t>
  </si>
  <si>
    <t>인천시 미추홀구 참외전로 319</t>
  </si>
  <si>
    <t>63C</t>
  </si>
  <si>
    <t>63D</t>
  </si>
  <si>
    <t>도원역서희스타힐스크루즈시티(주)</t>
  </si>
  <si>
    <t>2022.04.</t>
  </si>
  <si>
    <t>87A</t>
  </si>
  <si>
    <t>https://new.land.naver.com/complexes/122506?tab=detail&amp;rf=Y</t>
  </si>
  <si>
    <t>인천시 미추홀구 숭의동 462</t>
  </si>
  <si>
    <t>104B</t>
  </si>
  <si>
    <t>112A</t>
  </si>
  <si>
    <t>113B</t>
  </si>
  <si>
    <t>신안래미안</t>
  </si>
  <si>
    <t>2015.03.</t>
  </si>
  <si>
    <t>https://new.land.naver.com/complexes/122136?tab=detail&amp;rf=Y</t>
  </si>
  <si>
    <t>인천시 미추홀구 숭의동 129-30</t>
  </si>
  <si>
    <t>인천시 미추홀구 경인로 53</t>
  </si>
  <si>
    <t>해찬솔</t>
  </si>
  <si>
    <t>2014.06.</t>
  </si>
  <si>
    <t>https://new.land.naver.com/complexes/140401?tab=detail&amp;rf=Y</t>
  </si>
  <si>
    <t>인천시 미추홀구 숭의동 118-24</t>
  </si>
  <si>
    <t>인천시 미추홀구 경인로 82</t>
  </si>
  <si>
    <t>푸르미</t>
  </si>
  <si>
    <t>2003.07.</t>
  </si>
  <si>
    <t>https://new.land.naver.com/complexes/12092?tab=detail&amp;rf=Y</t>
  </si>
  <si>
    <t>인천시 미추홀구 숭의동 182-14</t>
  </si>
  <si>
    <t>인천시 미추홀구 미추로36번길 16</t>
  </si>
  <si>
    <t>81B</t>
  </si>
  <si>
    <t>81C</t>
  </si>
  <si>
    <t>82D</t>
  </si>
  <si>
    <t>금호VIP</t>
  </si>
  <si>
    <t>https://new.land.naver.com/complexes/22524?tab=detail&amp;rf=Y</t>
  </si>
  <si>
    <t>인천시 미추홀구 숭의동 296-18</t>
  </si>
  <si>
    <t>인천시 미추홀구 장천로14번길 14</t>
  </si>
  <si>
    <t>시티에비뉴</t>
  </si>
  <si>
    <t>2020.10.</t>
  </si>
  <si>
    <t>https://new.land.naver.com/complexes/141987?tab=detail&amp;rf=Y</t>
  </si>
  <si>
    <t>인천시 미추홀구 숭의동 182-10</t>
  </si>
  <si>
    <t>인천시 미추홀구 미추로36번길 17</t>
  </si>
  <si>
    <t>하늘(도시형)</t>
  </si>
  <si>
    <t>2014.07.</t>
  </si>
  <si>
    <t>https://new.land.naver.com/complexes/119299?tab=detail&amp;rf=Y</t>
  </si>
  <si>
    <t>인천시 미추홀구 숭의동 159-26</t>
  </si>
  <si>
    <t>인천시 미추홀구 석정로64번길 13</t>
  </si>
  <si>
    <t>박문</t>
  </si>
  <si>
    <t>1985.04.</t>
  </si>
  <si>
    <t>https://new.land.naver.com/complexes/10511?tab=detail&amp;rf=Y</t>
  </si>
  <si>
    <t>인천시 미추홀구 숭의동 84-4</t>
  </si>
  <si>
    <t>인천시 미추홀구 석정로102번길 41</t>
  </si>
  <si>
    <t>숭의아르떼노블(도시형)</t>
  </si>
  <si>
    <t>2014.02.</t>
  </si>
  <si>
    <t>27A1</t>
  </si>
  <si>
    <t>https://new.land.naver.com/complexes/106061?tab=detail&amp;rf=Y</t>
  </si>
  <si>
    <t>인천시 미추홀구 숭의동 78-9</t>
  </si>
  <si>
    <t>인천시 미추홀구 경인로 99</t>
  </si>
  <si>
    <t>27A2</t>
  </si>
  <si>
    <t>27A3</t>
  </si>
  <si>
    <t>27B</t>
  </si>
  <si>
    <t>28A7</t>
  </si>
  <si>
    <t>28A4</t>
  </si>
  <si>
    <t>28A5</t>
  </si>
  <si>
    <t>28A6</t>
  </si>
  <si>
    <t>31D</t>
  </si>
  <si>
    <t>38C</t>
  </si>
  <si>
    <t>시그니처</t>
  </si>
  <si>
    <t>2020.12.</t>
  </si>
  <si>
    <t>https://new.land.naver.com/complexes/139822?tab=detail&amp;rf=Y</t>
  </si>
  <si>
    <t>인천시 미추홀구 숭의동 33-38</t>
  </si>
  <si>
    <t>인천시 미추홀구 장천로94번길 21</t>
  </si>
  <si>
    <t>클래시아</t>
  </si>
  <si>
    <t>2019.11.</t>
  </si>
  <si>
    <t>78D</t>
  </si>
  <si>
    <t>https://new.land.naver.com/complexes/132883?tab=detail&amp;rf=Y</t>
  </si>
  <si>
    <t>인천시 미추홀구 숭의동 294-35</t>
  </si>
  <si>
    <t>인천시 미추홀구 장천로 28</t>
  </si>
  <si>
    <t>79C</t>
  </si>
  <si>
    <t>스위트파크</t>
  </si>
  <si>
    <t>https://new.land.naver.com/complexes/140052?tab=detail&amp;rf=Y</t>
  </si>
  <si>
    <t>인천시 미추홀구 숭의동 294-8</t>
  </si>
  <si>
    <t>인천시 미추홀구 장천로 26</t>
  </si>
  <si>
    <t>우진</t>
  </si>
  <si>
    <t>2002.08.</t>
  </si>
  <si>
    <t>https://new.land.naver.com/complexes/123627?tab=detail&amp;rf=Y</t>
  </si>
  <si>
    <t>인천시 미추홀구 숭의동 433-9</t>
  </si>
  <si>
    <t>인천시 미추홀구 샛골로 1-35</t>
  </si>
  <si>
    <t>15힐타운</t>
  </si>
  <si>
    <t>https://new.land.naver.com/complexes/123778?tab=detail&amp;rf=Y</t>
  </si>
  <si>
    <t>인천시 미추홀구 숭의동 148-9</t>
  </si>
  <si>
    <t>인천시 미추홀구 미추로46번길 15</t>
  </si>
  <si>
    <t>한우리</t>
  </si>
  <si>
    <t>2015.04.</t>
  </si>
  <si>
    <t>https://new.land.naver.com/complexes/126684?tab=detail&amp;rf=Y</t>
  </si>
  <si>
    <t>인천시 미추홀구 숭의동 1-10</t>
  </si>
  <si>
    <t>인천시 미추홀구 경인로 150</t>
  </si>
  <si>
    <t>66C</t>
  </si>
  <si>
    <t>더봄</t>
  </si>
  <si>
    <t>2019.07.</t>
  </si>
  <si>
    <t>https://new.land.naver.com/complexes/126974?tab=detail&amp;rf=Y</t>
  </si>
  <si>
    <t>인천시 미추홀구 숭의동 76-12</t>
  </si>
  <si>
    <t>인천시 미추홀구 경인로 94</t>
  </si>
  <si>
    <t>84C</t>
  </si>
  <si>
    <t>111A</t>
  </si>
  <si>
    <t>숭의</t>
  </si>
  <si>
    <t>2003.01.</t>
  </si>
  <si>
    <t>https://new.land.naver.com/complexes/119420?tab=detail&amp;rf=Y</t>
  </si>
  <si>
    <t>인천시 미추홀구 숭의동 301-22</t>
  </si>
  <si>
    <t>인천시 미추홀구 독배로473번길 7</t>
  </si>
  <si>
    <t>스타뷰3차</t>
  </si>
  <si>
    <t>https://new.land.naver.com/complexes/128800?tab=detail&amp;rf=Y</t>
  </si>
  <si>
    <t>인천시 미추홀구 숭의동 339-16</t>
  </si>
  <si>
    <t>인천시 미추홀구 인주대로35번길 30-15</t>
  </si>
  <si>
    <t>90A</t>
  </si>
  <si>
    <t>https://new.land.naver.com/complexes/124302?tab=detail&amp;rf=Y</t>
  </si>
  <si>
    <t>인천시 미추홀구 숭의동 169-25</t>
  </si>
  <si>
    <t>인천시 미추홀구 독배로462번길 30-7</t>
  </si>
  <si>
    <t>93B</t>
  </si>
  <si>
    <t>https://new.land.naver.com/complexes/141796?tab=detail&amp;rf=Y</t>
  </si>
  <si>
    <t>인천시 미추홀구 숭의동 331-7</t>
  </si>
  <si>
    <t>인천시 미추홀구 인주대로57번길 11-12</t>
  </si>
  <si>
    <t>다인캐슬</t>
  </si>
  <si>
    <t>https://new.land.naver.com/complexes/121610?tab=detail&amp;rf=Y</t>
  </si>
  <si>
    <t>인천시 미추홀구 숭의동 128-16</t>
  </si>
  <si>
    <t>인천시 미추홀구 미추로 62-1</t>
  </si>
  <si>
    <t>디아이빌</t>
  </si>
  <si>
    <t>2015.08.</t>
  </si>
  <si>
    <t>https://new.land.naver.com/complexes/126612?tab=detail&amp;rf=Y</t>
  </si>
  <si>
    <t>인천시 미추홀구 숭의동 121-47</t>
  </si>
  <si>
    <t>인천시 미추홀구 독정이로118번길 14</t>
  </si>
  <si>
    <t>62F</t>
  </si>
  <si>
    <t>62D</t>
  </si>
  <si>
    <t>62E</t>
  </si>
  <si>
    <t>63I</t>
  </si>
  <si>
    <t>63G</t>
  </si>
  <si>
    <t>64H</t>
  </si>
  <si>
    <t>리치하임</t>
  </si>
  <si>
    <t>2017.02.</t>
  </si>
  <si>
    <t>https://new.land.naver.com/complexes/121700?tab=detail&amp;rf=Y</t>
  </si>
  <si>
    <t>인천시 미추홀구 숭의동 404-2</t>
  </si>
  <si>
    <t>인천시 미추홀구 인중로16번길 5-33</t>
  </si>
  <si>
    <t>67B</t>
  </si>
  <si>
    <t>67D</t>
  </si>
  <si>
    <t>광해리드빌</t>
  </si>
  <si>
    <t>https://new.land.naver.com/complexes/25754?tab=detail&amp;rf=Y</t>
  </si>
  <si>
    <t>인천시 미추홀구 숭의동 159-1</t>
  </si>
  <si>
    <t>인천시 미추홀구 미추로 61</t>
  </si>
  <si>
    <t>109B</t>
  </si>
  <si>
    <t>삼성씨티</t>
  </si>
  <si>
    <t>https://new.land.naver.com/complexes/145063?tab=detail&amp;rf=Y</t>
  </si>
  <si>
    <t>인천시 미추홀구 숭의동 2-101</t>
  </si>
  <si>
    <t>인천시 미추홀구 수봉안길21번길 33</t>
  </si>
  <si>
    <t>새힘</t>
  </si>
  <si>
    <t>2016.05.</t>
  </si>
  <si>
    <t>https://new.land.naver.com/complexes/124105?tab=detail&amp;rf=Y</t>
  </si>
  <si>
    <t>인천시 미추홀구 숭의동 1-87</t>
  </si>
  <si>
    <t>인천시 미추홀구 경인로 156</t>
  </si>
  <si>
    <t>대오위드빌</t>
  </si>
  <si>
    <t>2001.12.</t>
  </si>
  <si>
    <t>74B</t>
  </si>
  <si>
    <t>https://new.land.naver.com/complexes/117900?tab=detail&amp;rf=Y</t>
  </si>
  <si>
    <t>인천시 미추홀구 숭의동 350-32</t>
  </si>
  <si>
    <t>인천시 미추홀구 인주대로11번길 8-10</t>
  </si>
  <si>
    <t>74D</t>
  </si>
  <si>
    <t>75C</t>
  </si>
  <si>
    <t>75A</t>
  </si>
  <si>
    <t>75E</t>
  </si>
  <si>
    <t>이예스아파텔</t>
  </si>
  <si>
    <t>2009.06.</t>
  </si>
  <si>
    <t>https://new.land.naver.com/complexes/101982?tab=detail&amp;rf=Y</t>
  </si>
  <si>
    <t>인천시 미추홀구 숭의동 341-10</t>
  </si>
  <si>
    <t>인천시 미추홀구 인주대로35번길 12-10</t>
  </si>
  <si>
    <t>예성</t>
  </si>
  <si>
    <t>2002.10.</t>
  </si>
  <si>
    <t>https://new.land.naver.com/complexes/11122?tab=detail&amp;rf=Y</t>
  </si>
  <si>
    <t>인천시 미추홀구 숭의동 297-8</t>
  </si>
  <si>
    <t>인천시 미추홀구 장천로6번길 24</t>
  </si>
  <si>
    <t>대호</t>
  </si>
  <si>
    <t>1971.09.</t>
  </si>
  <si>
    <t>https://new.land.naver.com/complexes/16537?tab=detail&amp;rf=Y</t>
  </si>
  <si>
    <t>인천시 미추홀구 숭의동 170-12</t>
  </si>
  <si>
    <t>인천시 미추홀구 독배로462번길 55</t>
  </si>
  <si>
    <t>56C</t>
  </si>
  <si>
    <t>56E</t>
  </si>
  <si>
    <t>56F</t>
  </si>
  <si>
    <t>67C</t>
  </si>
  <si>
    <t>73C</t>
  </si>
  <si>
    <t>89C</t>
  </si>
  <si>
    <t>91C</t>
  </si>
  <si>
    <t>100C</t>
  </si>
  <si>
    <t>107A</t>
  </si>
  <si>
    <t>108B</t>
  </si>
  <si>
    <t>신영아이폴리스1차</t>
  </si>
  <si>
    <t>2017.08.</t>
  </si>
  <si>
    <t>https://new.land.naver.com/complexes/118500?tab=detail&amp;rf=Y</t>
  </si>
  <si>
    <t>인천시 미추홀구 숭의동 146-6</t>
  </si>
  <si>
    <t>인천시 미추홀구 경인로33번길 32</t>
  </si>
  <si>
    <t>71C</t>
  </si>
  <si>
    <t>제물포(42-1)</t>
  </si>
  <si>
    <t>1978.04.</t>
  </si>
  <si>
    <t>https://new.land.naver.com/complexes/13586?tab=detail&amp;rf=Y</t>
  </si>
  <si>
    <t>인천시 미추홀구 숭의동 42-1</t>
  </si>
  <si>
    <t>인천시 미추홀구 수봉로 6-11</t>
  </si>
  <si>
    <t>56B</t>
  </si>
  <si>
    <t>한아름</t>
  </si>
  <si>
    <t>https://new.land.naver.com/complexes/119294?tab=detail&amp;rf=Y</t>
  </si>
  <si>
    <t>인천시 미추홀구 숭의동 121-12</t>
  </si>
  <si>
    <t>인천시 미추홀구 참외전로 324</t>
  </si>
  <si>
    <t>경방해피타운</t>
  </si>
  <si>
    <t>https://new.land.naver.com/complexes/126280?tab=detail&amp;rf=Y</t>
  </si>
  <si>
    <t>인천시 미추홀구 숭의동 160-38</t>
  </si>
  <si>
    <t>인천시 미추홀구 석정로50번길 21-9</t>
  </si>
  <si>
    <t>파란마을</t>
  </si>
  <si>
    <t>2005.06.</t>
  </si>
  <si>
    <t>https://new.land.naver.com/complexes/25697?tab=detail&amp;rf=Y</t>
  </si>
  <si>
    <t>인천시 미추홀구 숭의동 129-9</t>
  </si>
  <si>
    <t>인천시 미추홀구 참외전로 302</t>
  </si>
  <si>
    <t>효림파크뷰</t>
  </si>
  <si>
    <t>2016.07.</t>
  </si>
  <si>
    <t>https://new.land.naver.com/complexes/113815?tab=detail&amp;rf=Y</t>
  </si>
  <si>
    <t>인천시 미추홀구 숭의동 309-5</t>
  </si>
  <si>
    <t>인천시 미추홀구 석정로10번길 72</t>
  </si>
  <si>
    <t>솔하임</t>
  </si>
  <si>
    <t>https://new.land.naver.com/complexes/126080?tab=detail&amp;rf=Y</t>
  </si>
  <si>
    <t>인천시 미추홀구 숭의동 340-14</t>
  </si>
  <si>
    <t>인천시 미추홀구 인주대로35번길 30-24</t>
  </si>
  <si>
    <t>새빛타운</t>
  </si>
  <si>
    <t>2019.04.</t>
  </si>
  <si>
    <t>https://new.land.naver.com/complexes/125502?tab=detail&amp;rf=Y</t>
  </si>
  <si>
    <t>인천시 미추홀구 숭의동 388-2</t>
  </si>
  <si>
    <t>인천시 미추홀구 제물량로24번길 29</t>
  </si>
  <si>
    <t>77B</t>
  </si>
  <si>
    <t>미르캐슬</t>
  </si>
  <si>
    <t>2017.05.</t>
  </si>
  <si>
    <t>https://new.land.naver.com/complexes/143647?tab=detail&amp;rf=Y</t>
  </si>
  <si>
    <t>인천시 미추홀구 숭의동 66-35</t>
  </si>
  <si>
    <t>인천시 미추홀구 경인로116번길 10</t>
  </si>
  <si>
    <t>미래</t>
  </si>
  <si>
    <t>2004.02.</t>
  </si>
  <si>
    <t>https://new.land.naver.com/complexes/104487?tab=detail&amp;rf=Y</t>
  </si>
  <si>
    <t>인천시 미추홀구 숭의동 431-61</t>
  </si>
  <si>
    <t>인천시 미추홀구 샛골로 4</t>
  </si>
  <si>
    <t>쌍용라데팡스</t>
  </si>
  <si>
    <t>33A</t>
  </si>
  <si>
    <t>https://new.land.naver.com/complexes/124129?tab=detail&amp;rf=Y</t>
  </si>
  <si>
    <t>인천시 미추홀구 숭의동 303-126</t>
  </si>
  <si>
    <t>인천시 미추홀구 석정로10번길 59</t>
  </si>
  <si>
    <t>33B</t>
  </si>
  <si>
    <t>45A</t>
  </si>
  <si>
    <t>45B</t>
  </si>
  <si>
    <t>https://new.land.naver.com/complexes/113843?tab=detail&amp;rf=Y</t>
  </si>
  <si>
    <t>인천시 미추홀구 숭의동 331-5</t>
  </si>
  <si>
    <t>인천시 미추홀구 인주대로57번길 17</t>
  </si>
  <si>
    <t>동호빌</t>
  </si>
  <si>
    <t>2013.10.</t>
  </si>
  <si>
    <t>https://new.land.naver.com/complexes/134312?tab=detail&amp;rf=Y</t>
  </si>
  <si>
    <t>인천시 미추홀구 숭의동 296-80</t>
  </si>
  <si>
    <t>인천시 미추홀구 장천로8번길 20</t>
  </si>
  <si>
    <t>더프라임</t>
  </si>
  <si>
    <t>https://new.land.naver.com/complexes/134038?tab=detail&amp;rf=Y</t>
  </si>
  <si>
    <t>인천시 미추홀구 숭의동 303-189</t>
  </si>
  <si>
    <t>인천시 미추홀구 독배로473번길 12</t>
  </si>
  <si>
    <t>70A</t>
  </si>
  <si>
    <t>동인더웰</t>
  </si>
  <si>
    <t>2016.09.</t>
  </si>
  <si>
    <t>https://new.land.naver.com/complexes/133895?tab=detail&amp;rf=Y</t>
  </si>
  <si>
    <t>인천시 미추홀구 숭의동 170-1</t>
  </si>
  <si>
    <t>인천시 미추홀구 독배로462번길 3</t>
  </si>
  <si>
    <t>더미추홀퍼스트</t>
  </si>
  <si>
    <t>2020.07.</t>
  </si>
  <si>
    <t>https://new.land.naver.com/complexes/133944?tab=detail&amp;rf=Y</t>
  </si>
  <si>
    <t>인천시 미추홀구 숭의동 121-7</t>
  </si>
  <si>
    <t>인천시 미추홀구 경인로 67</t>
  </si>
  <si>
    <t>83B</t>
  </si>
  <si>
    <t>86A</t>
  </si>
  <si>
    <t>프린스</t>
  </si>
  <si>
    <t>1978.12.</t>
  </si>
  <si>
    <t>https://new.land.naver.com/complexes/14789?tab=detail&amp;rf=Y</t>
  </si>
  <si>
    <t>인천시 미추홀구 숭의동 5-5</t>
  </si>
  <si>
    <t>인천시 미추홀구 수봉안길69번길 6</t>
  </si>
  <si>
    <t>현대</t>
  </si>
  <si>
    <t>1986.08.</t>
  </si>
  <si>
    <t>https://new.land.naver.com/complexes/9220?tab=detail&amp;rf=Y</t>
  </si>
  <si>
    <t>인천시 미추홀구 숭의동 129-96</t>
  </si>
  <si>
    <t>인천시 미추홀구 독정이로 117</t>
  </si>
  <si>
    <t>더젠씨티(60-27)</t>
  </si>
  <si>
    <t>2015.11.</t>
  </si>
  <si>
    <t>https://new.land.naver.com/complexes/124866?tab=detail&amp;rf=Y</t>
  </si>
  <si>
    <t>인천시 미추홀구 숭의동 60-27</t>
  </si>
  <si>
    <t>인천시 미추홀구 경인로 117</t>
  </si>
  <si>
    <t>옥크빌</t>
  </si>
  <si>
    <t>https://new.land.naver.com/complexes/118133?tab=detail&amp;rf=Y</t>
  </si>
  <si>
    <t>인천시 미추홀구 숭의동 146-4</t>
  </si>
  <si>
    <t>인천시 미추홀구 경인로41번길 33</t>
  </si>
  <si>
    <t>대광빌리지2차</t>
  </si>
  <si>
    <t>https://new.land.naver.com/complexes/138179?tab=detail&amp;rf=Y</t>
  </si>
  <si>
    <t>인천시 미추홀구 숭의동 129-3</t>
  </si>
  <si>
    <t>인천시 미추홀구 독정이로118번길 4</t>
  </si>
  <si>
    <t>드림하우스2차</t>
  </si>
  <si>
    <t>https://new.land.naver.com/complexes/120234?tab=detail&amp;rf=Y</t>
  </si>
  <si>
    <t>인천시 미추홀구 숭의동 2-91</t>
  </si>
  <si>
    <t>인천시 미추홀구 수봉로33번길 40</t>
  </si>
  <si>
    <t>스타뷰(169-50)</t>
  </si>
  <si>
    <t>80A</t>
  </si>
  <si>
    <t>https://new.land.naver.com/complexes/123969?tab=detail&amp;rf=Y</t>
  </si>
  <si>
    <t>인천시 미추홀구 숭의동 169-50</t>
  </si>
  <si>
    <t>인천시 미추홀구 미추로19번길 21</t>
  </si>
  <si>
    <t>휴프라임</t>
  </si>
  <si>
    <t>2018.07.</t>
  </si>
  <si>
    <t>https://new.land.naver.com/complexes/131352?tab=detail&amp;rf=Y</t>
  </si>
  <si>
    <t>인천시 미추홀구 숭의동 303-1</t>
  </si>
  <si>
    <t>인천시 미추홀구 인주대로45번길 44</t>
  </si>
  <si>
    <t>90C</t>
  </si>
  <si>
    <t>2015.06.</t>
  </si>
  <si>
    <t>https://new.land.naver.com/complexes/124690?tab=detail&amp;rf=Y</t>
  </si>
  <si>
    <t>인천시 미추홀구 숭의동 118-7</t>
  </si>
  <si>
    <t>인천시 미추홀구 경인로 88</t>
  </si>
  <si>
    <t>더젠시티(187-37)</t>
  </si>
  <si>
    <t>2018.06.</t>
  </si>
  <si>
    <t>https://new.land.naver.com/complexes/122859?tab=detail&amp;rf=Y</t>
  </si>
  <si>
    <t>인천시 미추홀구 숭의동 187-37</t>
  </si>
  <si>
    <t>인천시 미추홀구 미추로 8</t>
  </si>
  <si>
    <t>소노하임</t>
  </si>
  <si>
    <t>https://new.land.naver.com/complexes/132877?tab=detail&amp;rf=Y</t>
  </si>
  <si>
    <t>인천시 미추홀구 숭의동 162-81</t>
  </si>
  <si>
    <t>인천시 미추홀구 경인로7번길 11</t>
  </si>
  <si>
    <t>더뉴캐슬</t>
  </si>
  <si>
    <t>https://new.land.naver.com/complexes/135816?tab=detail&amp;rf=Y</t>
  </si>
  <si>
    <t>인천시 미추홀구 숭의동 147-10</t>
  </si>
  <si>
    <t>인천시 미추홀구 미추로46번길 26</t>
  </si>
  <si>
    <t>스카이시티1차</t>
  </si>
  <si>
    <t>2018.04.</t>
  </si>
  <si>
    <t>99A</t>
  </si>
  <si>
    <t>https://new.land.naver.com/complexes/124934?tab=detail&amp;rf=Y</t>
  </si>
  <si>
    <t>인천시 미추홀구 숭의동 33-235</t>
  </si>
  <si>
    <t>인천시 미추홀구 장천로112번길 52</t>
  </si>
  <si>
    <t>99B</t>
  </si>
  <si>
    <t>99C</t>
  </si>
  <si>
    <t>101A</t>
  </si>
  <si>
    <t>더젠씨티(341-30)</t>
  </si>
  <si>
    <t>2017.09.</t>
  </si>
  <si>
    <t>https://new.land.naver.com/complexes/130409?tab=detail&amp;rf=Y</t>
  </si>
  <si>
    <t>인천시 미추홀구 숭의동 341-30</t>
  </si>
  <si>
    <t>인천시 미추홀구 석정로 8</t>
  </si>
  <si>
    <t>포근네스트빌</t>
  </si>
  <si>
    <t>https://new.land.naver.com/complexes/14433?tab=detail&amp;rf=Y</t>
  </si>
  <si>
    <t>인천시 미추홀구 숭의동 297-3</t>
  </si>
  <si>
    <t>인천시 미추홀구 인주대로 75</t>
  </si>
  <si>
    <t>센트럴뷰</t>
  </si>
  <si>
    <t>https://new.land.naver.com/complexes/134192?tab=detail&amp;rf=Y</t>
  </si>
  <si>
    <t>인천시 미추홀구 숭의동 303-29</t>
  </si>
  <si>
    <t>인천시 미추홀구 인주대로45번길 32</t>
  </si>
  <si>
    <t>미주</t>
  </si>
  <si>
    <t>1984.10.</t>
  </si>
  <si>
    <t>https://new.land.naver.com/complexes/11342?tab=detail&amp;rf=Y</t>
  </si>
  <si>
    <t>인천시 미추홀구 숭의동 91-13</t>
  </si>
  <si>
    <t>인천시 미추홀구 석정로150번길 30-12</t>
  </si>
  <si>
    <t>82C</t>
  </si>
  <si>
    <t>비에스리치뷰</t>
  </si>
  <si>
    <t>https://new.land.naver.com/complexes/125110?tab=detail&amp;rf=Y</t>
  </si>
  <si>
    <t>인천시 미추홀구 숭의동 170-59</t>
  </si>
  <si>
    <t>인천시 미추홀구 독배로462번길 15</t>
  </si>
  <si>
    <t>탑클래시아(도시형)</t>
  </si>
  <si>
    <t>2017.11.</t>
  </si>
  <si>
    <t>https://new.land.naver.com/complexes/120072?tab=detail&amp;rf=Y</t>
  </si>
  <si>
    <t>인천시 미추홀구 숭의동 118-18</t>
  </si>
  <si>
    <t>인천시 미추홀구 참외전로 338</t>
  </si>
  <si>
    <t>스타뷰(339-14)</t>
  </si>
  <si>
    <t>2016.08.</t>
  </si>
  <si>
    <t>https://new.land.naver.com/complexes/123855?tab=detail&amp;rf=Y</t>
  </si>
  <si>
    <t>인천시 미추홀구 숭의동 339-14</t>
  </si>
  <si>
    <t>103A</t>
  </si>
  <si>
    <t>더존</t>
  </si>
  <si>
    <t>2018.03.</t>
  </si>
  <si>
    <t>https://new.land.naver.com/complexes/120724?tab=detail&amp;rf=Y</t>
  </si>
  <si>
    <t>인천시 미추홀구 숭의동 346-35</t>
  </si>
  <si>
    <t>인천시 미추홀구 인주대로11번길 34-19</t>
  </si>
  <si>
    <t>69E</t>
  </si>
  <si>
    <t>우진3차</t>
  </si>
  <si>
    <t>2003.04.</t>
  </si>
  <si>
    <t>https://new.land.naver.com/complexes/129985?tab=detail&amp;rf=Y</t>
  </si>
  <si>
    <t>인천시 미추홀구 숭의동 309-23</t>
  </si>
  <si>
    <t>인천시 미추홀구 장천로 7-8</t>
  </si>
  <si>
    <t>숭의맨숀</t>
  </si>
  <si>
    <t>1983.10.</t>
  </si>
  <si>
    <t>https://new.land.naver.com/complexes/11633?tab=detail&amp;rf=Y</t>
  </si>
  <si>
    <t>인천시 미추홀구 숭의동 86-2</t>
  </si>
  <si>
    <t>인천시 미추홀구 석정로126번길 29</t>
  </si>
  <si>
    <t>해피드림(148-20)</t>
  </si>
  <si>
    <t>https://new.land.naver.com/complexes/145400?tab=detail&amp;rf=Y</t>
  </si>
  <si>
    <t>인천시 미추홀구 숭의동 148-20</t>
  </si>
  <si>
    <t>인천시 미추홀구 경인로41번길 3</t>
  </si>
  <si>
    <t>대준블루온</t>
  </si>
  <si>
    <t>43T-03</t>
  </si>
  <si>
    <t>https://new.land.naver.com/complexes/110163?tab=detail&amp;rf=Y</t>
  </si>
  <si>
    <t>인천시 미추홀구 숭의동 342-31</t>
  </si>
  <si>
    <t>인천시 미추홀구 제물량로24번길 85</t>
  </si>
  <si>
    <t>54T-02</t>
  </si>
  <si>
    <t>60T-02</t>
  </si>
  <si>
    <t>62T-01</t>
  </si>
  <si>
    <t>63T-04</t>
  </si>
  <si>
    <t>68T-01</t>
  </si>
  <si>
    <t>69T-03</t>
  </si>
  <si>
    <t>69T-04</t>
  </si>
  <si>
    <t>69T-05</t>
  </si>
  <si>
    <t>아이엔뷰</t>
  </si>
  <si>
    <t>https://new.land.naver.com/complexes/138691?tab=detail&amp;rf=Y</t>
  </si>
  <si>
    <t>인천시 미추홀구 숭의동 185-5</t>
  </si>
  <si>
    <t>인천시 미추홀구 경인로42번길 62-15</t>
  </si>
  <si>
    <t>76B</t>
  </si>
  <si>
    <t>77C</t>
  </si>
  <si>
    <t>동민캐슬</t>
  </si>
  <si>
    <t>2007.09.</t>
  </si>
  <si>
    <t>https://new.land.naver.com/complexes/144535?tab=detail&amp;rf=Y</t>
  </si>
  <si>
    <t>인천시 미추홀구 숭의동 169-14</t>
  </si>
  <si>
    <t>인천시 미추홀구 미추로19번길 37</t>
  </si>
  <si>
    <t>더센트로드</t>
  </si>
  <si>
    <t>2019.12.</t>
  </si>
  <si>
    <t>https://new.land.naver.com/complexes/134816?tab=detail&amp;rf=Y</t>
  </si>
  <si>
    <t>인천시 미추홀구 숭의동 147-33</t>
  </si>
  <si>
    <t>인천시 미추홀구 경인로41번길 2</t>
  </si>
  <si>
    <t>밀레니엄</t>
  </si>
  <si>
    <t>https://new.land.naver.com/complexes/127887?tab=detail&amp;rf=Y</t>
  </si>
  <si>
    <t>인천시 미추홀구 숭의동 147-5</t>
  </si>
  <si>
    <t>인천시 미추홀구 미추로46번길 34</t>
  </si>
  <si>
    <t>미소가11차</t>
  </si>
  <si>
    <t>https://new.land.naver.com/complexes/117565?tab=detail&amp;rf=Y</t>
  </si>
  <si>
    <t>인천시 미추홀구 숭의동 296-52</t>
  </si>
  <si>
    <t>인천시 미추홀구 장천로8번길 23</t>
  </si>
  <si>
    <t>제너스빌</t>
  </si>
  <si>
    <t>https://new.land.naver.com/complexes/141600?tab=detail&amp;rf=Y</t>
  </si>
  <si>
    <t>인천시 미추홀구 숭의동 3-35</t>
  </si>
  <si>
    <t>인천시 미추홀구 경인로156번길 10-12</t>
  </si>
  <si>
    <t>위드프라임</t>
  </si>
  <si>
    <t>2018.02.</t>
  </si>
  <si>
    <t>https://new.land.naver.com/complexes/131094?tab=detail&amp;rf=Y</t>
  </si>
  <si>
    <t>인천시 미추홀구 숭의동 170-11</t>
  </si>
  <si>
    <t>인천시 미추홀구 독배로 476</t>
  </si>
  <si>
    <t>한선드림시티</t>
  </si>
  <si>
    <t>https://new.land.naver.com/complexes/117250?tab=detail&amp;rf=Y</t>
  </si>
  <si>
    <t>인천시 미추홀구 숭의동 434-11</t>
  </si>
  <si>
    <t>인천시 미추홀구 인중로26번길 36</t>
  </si>
  <si>
    <t>세인트힐스</t>
  </si>
  <si>
    <t>https://new.land.naver.com/complexes/120154?tab=detail&amp;rf=Y</t>
  </si>
  <si>
    <t>인천시 미추홀구 숭의동 68-20</t>
  </si>
  <si>
    <t>인천시 미추홀구 경인로98번길 3-8</t>
  </si>
  <si>
    <t>봉재3차</t>
  </si>
  <si>
    <t>https://new.land.naver.com/complexes/123424?tab=detail&amp;rf=Y</t>
  </si>
  <si>
    <t>인천시 미추홀구 숭의동 121-32</t>
  </si>
  <si>
    <t>인천시 미추홀구 독정이로118번길 16</t>
  </si>
  <si>
    <t>아르누보</t>
  </si>
  <si>
    <t>2018.11.</t>
  </si>
  <si>
    <t>https://new.land.naver.com/complexes/124751?tab=detail&amp;rf=Y</t>
  </si>
  <si>
    <t>인천시 미추홀구 숭의동 158-31</t>
  </si>
  <si>
    <t>인천시 미추홀구 미추로 50</t>
  </si>
  <si>
    <t>세움캐슬</t>
  </si>
  <si>
    <t>https://new.land.naver.com/complexes/120735?tab=detail&amp;rf=Y</t>
  </si>
  <si>
    <t>인천시 미추홀구 숭의동 164-17</t>
  </si>
  <si>
    <t>인천시 미추홀구 독배로 496</t>
  </si>
  <si>
    <t>77A</t>
  </si>
  <si>
    <t>썬에이스빌</t>
  </si>
  <si>
    <t>https://new.land.naver.com/complexes/11521?tab=detail&amp;rf=Y</t>
  </si>
  <si>
    <t>인천시 미추홀구 숭의동 353-8</t>
  </si>
  <si>
    <t>인천시 미추홀구 인중로 25</t>
  </si>
  <si>
    <t>스카이시티2차</t>
  </si>
  <si>
    <t>https://new.land.naver.com/complexes/124938?tab=detail&amp;rf=Y</t>
  </si>
  <si>
    <t>인천시 미추홀구 숭의동 33-234</t>
  </si>
  <si>
    <t>인천시 미추홀구 장천로112번길 44</t>
  </si>
  <si>
    <t>비바시티</t>
  </si>
  <si>
    <t>https://new.land.naver.com/complexes/143668?tab=detail&amp;rf=Y</t>
  </si>
  <si>
    <t>인천시 미추홀구 숭의동 166-30</t>
  </si>
  <si>
    <t>인천시 미추홀구 독배로492번길 24</t>
  </si>
  <si>
    <t>리치하임2차</t>
  </si>
  <si>
    <t>https://new.land.naver.com/complexes/122482?tab=detail&amp;rf=Y</t>
  </si>
  <si>
    <t>인천시 미추홀구 숭의동 346-6</t>
  </si>
  <si>
    <t>인천시 미추홀구 인주대로11번길 38</t>
  </si>
  <si>
    <t>69D</t>
  </si>
  <si>
    <t>70C</t>
  </si>
  <si>
    <t>우진5차</t>
  </si>
  <si>
    <t>2004.01.</t>
  </si>
  <si>
    <t>https://new.land.naver.com/complexes/116168?tab=detail&amp;rf=Y</t>
  </si>
  <si>
    <t>인천시 미추홀구 숭의동 433-8</t>
  </si>
  <si>
    <t>인천시 미추홀구 샛골로 1-39</t>
  </si>
  <si>
    <t>명가타워</t>
  </si>
  <si>
    <t>https://new.land.naver.com/complexes/120356?tab=detail&amp;rf=Y</t>
  </si>
  <si>
    <t>인천시 미추홀구 숭의동 160-95</t>
  </si>
  <si>
    <t>인천시 미추홀구 경인로7번길 42</t>
  </si>
  <si>
    <t>퍼스트</t>
  </si>
  <si>
    <t>https://new.land.naver.com/complexes/130297?tab=detail&amp;rf=Y</t>
  </si>
  <si>
    <t>인천시 미추홀구 숭의동 121-5</t>
  </si>
  <si>
    <t>인천시 미추홀구 경인로 71</t>
  </si>
  <si>
    <t>다우림2차(도시형)</t>
  </si>
  <si>
    <t>https://new.land.naver.com/complexes/118164?tab=detail&amp;rf=Y</t>
  </si>
  <si>
    <t>인천시 미추홀구 숭의동 147-63</t>
  </si>
  <si>
    <t>인천시 미추홀구 미추로46번길 23</t>
  </si>
  <si>
    <t>75D</t>
  </si>
  <si>
    <t>76E</t>
  </si>
  <si>
    <t>태양</t>
  </si>
  <si>
    <t>1984.02.</t>
  </si>
  <si>
    <t>https://new.land.naver.com/complexes/14788?tab=detail&amp;rf=Y</t>
  </si>
  <si>
    <t>인천시 미추홀구 숭의동 1-194</t>
  </si>
  <si>
    <t>인천시 미추홀구 경인로142번길 41</t>
  </si>
  <si>
    <t>다우림(1-11)</t>
  </si>
  <si>
    <t>https://new.land.naver.com/complexes/123328?tab=detail&amp;rf=Y</t>
  </si>
  <si>
    <t>인천시 미추홀구 숭의동 1-11</t>
  </si>
  <si>
    <t>인천시 미추홀구 경인로 148</t>
  </si>
  <si>
    <t>삼화(동아)</t>
  </si>
  <si>
    <t>1998.05.</t>
  </si>
  <si>
    <t>https://new.land.naver.com/complexes/10805?tab=detail&amp;rf=Y</t>
  </si>
  <si>
    <t>인천시 미추홀구 숭의동 294-11</t>
  </si>
  <si>
    <t>인천시 미추홀구 독배로 443</t>
  </si>
  <si>
    <t>117A</t>
  </si>
  <si>
    <t>117B</t>
  </si>
  <si>
    <t>237A</t>
  </si>
  <si>
    <t>238B</t>
  </si>
  <si>
    <t>라임카운티</t>
  </si>
  <si>
    <t>2015.02.</t>
  </si>
  <si>
    <t>https://new.land.naver.com/complexes/122273?tab=detail&amp;rf=Y</t>
  </si>
  <si>
    <t>인천시 미추홀구 숭의동 68-26</t>
  </si>
  <si>
    <t>인천시 미추홀구 경인로 102</t>
  </si>
  <si>
    <t>70E</t>
  </si>
  <si>
    <t>CY팰리스</t>
  </si>
  <si>
    <t>2011.06.</t>
  </si>
  <si>
    <t>https://new.land.naver.com/complexes/126868?tab=detail&amp;rf=Y</t>
  </si>
  <si>
    <t>인천시 미추홀구 숭의동 148-11</t>
  </si>
  <si>
    <t>인천시 미추홀구 미추로46번길 11</t>
  </si>
  <si>
    <t>73A</t>
  </si>
  <si>
    <t>퍼스트힐</t>
  </si>
  <si>
    <t>2019.09.</t>
  </si>
  <si>
    <t>https://new.land.naver.com/complexes/142119?tab=detail&amp;rf=Y</t>
  </si>
  <si>
    <t>인천시 미추홀구 숭의동 302-17</t>
  </si>
  <si>
    <t>인천시 미추홀구 독배로473번길 23</t>
  </si>
  <si>
    <t>한화꿈에그린</t>
  </si>
  <si>
    <t>2007.02.</t>
  </si>
  <si>
    <t>https://new.land.naver.com/complexes/22572?tab=detail&amp;rf=Y</t>
  </si>
  <si>
    <t>인천시 미추홀구 숭의동 86-1</t>
  </si>
  <si>
    <t>인천시 미추홀구 석정로126번길 23</t>
  </si>
  <si>
    <t>105B</t>
  </si>
  <si>
    <t>스카이시티3차</t>
  </si>
  <si>
    <t>2020.06.</t>
  </si>
  <si>
    <t>https://new.land.naver.com/complexes/141763?tab=detail&amp;rf=Y</t>
  </si>
  <si>
    <t>인천시 미추홀구 숭의동 33-236</t>
  </si>
  <si>
    <t>인천시 미추홀구 장천로112번길 34</t>
  </si>
  <si>
    <t>101E</t>
  </si>
  <si>
    <t>101D</t>
  </si>
  <si>
    <t>102C</t>
  </si>
  <si>
    <t>다우림(283-23)</t>
  </si>
  <si>
    <t>https://new.land.naver.com/complexes/144646?tab=detail&amp;rf=Y</t>
  </si>
  <si>
    <t>인천시 미추홀구 숭의동 283-23</t>
  </si>
  <si>
    <t>인천시 미추홀구 독배로446번길 7</t>
  </si>
  <si>
    <t>다복</t>
  </si>
  <si>
    <t>1976.06.</t>
  </si>
  <si>
    <t>53A</t>
  </si>
  <si>
    <t>https://new.land.naver.com/complexes/16524?tab=detail&amp;rf=Y</t>
  </si>
  <si>
    <t>인천시 미추홀구 숭의동 129-83</t>
  </si>
  <si>
    <t>인천시 미추홀구 독정이로 113</t>
  </si>
  <si>
    <t>53B</t>
  </si>
  <si>
    <t>53C</t>
  </si>
  <si>
    <t>54D</t>
  </si>
  <si>
    <t>54E</t>
  </si>
  <si>
    <t>54F</t>
  </si>
  <si>
    <t>솔라리움(도시형)</t>
  </si>
  <si>
    <t>2013.11.</t>
  </si>
  <si>
    <t>https://new.land.naver.com/complexes/108262?tab=detail&amp;rf=Y</t>
  </si>
  <si>
    <t>인천시 미추홀구 숭의동 148-7</t>
  </si>
  <si>
    <t>인천시 미추홀구 경인로41번길 15</t>
  </si>
  <si>
    <t>동일</t>
  </si>
  <si>
    <t>1978.11.</t>
  </si>
  <si>
    <t>https://new.land.naver.com/complexes/14787?tab=detail&amp;rf=Y</t>
  </si>
  <si>
    <t>인천시 미추홀구 숭의동 2-95</t>
  </si>
  <si>
    <t>인천시 미추홀구 수봉안길69번길 34</t>
  </si>
  <si>
    <t>행복한형우홈타워</t>
  </si>
  <si>
    <t>https://new.land.naver.com/complexes/126129?tab=detail&amp;rf=Y</t>
  </si>
  <si>
    <t>인천시 미추홀구 숭의동 2-76</t>
  </si>
  <si>
    <t>인천시 미추홀구 경인로144번길 35-17</t>
  </si>
  <si>
    <t>두산위브더제니스센트럴여의</t>
  </si>
  <si>
    <t>2025.06.</t>
  </si>
  <si>
    <t>https://new.land.naver.com/complexes/145047?tab=detail&amp;rf=Y</t>
  </si>
  <si>
    <t>인천시 미추홀구 숭의동 232-1번지 일원</t>
  </si>
  <si>
    <t>인천시 미추홀구 독정이로82번길 32</t>
  </si>
  <si>
    <t>97A</t>
  </si>
  <si>
    <t>97B</t>
  </si>
  <si>
    <t>97C</t>
  </si>
  <si>
    <t>112B</t>
  </si>
  <si>
    <t>113C</t>
  </si>
  <si>
    <t>해피드림(187-35)</t>
  </si>
  <si>
    <t>2016.02.</t>
  </si>
  <si>
    <t>https://new.land.naver.com/complexes/143694?tab=detail&amp;rf=Y</t>
  </si>
  <si>
    <t>인천시 미추홀구 숭의동 187-35</t>
  </si>
  <si>
    <t>인천시 미추홀구 미추로 14</t>
  </si>
  <si>
    <t>선광</t>
  </si>
  <si>
    <t>1996.05.</t>
  </si>
  <si>
    <t>122B</t>
  </si>
  <si>
    <t>https://new.land.naver.com/complexes/13495?tab=detail&amp;rf=Y</t>
  </si>
  <si>
    <t>인천시 미추홀구 숭의동 341-8</t>
  </si>
  <si>
    <t>인천시 미추홀구 인주대로35번길 2</t>
  </si>
  <si>
    <t>122A</t>
  </si>
  <si>
    <t>진흥그린</t>
  </si>
  <si>
    <t>2012.10.</t>
  </si>
  <si>
    <t>https://new.land.naver.com/complexes/105754?tab=detail&amp;rf=Y</t>
  </si>
  <si>
    <t>인천시 미추홀구 숭의동 302-58</t>
  </si>
  <si>
    <t>인천시 미추홀구 석정로10번길 73</t>
  </si>
  <si>
    <t>스위트리아</t>
  </si>
  <si>
    <t>https://new.land.naver.com/complexes/117243?tab=detail&amp;rf=Y</t>
  </si>
  <si>
    <t>인천시 미추홀구 숭의동 432-13</t>
  </si>
  <si>
    <t>인천시 미추홀구 샛골로 1-14</t>
  </si>
  <si>
    <t>더스테이프라임월드</t>
  </si>
  <si>
    <t>2020.04.</t>
  </si>
  <si>
    <t>https://new.land.naver.com/complexes/130962?tab=detail&amp;rf=Y</t>
  </si>
  <si>
    <t>인천시 미추홀구 숭의동 331-12</t>
  </si>
  <si>
    <t>인천시 미추홀구 인주대로 51</t>
  </si>
  <si>
    <t>38B</t>
  </si>
  <si>
    <t>39A</t>
  </si>
  <si>
    <t>한빛</t>
  </si>
  <si>
    <t>2002.02.</t>
  </si>
  <si>
    <t>https://new.land.naver.com/complexes/123678?tab=detail&amp;rf=Y</t>
  </si>
  <si>
    <t>인천시 미추홀구 숭의동 148-26</t>
  </si>
  <si>
    <t>인천시 미추홀구 미추로46번길 14</t>
  </si>
  <si>
    <t>새움</t>
  </si>
  <si>
    <t>https://new.land.naver.com/complexes/125279?tab=detail&amp;rf=Y</t>
  </si>
  <si>
    <t>인천시 미추홀구 숭의동 168-7</t>
  </si>
  <si>
    <t>인천시 미추홀구 미추로27번길 19</t>
  </si>
  <si>
    <t>미송</t>
  </si>
  <si>
    <t>2008.03.</t>
  </si>
  <si>
    <t>https://new.land.naver.com/complexes/120161?tab=detail&amp;rf=Y</t>
  </si>
  <si>
    <t>인천시 미추홀구 숭의동 296-57</t>
  </si>
  <si>
    <t>인천시 미추홀구 장천로8번길 15</t>
  </si>
  <si>
    <t>해피드림(187-1)</t>
  </si>
  <si>
    <t>https://new.land.naver.com/complexes/116571?tab=detail&amp;rf=Y</t>
  </si>
  <si>
    <t>인천시 미추홀구 숭의동 187-1</t>
  </si>
  <si>
    <t>인천시 미추홀구 미추로 2</t>
  </si>
  <si>
    <t>다송캐슬</t>
  </si>
  <si>
    <t>https://new.land.naver.com/complexes/122862?tab=detail&amp;rf=Y</t>
  </si>
  <si>
    <t>인천시 미추홀구 숭의동 80-4</t>
  </si>
  <si>
    <t>인천시 미추홀구 경인로 111</t>
  </si>
  <si>
    <t>스카이스테이트</t>
  </si>
  <si>
    <t>2017.10.</t>
  </si>
  <si>
    <t>https://new.land.naver.com/complexes/119287?tab=detail&amp;rf=Y</t>
  </si>
  <si>
    <t>인천시 미추홀구 숭의동 1-33</t>
  </si>
  <si>
    <t>인천시 미추홀구 경인로 158</t>
  </si>
  <si>
    <t>진성투토펠리체</t>
  </si>
  <si>
    <t>https://new.land.naver.com/complexes/122695?tab=detail&amp;rf=Y</t>
  </si>
  <si>
    <t>인천시 미추홀구 숭의동 346-5</t>
  </si>
  <si>
    <t>인천시 미추홀구 인주대로11번길 42</t>
  </si>
  <si>
    <t>제물포(53-24)</t>
  </si>
  <si>
    <t>1983.06.</t>
  </si>
  <si>
    <t>https://new.land.naver.com/complexes/10503?tab=detail&amp;rf=Y</t>
  </si>
  <si>
    <t>인천시 미추홀구 숭의동 53-24</t>
  </si>
  <si>
    <t>인천시 미추홀구 수봉로 7</t>
  </si>
  <si>
    <t>한승타워</t>
  </si>
  <si>
    <t>https://new.land.naver.com/complexes/134386?tab=detail&amp;rf=Y</t>
  </si>
  <si>
    <t>인천시 미추홀구 숭의동 68-3</t>
  </si>
  <si>
    <t>인천시 미추홀구 경인로106번길 2</t>
  </si>
  <si>
    <t>온누리</t>
  </si>
  <si>
    <t>https://new.land.naver.com/complexes/112756?tab=detail&amp;rf=Y</t>
  </si>
  <si>
    <t>인천시 미추홀구 숭의동 148-2</t>
  </si>
  <si>
    <t>인천시 미추홀구 경인로41번길 23</t>
  </si>
  <si>
    <t>다인리치뷰</t>
  </si>
  <si>
    <t>https://new.land.naver.com/complexes/118150?tab=detail&amp;rf=Y</t>
  </si>
  <si>
    <t>인천시 미추홀구 숭의동 129-67</t>
  </si>
  <si>
    <t>인천시 미추홀구 독정이로 114</t>
  </si>
  <si>
    <t>다우림(146-30)</t>
  </si>
  <si>
    <t>https://new.land.naver.com/complexes/114658?tab=detail&amp;rf=Y</t>
  </si>
  <si>
    <t>인천시 미추홀구 숭의동 146-30</t>
  </si>
  <si>
    <t>인천시 미추홀구 경인로41번길 18-11</t>
  </si>
  <si>
    <t>https://new.land.naver.com/complexes/121056?tab=detail&amp;rf=Y</t>
  </si>
  <si>
    <t>인천시 미추홀구 숭의동 296-37</t>
  </si>
  <si>
    <t>인천시 미추홀구 장천로6번길 11</t>
  </si>
  <si>
    <t>2014.01.</t>
  </si>
  <si>
    <t>https://new.land.naver.com/complexes/125953?tab=detail&amp;rf=Y</t>
  </si>
  <si>
    <t>인천시 미추홀구 숭의동 162-4</t>
  </si>
  <si>
    <t>인천시 미추홀구 석정로50번길 12</t>
  </si>
  <si>
    <t>제일행복해</t>
  </si>
  <si>
    <t>https://new.land.naver.com/complexes/135008?tab=detail&amp;rf=Y</t>
  </si>
  <si>
    <t>인천시 미추홀구 숭의동 171-9</t>
  </si>
  <si>
    <t>인천시 미추홀구 미추로 7</t>
  </si>
  <si>
    <t>한마음</t>
  </si>
  <si>
    <t>https://new.land.naver.com/complexes/115554?tab=detail&amp;rf=Y</t>
  </si>
  <si>
    <t>인천시 미추홀구 숭의동 353-22</t>
  </si>
  <si>
    <t>인천시 미추홀구 인중로 19</t>
  </si>
  <si>
    <t>한림가우디</t>
  </si>
  <si>
    <t>https://new.land.naver.com/complexes/132863?tab=detail&amp;rf=Y</t>
  </si>
  <si>
    <t>인천시 미추홀구 숭의동 147-51</t>
  </si>
  <si>
    <t>인천시 미추홀구 미추로46번길 31-6</t>
  </si>
  <si>
    <t>행복</t>
  </si>
  <si>
    <t>https://new.land.naver.com/complexes/127603?tab=detail&amp;rf=Y</t>
  </si>
  <si>
    <t>인천시 미추홀구 숭의동 158-18</t>
  </si>
  <si>
    <t>인천시 미추홀구 경인로 33</t>
  </si>
  <si>
    <t>다우림3차</t>
  </si>
  <si>
    <t>https://new.land.naver.com/complexes/122689?tab=detail&amp;rf=Y</t>
  </si>
  <si>
    <t>인천시 미추홀구 숭의동 171-8</t>
  </si>
  <si>
    <t>인천시 미추홀구 미추로 9</t>
  </si>
  <si>
    <t>대준블루온2차</t>
  </si>
  <si>
    <t>https://new.land.naver.com/complexes/122500?tab=detail&amp;rf=Y</t>
  </si>
  <si>
    <t>인천시 미추홀구 숭의동 331-14</t>
  </si>
  <si>
    <t>인천시 미추홀구 석정로10번길 42</t>
  </si>
  <si>
    <t>76A</t>
  </si>
  <si>
    <t>프라임시티</t>
  </si>
  <si>
    <t>https://new.land.naver.com/complexes/137949?tab=detail&amp;rf=Y</t>
  </si>
  <si>
    <t>인천시 미추홀구 숭의동 165-13</t>
  </si>
  <si>
    <t>인천시 미추홀구 미추로 31-1</t>
  </si>
  <si>
    <t>다우림(201동)</t>
  </si>
  <si>
    <t>https://new.land.naver.com/complexes/131586?tab=detail&amp;rf=Y</t>
  </si>
  <si>
    <t>인천시 미추홀구 숭의동 182-4</t>
  </si>
  <si>
    <t>인천시 미추홀구 경인로 38</t>
  </si>
  <si>
    <t>극동</t>
  </si>
  <si>
    <t>1997.10.</t>
  </si>
  <si>
    <t>https://new.land.naver.com/complexes/10510?tab=detail&amp;rf=Y</t>
  </si>
  <si>
    <t>인천시 미추홀구 숭의동 84-1</t>
  </si>
  <si>
    <t>인천시 미추홀구 석정로126번길 12-33</t>
  </si>
  <si>
    <t>https://new.land.naver.com/complexes/14183?tab=detail&amp;rf=Y</t>
  </si>
  <si>
    <t>인천시 미추홀구 숭의동 5-79</t>
  </si>
  <si>
    <t>인천시 미추홀구 수봉로33번길 102-94</t>
  </si>
  <si>
    <t>더원씨티</t>
  </si>
  <si>
    <t>59A</t>
  </si>
  <si>
    <t>https://new.land.naver.com/complexes/124813?tab=detail&amp;rf=Y</t>
  </si>
  <si>
    <t>인천시 미추홀구 숭의동 82-3</t>
  </si>
  <si>
    <t>인천시 미추홀구 석정로102번길 9-11</t>
  </si>
  <si>
    <t>60C</t>
  </si>
  <si>
    <t>J&amp;J팰리스</t>
  </si>
  <si>
    <t>https://new.land.naver.com/complexes/118258?tab=detail&amp;rf=Y</t>
  </si>
  <si>
    <t>인천시 미추홀구 숭의동 339-6</t>
  </si>
  <si>
    <t>인천시 미추홀구 인주대로45번길 39-1</t>
  </si>
  <si>
    <t>더휴펠리스</t>
  </si>
  <si>
    <t>https://new.land.naver.com/complexes/142282?tab=detail&amp;rf=Y</t>
  </si>
  <si>
    <t>인천시 미추홀구 숭의동 128-5</t>
  </si>
  <si>
    <t>인천시 미추홀구 석정로76번길 12</t>
  </si>
  <si>
    <t>74C</t>
  </si>
  <si>
    <t>더젠씨티(117-7)</t>
  </si>
  <si>
    <t>https://new.land.naver.com/complexes/122950?tab=detail&amp;rf=Y</t>
  </si>
  <si>
    <t>인천시 미추홀구 숭의동 117-7</t>
  </si>
  <si>
    <t>인천시 미추홀구 독정이로118번길 31</t>
  </si>
  <si>
    <t>64E</t>
  </si>
  <si>
    <t>65F</t>
  </si>
  <si>
    <t>메트로칸</t>
  </si>
  <si>
    <t>https://new.land.naver.com/complexes/121881?tab=detail&amp;rf=Y</t>
  </si>
  <si>
    <t>인천시 미추홀구 숭의동 148-58</t>
  </si>
  <si>
    <t>인천시 미추홀구 미추로58번길 12</t>
  </si>
  <si>
    <t>한양</t>
  </si>
  <si>
    <t>https://new.land.naver.com/complexes/101510?tab=detail&amp;rf=Y</t>
  </si>
  <si>
    <t>인천시 미추홀구 숭의동 248-168</t>
  </si>
  <si>
    <t>인천시 미추홀구 독정안길 64-12</t>
  </si>
  <si>
    <t>[용현동]</t>
  </si>
  <si>
    <t>리젠빌3차</t>
  </si>
  <si>
    <t>https://new.land.naver.com/complexes/134486?tab=detail&amp;rf=Y</t>
  </si>
  <si>
    <t>인천시 미추홀구 용현동 621-99</t>
  </si>
  <si>
    <t>용현동</t>
  </si>
  <si>
    <t>인천시 미추홀구 토금남로33번길 13</t>
  </si>
  <si>
    <t>금호어울림4단지</t>
  </si>
  <si>
    <t>2010.12.</t>
  </si>
  <si>
    <t>https://new.land.naver.com/complexes/27080?tab=detail&amp;rf=Y</t>
  </si>
  <si>
    <t>인천시 미추홀구 용현동 653</t>
  </si>
  <si>
    <t>인천시 미추홀구 토금중로 60</t>
  </si>
  <si>
    <t>태웅</t>
  </si>
  <si>
    <t>https://new.land.naver.com/complexes/13561?tab=detail&amp;rf=Y</t>
  </si>
  <si>
    <t>인천시 미추홀구 용현동 624-23</t>
  </si>
  <si>
    <t>인천시 미추홀구 토금북로17번길 17</t>
  </si>
  <si>
    <t>용현자이크레스트</t>
  </si>
  <si>
    <t>2023.11.</t>
  </si>
  <si>
    <t>https://new.land.naver.com/complexes/142022?tab=detail&amp;rf=Y</t>
  </si>
  <si>
    <t>인천시 미추홀구 용현동 535-1번지 일원</t>
  </si>
  <si>
    <t>102D</t>
  </si>
  <si>
    <t>115A</t>
  </si>
  <si>
    <t>청원</t>
  </si>
  <si>
    <t>https://new.land.naver.com/complexes/13163?tab=detail&amp;rf=Y</t>
  </si>
  <si>
    <t>인천시 미추홀구 용현동 463-49</t>
  </si>
  <si>
    <t>인천시 미추홀구 인주대로 105-1</t>
  </si>
  <si>
    <t>인천용현엑슬루타워</t>
  </si>
  <si>
    <t>2011.09.</t>
  </si>
  <si>
    <t>https://new.land.naver.com/complexes/100510?tab=detail&amp;rf=Y</t>
  </si>
  <si>
    <t>인천시 미추홀구 용현동 659</t>
  </si>
  <si>
    <t>인천시 미추홀구 아암대로29번길 16</t>
  </si>
  <si>
    <t>용현유원</t>
  </si>
  <si>
    <t>1989.10.</t>
  </si>
  <si>
    <t>https://new.land.naver.com/complexes/2419?tab=detail&amp;rf=Y</t>
  </si>
  <si>
    <t>인천시 미추홀구 용현동 557-1</t>
  </si>
  <si>
    <t>인천시 미추홀구 낙섬중로 102</t>
  </si>
  <si>
    <t>프라임씨티</t>
  </si>
  <si>
    <t>104A</t>
  </si>
  <si>
    <t>https://new.land.naver.com/complexes/129968?tab=detail&amp;rf=Y</t>
  </si>
  <si>
    <t>인천시 미추홀구 용현동 624-79</t>
  </si>
  <si>
    <t>인천시 미추홀구 아암대로53번길 41</t>
  </si>
  <si>
    <t>대진(129-17)</t>
  </si>
  <si>
    <t>2004.06.</t>
  </si>
  <si>
    <t>https://new.land.naver.com/complexes/110952?tab=detail&amp;rf=Y</t>
  </si>
  <si>
    <t>인천시 미추홀구 용현동 129-17</t>
  </si>
  <si>
    <t>인천시 미추홀구 수봉남로6번길 52-10</t>
  </si>
  <si>
    <t>67P-2</t>
  </si>
  <si>
    <t>https://new.land.naver.com/complexes/117280?tab=detail&amp;rf=Y</t>
  </si>
  <si>
    <t>인천시 미추홀구 용현동 490-37</t>
  </si>
  <si>
    <t>인천시 미추홀구 인주대로 149</t>
  </si>
  <si>
    <t>67P-3</t>
  </si>
  <si>
    <t>68P-4</t>
  </si>
  <si>
    <t>68P-5</t>
  </si>
  <si>
    <t>69P-1</t>
  </si>
  <si>
    <t>69P-6</t>
  </si>
  <si>
    <t>용마루</t>
  </si>
  <si>
    <t>https://new.land.naver.com/complexes/123101?tab=detail&amp;rf=Y</t>
  </si>
  <si>
    <t>인천시 미추홀구 용현동 475-1</t>
  </si>
  <si>
    <t>인천시 미추홀구 인주대로94번길 2</t>
  </si>
  <si>
    <t>연지휴</t>
  </si>
  <si>
    <t>https://new.land.naver.com/complexes/120697?tab=detail&amp;rf=Y</t>
  </si>
  <si>
    <t>인천시 미추홀구 용현동 490-35</t>
  </si>
  <si>
    <t>인천시 미추홀구 인주대로153번길 5</t>
  </si>
  <si>
    <t>비에스뷰</t>
  </si>
  <si>
    <t>2016.10.</t>
  </si>
  <si>
    <t>https://new.land.naver.com/complexes/114697?tab=detail&amp;rf=Y</t>
  </si>
  <si>
    <t>인천시 미추홀구 용현동 491-49</t>
  </si>
  <si>
    <t>인천시 미추홀구 인주대로 143</t>
  </si>
  <si>
    <t>77D</t>
  </si>
  <si>
    <t>윤성</t>
  </si>
  <si>
    <t>1993.06.</t>
  </si>
  <si>
    <t>https://new.land.naver.com/complexes/2420?tab=detail&amp;rf=Y</t>
  </si>
  <si>
    <t>인천시 미추홀구 용현동 627-457</t>
  </si>
  <si>
    <t>인천시 미추홀구 매소홀로 143</t>
  </si>
  <si>
    <t>진달래</t>
  </si>
  <si>
    <t>https://new.land.naver.com/complexes/11751?tab=detail&amp;rf=Y</t>
  </si>
  <si>
    <t>인천시 미추홀구 용현동 568-2</t>
  </si>
  <si>
    <t>인천시 미추홀구 낙섬중로 113</t>
  </si>
  <si>
    <t>용현엠코타운</t>
  </si>
  <si>
    <t>2011.04.</t>
  </si>
  <si>
    <t>https://new.land.naver.com/complexes/102348?tab=detail&amp;rf=Y</t>
  </si>
  <si>
    <t>인천시 미추홀구 용현동 656</t>
  </si>
  <si>
    <t>인천시 미추홀구 토금북로 56</t>
  </si>
  <si>
    <t>108C</t>
  </si>
  <si>
    <t>111D</t>
  </si>
  <si>
    <t>금성</t>
  </si>
  <si>
    <t>https://new.land.naver.com/complexes/124770?tab=detail&amp;rf=Y</t>
  </si>
  <si>
    <t>인천시 미추홀구 용현동 629-21</t>
  </si>
  <si>
    <t>인천시 미추홀구 토금남로13번길 7-6</t>
  </si>
  <si>
    <t>금호어울림3단지</t>
  </si>
  <si>
    <t>2010.09.</t>
  </si>
  <si>
    <t>https://new.land.naver.com/complexes/27897?tab=detail&amp;rf=Y</t>
  </si>
  <si>
    <t>인천시 미추홀구 용현동 652</t>
  </si>
  <si>
    <t>인천시 미추홀구 낙섬동로 51</t>
  </si>
  <si>
    <t>새한(181-4)</t>
  </si>
  <si>
    <t>1982.12.</t>
  </si>
  <si>
    <t>https://new.land.naver.com/complexes/14080?tab=detail&amp;rf=Y</t>
  </si>
  <si>
    <t>인천시 미추홀구 용현동 181-4</t>
  </si>
  <si>
    <t>인천시 미추홀구 인하로77번길 28</t>
  </si>
  <si>
    <t>https://new.land.naver.com/complexes/113681?tab=detail&amp;rf=Y</t>
  </si>
  <si>
    <t>인천시 미추홀구 용현동 463-27</t>
  </si>
  <si>
    <t>인천시 미추홀구 인주대로 93-10</t>
  </si>
  <si>
    <t>용현국민</t>
  </si>
  <si>
    <t>https://new.land.naver.com/complexes/9693?tab=detail&amp;rf=Y</t>
  </si>
  <si>
    <t>인천시 미추홀구 용현동 577-2</t>
  </si>
  <si>
    <t>인천시 미추홀구 용오로 54</t>
  </si>
  <si>
    <t>부성로얄</t>
  </si>
  <si>
    <t>1987.11.</t>
  </si>
  <si>
    <t>https://new.land.naver.com/complexes/8109?tab=detail&amp;rf=Y</t>
  </si>
  <si>
    <t>인천시 미추홀구 용현동 615-2</t>
  </si>
  <si>
    <t>인천시 미추홀구 낙섬동로 50</t>
  </si>
  <si>
    <t>https://new.land.naver.com/complexes/130539?tab=detail&amp;rf=Y</t>
  </si>
  <si>
    <t>인천시 미추홀구 용현동 624-18</t>
  </si>
  <si>
    <t>인천시 미추홀구 아암대로53번길 33</t>
  </si>
  <si>
    <t>코지팰리스(490-85)</t>
  </si>
  <si>
    <t>https://new.land.naver.com/complexes/128473?tab=detail&amp;rf=Y</t>
  </si>
  <si>
    <t>인천시 미추홀구 용현동 490-85</t>
  </si>
  <si>
    <t>인천시 미추홀구 독정이로9번길 19</t>
  </si>
  <si>
    <t>78E</t>
  </si>
  <si>
    <t>넥스빌</t>
  </si>
  <si>
    <t>https://new.land.naver.com/complexes/118869?tab=detail&amp;rf=Y</t>
  </si>
  <si>
    <t>인천시 미추홀구 용현동 630-7</t>
  </si>
  <si>
    <t>인천시 미추홀구 아암대로 101</t>
  </si>
  <si>
    <t>한양2차</t>
  </si>
  <si>
    <t>1992.07.</t>
  </si>
  <si>
    <t>https://new.land.naver.com/complexes/2423?tab=detail&amp;rf=Y</t>
  </si>
  <si>
    <t>인천시 미추홀구 용현동 627-105</t>
  </si>
  <si>
    <t>인천시 미추홀구 매소홀로 23-42</t>
  </si>
  <si>
    <t>대진(574-3)</t>
  </si>
  <si>
    <t>1989.06.</t>
  </si>
  <si>
    <t>https://new.land.naver.com/complexes/9830?tab=detail&amp;rf=Y</t>
  </si>
  <si>
    <t>인천시 미추홀구 용현동 574-3</t>
  </si>
  <si>
    <t>인천시 미추홀구 능해길46번길 38</t>
  </si>
  <si>
    <t>선우2차</t>
  </si>
  <si>
    <t>2003.09.</t>
  </si>
  <si>
    <t>https://new.land.naver.com/complexes/122723?tab=detail&amp;rf=Y</t>
  </si>
  <si>
    <t>인천시 미추홀구 용현동 488-46</t>
  </si>
  <si>
    <t>인천시 미추홀구 인주대로84번길 8</t>
  </si>
  <si>
    <t>한양1차</t>
  </si>
  <si>
    <t>1990.12.</t>
  </si>
  <si>
    <t>https://new.land.naver.com/complexes/2422?tab=detail&amp;rf=Y</t>
  </si>
  <si>
    <t>인천시 미추홀구 용현동 627-78</t>
  </si>
  <si>
    <t>인천시 미추홀구 낙섬중로 20</t>
  </si>
  <si>
    <t>하임빌</t>
  </si>
  <si>
    <t>https://new.land.naver.com/complexes/144412?tab=detail&amp;rf=Y</t>
  </si>
  <si>
    <t>인천시 미추홀구 용현동 629-116</t>
  </si>
  <si>
    <t>인천시 미추홀구 토금남로17번길 6</t>
  </si>
  <si>
    <t>리젠빌2차</t>
  </si>
  <si>
    <t>2016.03.</t>
  </si>
  <si>
    <t>https://new.land.naver.com/complexes/134588?tab=detail&amp;rf=Y</t>
  </si>
  <si>
    <t>인천시 미추홀구 용현동 621-104</t>
  </si>
  <si>
    <t>인천시 미추홀구 토금남로33번길 18</t>
  </si>
  <si>
    <t>삼익</t>
  </si>
  <si>
    <t>1979.04.</t>
  </si>
  <si>
    <t>https://new.land.naver.com/complexes/9740?tab=detail&amp;rf=Y</t>
  </si>
  <si>
    <t>인천시 미추홀구 용현동 565-95</t>
  </si>
  <si>
    <t>인천시 미추홀구 능해길46번길 51</t>
  </si>
  <si>
    <t>85D</t>
  </si>
  <si>
    <t>85E</t>
  </si>
  <si>
    <t>85F</t>
  </si>
  <si>
    <t>115B</t>
  </si>
  <si>
    <t>성신</t>
  </si>
  <si>
    <t>1986.10.</t>
  </si>
  <si>
    <t>https://new.land.naver.com/complexes/8549?tab=detail&amp;rf=Y</t>
  </si>
  <si>
    <t>인천시 미추홀구 용현동 627-85</t>
  </si>
  <si>
    <t>인천시 미추홀구 매소홀로 23-20</t>
  </si>
  <si>
    <t>베스티너스</t>
  </si>
  <si>
    <t>https://new.land.naver.com/complexes/141135?tab=detail&amp;rf=Y</t>
  </si>
  <si>
    <t>인천시 미추홀구 용현동 621-90</t>
  </si>
  <si>
    <t>인천시 미추홀구 낙섬중로35번길 14-26</t>
  </si>
  <si>
    <t>아리랑</t>
  </si>
  <si>
    <t>2010.04.</t>
  </si>
  <si>
    <t>https://new.land.naver.com/complexes/103020?tab=detail&amp;rf=Y</t>
  </si>
  <si>
    <t>인천시 미추홀구 용현동 627-444</t>
  </si>
  <si>
    <t>인천시 미추홀구 매소홀로53번길 28</t>
  </si>
  <si>
    <t>용현금호타운2단지</t>
  </si>
  <si>
    <t>1999.11.</t>
  </si>
  <si>
    <t>https://new.land.naver.com/complexes/25900?tab=detail&amp;rf=Y</t>
  </si>
  <si>
    <t>인천시 미추홀구 용현동 647</t>
  </si>
  <si>
    <t>인천시 미추홀구 매소홀로 68</t>
  </si>
  <si>
    <t>111B</t>
  </si>
  <si>
    <t>동아(고층)</t>
  </si>
  <si>
    <t>100B</t>
  </si>
  <si>
    <t>https://new.land.naver.com/complexes/8113?tab=detail&amp;rf=Y</t>
  </si>
  <si>
    <t>인천시 미추홀구 용현동 572-3</t>
  </si>
  <si>
    <t>인천시 미추홀구 능해길 32</t>
  </si>
  <si>
    <t>금호타운1단지</t>
  </si>
  <si>
    <t>https://new.land.naver.com/complexes/2414?tab=detail&amp;rf=Y</t>
  </si>
  <si>
    <t>인천시 미추홀구 용현동 627-40</t>
  </si>
  <si>
    <t>인천시 미추홀구 낙섬동로 9</t>
  </si>
  <si>
    <t>미소가7차</t>
  </si>
  <si>
    <t>https://new.land.naver.com/complexes/128918?tab=detail&amp;rf=Y</t>
  </si>
  <si>
    <t>인천시 미추홀구 용현동 568-47</t>
  </si>
  <si>
    <t>인천시 미추홀구 능해길66번길 13</t>
  </si>
  <si>
    <t>인천SK스카이뷰</t>
  </si>
  <si>
    <t>https://new.land.naver.com/complexes/107437?tab=detail&amp;rf=Y</t>
  </si>
  <si>
    <t>인천시 미추홀구 용현동 664</t>
  </si>
  <si>
    <t>인천시 미추홀구 용정공원로 33</t>
  </si>
  <si>
    <t>85C</t>
  </si>
  <si>
    <t>117C</t>
  </si>
  <si>
    <t>118A</t>
  </si>
  <si>
    <t>118B</t>
  </si>
  <si>
    <t>174B</t>
  </si>
  <si>
    <t>175A</t>
  </si>
  <si>
    <t>청도하이텔</t>
  </si>
  <si>
    <t>2003.03.</t>
  </si>
  <si>
    <t>https://new.land.naver.com/complexes/105086?tab=detail&amp;rf=Y</t>
  </si>
  <si>
    <t>인천시 미추홀구 용현동 490-79</t>
  </si>
  <si>
    <t>인천시 미추홀구 독정이로 7</t>
  </si>
  <si>
    <t>LH미추홀퍼스트</t>
  </si>
  <si>
    <t>2018.12.</t>
  </si>
  <si>
    <t>https://new.land.naver.com/complexes/117911?tab=detail&amp;rf=Y</t>
  </si>
  <si>
    <t>인천시 미추홀구 용현동 인천용마루지구 2블록</t>
  </si>
  <si>
    <t>인천시 미추홀구 낙섬동로 135</t>
  </si>
  <si>
    <t>DH씨밀레</t>
  </si>
  <si>
    <t>https://new.land.naver.com/complexes/121726?tab=detail&amp;rf=Y</t>
  </si>
  <si>
    <t>인천시 미추홀구 용현동 624-40</t>
  </si>
  <si>
    <t>인천시 미추홀구 토금북로11번길 13</t>
  </si>
  <si>
    <t>성도</t>
  </si>
  <si>
    <t>https://new.land.naver.com/complexes/13342?tab=detail&amp;rf=Y</t>
  </si>
  <si>
    <t>인천시 미추홀구 용현동 88-31</t>
  </si>
  <si>
    <t>인천시 미추홀구 재넘이길 147-6</t>
  </si>
  <si>
    <t>리젠빌1차</t>
  </si>
  <si>
    <t>https://new.land.naver.com/complexes/134584?tab=detail&amp;rf=Y</t>
  </si>
  <si>
    <t>인천시 미추홀구 용현동 623-92</t>
  </si>
  <si>
    <t>인천시 미추홀구 용오로34번길 17</t>
  </si>
  <si>
    <t>인천용현경남아너스빌(주)</t>
  </si>
  <si>
    <t>2023.03.</t>
  </si>
  <si>
    <t>https://new.land.naver.com/complexes/133537?tab=detail&amp;rf=Y</t>
  </si>
  <si>
    <t>인천시 미추홀구 용현동 627-12</t>
  </si>
  <si>
    <t>한국</t>
  </si>
  <si>
    <t>https://new.land.naver.com/complexes/2421?tab=detail&amp;rf=Y</t>
  </si>
  <si>
    <t>인천시 미추홀구 용현동 627-47</t>
  </si>
  <si>
    <t>인천시 미추홀구 낙섬동로 6</t>
  </si>
  <si>
    <t>HM팰리스</t>
  </si>
  <si>
    <t>https://new.land.naver.com/complexes/120585?tab=detail&amp;rf=Y</t>
  </si>
  <si>
    <t>인천시 미추홀구 용현동 627-141</t>
  </si>
  <si>
    <t>인천시 미추홀구 매소홀로 59</t>
  </si>
  <si>
    <t>솔뫼</t>
  </si>
  <si>
    <t>https://new.land.naver.com/complexes/22840?tab=detail&amp;rf=Y</t>
  </si>
  <si>
    <t>인천시 미추홀구 용현동 158-5</t>
  </si>
  <si>
    <t>인천시 미추홀구 경인북길 141</t>
  </si>
  <si>
    <t>91B</t>
  </si>
  <si>
    <t>https://new.land.naver.com/complexes/14792?tab=detail&amp;rf=Y</t>
  </si>
  <si>
    <t>인천시 미추홀구 용현동 47-12</t>
  </si>
  <si>
    <t>인천시 미추홀구 인하로148번길 18</t>
  </si>
  <si>
    <t>동진</t>
  </si>
  <si>
    <t>https://new.land.naver.com/complexes/11712?tab=detail&amp;rf=Y</t>
  </si>
  <si>
    <t>인천시 미추홀구 용현동 629-69</t>
  </si>
  <si>
    <t>인천시 미추홀구 토금남로13번길 20</t>
  </si>
  <si>
    <t>센트럴</t>
  </si>
  <si>
    <t>https://new.land.naver.com/complexes/118332?tab=detail&amp;rf=Y</t>
  </si>
  <si>
    <t>인천시 미추홀구 용현동 490-26</t>
  </si>
  <si>
    <t>인천시 미추홀구 인주대로 157</t>
  </si>
  <si>
    <t>코지팰리스(571-59)</t>
  </si>
  <si>
    <t>https://new.land.naver.com/complexes/142910?tab=detail&amp;rf=Y</t>
  </si>
  <si>
    <t>인천시 미추홀구 용현동 571-59</t>
  </si>
  <si>
    <t>인천시 미추홀구 능해길46번길 7-44</t>
  </si>
  <si>
    <t>용현성원상떼빌</t>
  </si>
  <si>
    <t>2009.03.</t>
  </si>
  <si>
    <t>https://new.land.naver.com/complexes/26836?tab=detail&amp;rf=Y</t>
  </si>
  <si>
    <t>인천시 미추홀구 용현동 649</t>
  </si>
  <si>
    <t>인천시 미추홀구 낙섬동로 104</t>
  </si>
  <si>
    <t>새한(627-80)</t>
  </si>
  <si>
    <t>1984.01.</t>
  </si>
  <si>
    <t>https://new.land.naver.com/complexes/10879?tab=detail&amp;rf=Y</t>
  </si>
  <si>
    <t>인천시 미추홀구 용현동 627-80</t>
  </si>
  <si>
    <t>인천시 미추홀구 낙섬서로 15</t>
  </si>
  <si>
    <t>1983.03.</t>
  </si>
  <si>
    <t>https://new.land.naver.com/complexes/16553?tab=detail&amp;rf=Y</t>
  </si>
  <si>
    <t>인천시 미추홀구 용현동 340-12</t>
  </si>
  <si>
    <t>인천시 미추홀구 독배로404번길 45</t>
  </si>
  <si>
    <t>금동</t>
  </si>
  <si>
    <t>https://new.land.naver.com/complexes/12993?tab=detail&amp;rf=Y</t>
  </si>
  <si>
    <t>인천시 미추홀구 용현동 574-21</t>
  </si>
  <si>
    <t>인천시 미추홀구 아암대로 41</t>
  </si>
  <si>
    <t>https://new.land.naver.com/complexes/2416?tab=detail&amp;rf=Y</t>
  </si>
  <si>
    <t>인천시 미추홀구 용현동 627-79</t>
  </si>
  <si>
    <t>인천시 미추홀구 낙섬중로 18</t>
  </si>
  <si>
    <t>리젠빌5차</t>
  </si>
  <si>
    <t>https://new.land.naver.com/complexes/140846?tab=detail&amp;rf=Y</t>
  </si>
  <si>
    <t>인천시 미추홀구 용현동 565-37</t>
  </si>
  <si>
    <t>인천시 미추홀구 낙섬중로91번길 11</t>
  </si>
  <si>
    <t>삼화</t>
  </si>
  <si>
    <t>1994.04.</t>
  </si>
  <si>
    <t>https://new.land.naver.com/complexes/11356?tab=detail&amp;rf=Y</t>
  </si>
  <si>
    <t>인천시 미추홀구 용현동 646</t>
  </si>
  <si>
    <t>인천시 미추홀구 한나루로489번길 49</t>
  </si>
  <si>
    <t>동아(저층)</t>
  </si>
  <si>
    <t>1989.08.</t>
  </si>
  <si>
    <t>https://new.land.naver.com/complexes/8111?tab=detail&amp;rf=Y</t>
  </si>
  <si>
    <t>인천시 미추홀구 용현동 610-113</t>
  </si>
  <si>
    <t>인천시 미추홀구 용오로 82</t>
  </si>
  <si>
    <t>https://new.land.naver.com/complexes/118487?tab=detail&amp;rf=Y</t>
  </si>
  <si>
    <t>인천시 미추홀구 용현동 624-58</t>
  </si>
  <si>
    <t>인천시 미추홀구 토금북로 5</t>
  </si>
  <si>
    <t>선우</t>
  </si>
  <si>
    <t>https://new.land.naver.com/complexes/12804?tab=detail&amp;rf=Y</t>
  </si>
  <si>
    <t>인천시 미추홀구 용현동 488-5</t>
  </si>
  <si>
    <t>인천시 미추홀구 인주대로 84</t>
  </si>
  <si>
    <t>성광</t>
  </si>
  <si>
    <t>https://new.land.naver.com/complexes/9735?tab=detail&amp;rf=Y</t>
  </si>
  <si>
    <t>인천시 미추홀구 용현동 52-4</t>
  </si>
  <si>
    <t>인천시 미추홀구 인하로133번길 18</t>
  </si>
  <si>
    <t>수정</t>
  </si>
  <si>
    <t>https://new.land.naver.com/complexes/9277?tab=detail&amp;rf=Y</t>
  </si>
  <si>
    <t>인천시 미추홀구 용현동 627-111</t>
  </si>
  <si>
    <t>인천시 미추홀구 아암대로 119</t>
  </si>
  <si>
    <t>용현대우</t>
  </si>
  <si>
    <t>2001.06.</t>
  </si>
  <si>
    <t>https://new.land.naver.com/complexes/3729?tab=detail&amp;rf=Y</t>
  </si>
  <si>
    <t>인천시 미추홀구 용현동 573-2</t>
  </si>
  <si>
    <t>인천시 미추홀구 아암대로29번길 13</t>
  </si>
  <si>
    <t>우성</t>
  </si>
  <si>
    <t>1996.08.</t>
  </si>
  <si>
    <t>https://new.land.naver.com/complexes/2418?tab=detail&amp;rf=Y</t>
  </si>
  <si>
    <t>인천시 미추홀구 용현동 615-7</t>
  </si>
  <si>
    <t>인천시 미추홀구 토금남로 79</t>
  </si>
  <si>
    <t>삼성</t>
  </si>
  <si>
    <t>1983.05.</t>
  </si>
  <si>
    <t>https://new.land.naver.com/complexes/16557?tab=detail&amp;rf=Y</t>
  </si>
  <si>
    <t>인천시 미추홀구 용현동 183-1</t>
  </si>
  <si>
    <t>인천시 미추홀구 경인남길102번길 32</t>
  </si>
  <si>
    <t>신창미션힐</t>
  </si>
  <si>
    <t>2004.04.</t>
  </si>
  <si>
    <t>https://new.land.naver.com/complexes/9163?tab=detail&amp;rf=Y</t>
  </si>
  <si>
    <t>인천시 미추홀구 용현동 627-534</t>
  </si>
  <si>
    <t>인천시 미추홀구 매소홀로 171</t>
  </si>
  <si>
    <t>용남</t>
  </si>
  <si>
    <t>1980.01.</t>
  </si>
  <si>
    <t>https://new.land.naver.com/complexes/119246?tab=detail&amp;rf=Y</t>
  </si>
  <si>
    <t>인천시 미추홀구 용현동 68-20</t>
  </si>
  <si>
    <t>인천시 미추홀구 인주대로266번길 34</t>
  </si>
  <si>
    <t>https://new.land.naver.com/complexes/126459?tab=detail&amp;rf=Y</t>
  </si>
  <si>
    <t>인천시 미추홀구 용현동 630-8</t>
  </si>
  <si>
    <t>인천시 미추홀구 토금남로4번길 12</t>
  </si>
  <si>
    <t>서해</t>
  </si>
  <si>
    <t>https://new.land.naver.com/complexes/2417?tab=detail&amp;rf=Y</t>
  </si>
  <si>
    <t>인천시 미추홀구 용현동 611-4</t>
  </si>
  <si>
    <t>인천시 미추홀구 토금중로 63</t>
  </si>
  <si>
    <t>105C</t>
  </si>
  <si>
    <t>105D</t>
  </si>
  <si>
    <t>은빛</t>
  </si>
  <si>
    <t>https://new.land.naver.com/complexes/101393?tab=detail&amp;rf=Y</t>
  </si>
  <si>
    <t>인천시 미추홀구 용현동 627-416</t>
  </si>
  <si>
    <t>인천시 미추홀구 매소홀로53번길 8</t>
  </si>
  <si>
    <t>새한(76-1)</t>
  </si>
  <si>
    <t>1986.02.</t>
  </si>
  <si>
    <t>https://new.land.naver.com/complexes/14791?tab=detail&amp;rf=Y</t>
  </si>
  <si>
    <t>인천시 미추홀구 용현동 76-1</t>
  </si>
  <si>
    <t>인천시 미추홀구 한나루로489번길 76</t>
  </si>
  <si>
    <t>더아트하우스</t>
  </si>
  <si>
    <t>https://new.land.naver.com/complexes/137356?tab=detail&amp;rf=Y</t>
  </si>
  <si>
    <t>인천시 미추홀구 용현동 565-85</t>
  </si>
  <si>
    <t>인천시 미추홀구 낙섬중로91번길 28-14</t>
  </si>
  <si>
    <t>[주안동]</t>
  </si>
  <si>
    <t>주안애캐슬(114-1)</t>
  </si>
  <si>
    <t>2013.04.</t>
  </si>
  <si>
    <t>https://new.land.naver.com/complexes/121694?tab=detail&amp;rf=Y</t>
  </si>
  <si>
    <t>인천시 미추홀구 주안동 114-1</t>
  </si>
  <si>
    <t>주안동</t>
  </si>
  <si>
    <t>신라(1528-4)</t>
  </si>
  <si>
    <t>1983.11.</t>
  </si>
  <si>
    <t>https://new.land.naver.com/complexes/11478?tab=detail&amp;rf=Y</t>
  </si>
  <si>
    <t>인천시 미추홀구 주안동 1528-4</t>
  </si>
  <si>
    <t>인천시 미추홀구 인하로 365</t>
  </si>
  <si>
    <t>주안태화2차</t>
  </si>
  <si>
    <t>1993.05.</t>
  </si>
  <si>
    <t>https://new.land.naver.com/complexes/10471?tab=detail&amp;rf=Y</t>
  </si>
  <si>
    <t>인천시 미추홀구 주안동 26-8</t>
  </si>
  <si>
    <t>인천시 미추홀구 석정로 360</t>
  </si>
  <si>
    <t>아주</t>
  </si>
  <si>
    <t>1983.09.</t>
  </si>
  <si>
    <t>https://new.land.naver.com/complexes/12803?tab=detail&amp;rf=Y</t>
  </si>
  <si>
    <t>인천시 미추홀구 주안동 1493-1</t>
  </si>
  <si>
    <t>인천시 미추홀구 인하로299번길 14</t>
  </si>
  <si>
    <t>하이클래스</t>
  </si>
  <si>
    <t>https://new.land.naver.com/complexes/135315?tab=detail&amp;rf=Y</t>
  </si>
  <si>
    <t>인천시 미추홀구 주안동 880-1</t>
  </si>
  <si>
    <t>인천시 미추홀구 주안로205번길 3</t>
  </si>
  <si>
    <t>리오센트럴타워</t>
  </si>
  <si>
    <t>https://new.land.naver.com/complexes/120429?tab=detail&amp;rf=Y</t>
  </si>
  <si>
    <t>인천시 미추홀구 주안동 1002-11</t>
  </si>
  <si>
    <t>인천시 미추홀구 경인로425번길 20</t>
  </si>
  <si>
    <t>우정(631-3)</t>
  </si>
  <si>
    <t>https://new.land.naver.com/complexes/141321?tab=detail&amp;rf=Y</t>
  </si>
  <si>
    <t>인천시 미추홀구 주안동 631-3</t>
  </si>
  <si>
    <t>인천시 미추홀구 한나루로573번길 15-13</t>
  </si>
  <si>
    <t>포레나인천미추홀</t>
  </si>
  <si>
    <t>2022.08.</t>
  </si>
  <si>
    <t>https://new.land.naver.com/complexes/124328?tab=detail&amp;rf=Y</t>
  </si>
  <si>
    <t>인천시 미추홀구 주안동 재정비 촉진지구 내 도시개발 1구역</t>
  </si>
  <si>
    <t>116C</t>
  </si>
  <si>
    <t>보광그랑베르</t>
  </si>
  <si>
    <t>https://new.land.naver.com/complexes/124678?tab=detail&amp;rf=Y</t>
  </si>
  <si>
    <t>인천시 미추홀구 주안동 1506-5</t>
  </si>
  <si>
    <t>인천시 미추홀구 동주길10번길 14</t>
  </si>
  <si>
    <t>센트라스</t>
  </si>
  <si>
    <t>https://new.land.naver.com/complexes/130035?tab=detail&amp;rf=Y</t>
  </si>
  <si>
    <t>인천시 미추홀구 주안동 632-1</t>
  </si>
  <si>
    <t>인천시 미추홀구 한나루로573번길 9</t>
  </si>
  <si>
    <t>삼미</t>
  </si>
  <si>
    <t>1988.09.</t>
  </si>
  <si>
    <t>https://new.land.naver.com/complexes/9671?tab=detail&amp;rf=Y</t>
  </si>
  <si>
    <t>인천시 미추홀구 주안동 19-48</t>
  </si>
  <si>
    <t>인천시 미추홀구 석정로461번길 11</t>
  </si>
  <si>
    <t>드림채(174-5)</t>
  </si>
  <si>
    <t>https://new.land.naver.com/complexes/120661?tab=detail&amp;rf=Y</t>
  </si>
  <si>
    <t>인천시 미추홀구 주안동 174-5</t>
  </si>
  <si>
    <t>인천시 미추홀구 미추홀대로 704-1</t>
  </si>
  <si>
    <t>청운(1466-13)</t>
  </si>
  <si>
    <t>https://new.land.naver.com/complexes/14804?tab=detail&amp;rf=Y</t>
  </si>
  <si>
    <t>인천시 미추홀구 주안동 1466-13</t>
  </si>
  <si>
    <t>인천시 미추홀구 인주대로408번길 34</t>
  </si>
  <si>
    <t>해마루더펠리체</t>
  </si>
  <si>
    <t>https://new.land.naver.com/complexes/111720?tab=detail&amp;rf=Y</t>
  </si>
  <si>
    <t>인천시 미추홀구 주안동 928-8</t>
  </si>
  <si>
    <t>인천시 미추홀구 주안로 182</t>
  </si>
  <si>
    <t>31A</t>
  </si>
  <si>
    <t>42B</t>
  </si>
  <si>
    <t>42D</t>
  </si>
  <si>
    <t>43C</t>
  </si>
  <si>
    <t>현대드림파크</t>
  </si>
  <si>
    <t>2012.08.</t>
  </si>
  <si>
    <t>https://new.land.naver.com/complexes/108091?tab=detail&amp;rf=Y</t>
  </si>
  <si>
    <t>인천시 미추홀구 주안동 219-20</t>
  </si>
  <si>
    <t>인천시 미추홀구 미추홀대로733번길 33</t>
  </si>
  <si>
    <t>은성</t>
  </si>
  <si>
    <t>2002.06.</t>
  </si>
  <si>
    <t>https://new.land.naver.com/complexes/13464?tab=detail&amp;rf=Y</t>
  </si>
  <si>
    <t>인천시 미추홀구 주안동 75-4</t>
  </si>
  <si>
    <t>인천시 미추홀구 주안중로50번길 44-13</t>
  </si>
  <si>
    <t>39B</t>
  </si>
  <si>
    <t>40C</t>
  </si>
  <si>
    <t>드림시티(도시형)</t>
  </si>
  <si>
    <t>2015.05.</t>
  </si>
  <si>
    <t>https://new.land.naver.com/complexes/110316?tab=detail&amp;rf=Y</t>
  </si>
  <si>
    <t>인천시 미추홀구 주안동 29-1</t>
  </si>
  <si>
    <t>인천시 미추홀구 염창로 38</t>
  </si>
  <si>
    <t>주안지웰에스테이트</t>
  </si>
  <si>
    <t>2019.10.</t>
  </si>
  <si>
    <t>https://new.land.naver.com/complexes/113320?tab=detail&amp;rf=Y</t>
  </si>
  <si>
    <t>인천시 미추홀구 주안동 77-3</t>
  </si>
  <si>
    <t>인천시 미추홀구 경인로 403</t>
  </si>
  <si>
    <t>92C</t>
  </si>
  <si>
    <t>광명3차</t>
  </si>
  <si>
    <t>https://new.land.naver.com/complexes/10473?tab=detail&amp;rf=Y</t>
  </si>
  <si>
    <t>인천시 미추홀구 주안동 20-7</t>
  </si>
  <si>
    <t>인천시 미추홀구 석정로 480</t>
  </si>
  <si>
    <t>대산고운누리</t>
  </si>
  <si>
    <t>2005.07.</t>
  </si>
  <si>
    <t>https://new.land.naver.com/complexes/23072?tab=detail&amp;rf=Y</t>
  </si>
  <si>
    <t>인천시 미추홀구 주안동 15-38</t>
  </si>
  <si>
    <t>인천시 미추홀구 길파로28번길 34</t>
  </si>
  <si>
    <t>삼영(20-21)</t>
  </si>
  <si>
    <t>https://new.land.naver.com/complexes/9724?tab=detail&amp;rf=Y</t>
  </si>
  <si>
    <t>인천시 미추홀구 주안동 20-21</t>
  </si>
  <si>
    <t>인천시 미추홀구 염창로 129</t>
  </si>
  <si>
    <t>광명6차</t>
  </si>
  <si>
    <t>1986.05.</t>
  </si>
  <si>
    <t>https://new.land.naver.com/complexes/14793?tab=detail&amp;rf=Y</t>
  </si>
  <si>
    <t>인천시 미추홀구 주안동 20-4</t>
  </si>
  <si>
    <t>인천시 미추홀구 석정로 478</t>
  </si>
  <si>
    <t>https://new.land.naver.com/complexes/14801?tab=detail&amp;rf=Y</t>
  </si>
  <si>
    <t>인천시 미추홀구 주안동 1600</t>
  </si>
  <si>
    <t>인천시 미추홀구 주승로 148</t>
  </si>
  <si>
    <t>한덕(금양)</t>
  </si>
  <si>
    <t>1998.03.</t>
  </si>
  <si>
    <t>https://new.land.naver.com/complexes/8418?tab=detail&amp;rf=Y</t>
  </si>
  <si>
    <t>인천시 미추홀구 주안동 1298</t>
  </si>
  <si>
    <t>인천시 미추홀구 미추홀대로 510</t>
  </si>
  <si>
    <t>삼성캐슬(172-3)</t>
  </si>
  <si>
    <t>2012.12.</t>
  </si>
  <si>
    <t>https://new.land.naver.com/complexes/123370?tab=detail&amp;rf=Y</t>
  </si>
  <si>
    <t>인천시 미추홀구 주안동 172-3</t>
  </si>
  <si>
    <t>인천시 미추홀구 석바위로74번길 8</t>
  </si>
  <si>
    <t>주은스카이빌</t>
  </si>
  <si>
    <t>https://new.land.naver.com/complexes/123253?tab=detail&amp;rf=Y</t>
  </si>
  <si>
    <t>인천시 미추홀구 주안동 230-6</t>
  </si>
  <si>
    <t>인천시 미추홀구 주안서로54번길 18</t>
  </si>
  <si>
    <t>63E</t>
  </si>
  <si>
    <t>세복</t>
  </si>
  <si>
    <t>https://new.land.naver.com/complexes/103752?tab=detail&amp;rf=Y</t>
  </si>
  <si>
    <t>인천시 미추홀구 주안동 69-7</t>
  </si>
  <si>
    <t>인천시 미추홀구 경원대로851번길 42</t>
  </si>
  <si>
    <t>필하우스(104-15)</t>
  </si>
  <si>
    <t>2008.10.</t>
  </si>
  <si>
    <t>https://new.land.naver.com/complexes/102132?tab=detail&amp;rf=Y</t>
  </si>
  <si>
    <t>인천시 미추홀구 주안동 104-15</t>
  </si>
  <si>
    <t>인천시 미추홀구 석바위로101번길 41</t>
  </si>
  <si>
    <t>주안애</t>
  </si>
  <si>
    <t>https://new.land.naver.com/complexes/118669?tab=detail&amp;rf=Y</t>
  </si>
  <si>
    <t>인천시 미추홀구 주안동 126-1</t>
  </si>
  <si>
    <t>인천시 미추홀구 주안로 119</t>
  </si>
  <si>
    <t>광명9차</t>
  </si>
  <si>
    <t>1988.10.</t>
  </si>
  <si>
    <t>https://new.land.naver.com/complexes/105397?tab=detail&amp;rf=Y</t>
  </si>
  <si>
    <t>인천시 미추홀구 주안동 1487-8</t>
  </si>
  <si>
    <t>인천시 미추홀구 인주대로418번길 29</t>
  </si>
  <si>
    <t>태평</t>
  </si>
  <si>
    <t>https://new.land.naver.com/complexes/8417?tab=detail&amp;rf=Y</t>
  </si>
  <si>
    <t>인천시 미추홀구 주안동 1286</t>
  </si>
  <si>
    <t>인천시 미추홀구 승학길 90</t>
  </si>
  <si>
    <t>https://new.land.naver.com/complexes/120563?tab=detail&amp;rf=Y</t>
  </si>
  <si>
    <t>인천시 미추홀구 주안동 1001-2</t>
  </si>
  <si>
    <t>인천시 미추홀구 경원대로851번길 16</t>
  </si>
  <si>
    <t>시영(주안)</t>
  </si>
  <si>
    <t>https://new.land.naver.com/complexes/14800?tab=detail&amp;rf=Y</t>
  </si>
  <si>
    <t>인천시 미추홀구 주안동 1210-3</t>
  </si>
  <si>
    <t>인천시 미추홀구 주승로 141-21</t>
  </si>
  <si>
    <t>블루하임</t>
  </si>
  <si>
    <t>https://new.land.naver.com/complexes/124146?tab=detail&amp;rf=Y</t>
  </si>
  <si>
    <t>인천시 미추홀구 주안동 51-4</t>
  </si>
  <si>
    <t>인천시 미추홀구 경원대로897번길 62</t>
  </si>
  <si>
    <t>두산</t>
  </si>
  <si>
    <t>1998.01.</t>
  </si>
  <si>
    <t>https://new.land.naver.com/complexes/14798?tab=detail&amp;rf=Y</t>
  </si>
  <si>
    <t>인천시 미추홀구 주안동 892-1</t>
  </si>
  <si>
    <t>인천시 미추홀구 석산로 42</t>
  </si>
  <si>
    <t>광성(1515-4)</t>
  </si>
  <si>
    <t>https://new.land.naver.com/complexes/108179?tab=detail&amp;rf=Y</t>
  </si>
  <si>
    <t>인천시 미추홀구 주안동 1515-4</t>
  </si>
  <si>
    <t>인천시 미추홀구 인주대로457번길 17</t>
  </si>
  <si>
    <t>동원청해</t>
  </si>
  <si>
    <t>2002.09.</t>
  </si>
  <si>
    <t>https://new.land.naver.com/complexes/134204?tab=detail&amp;rf=Y</t>
  </si>
  <si>
    <t>인천시 미추홀구 주안동 975-1</t>
  </si>
  <si>
    <t>인천시 미추홀구 경원대로897번길 21</t>
  </si>
  <si>
    <t>55A</t>
  </si>
  <si>
    <t>럭키플레이스</t>
  </si>
  <si>
    <t>https://new.land.naver.com/complexes/118444?tab=detail&amp;rf=Y</t>
  </si>
  <si>
    <t>인천시 미추홀구 주안동 960-2</t>
  </si>
  <si>
    <t>인천시 미추홀구 경원대로 911-30</t>
  </si>
  <si>
    <t>영동</t>
  </si>
  <si>
    <t>https://new.land.naver.com/complexes/10620?tab=detail&amp;rf=Y</t>
  </si>
  <si>
    <t>인천시 미추홀구 주안동 1503-1</t>
  </si>
  <si>
    <t>인천시 미추홀구 인주대로446번길 26</t>
  </si>
  <si>
    <t>엠버빌Ⅱ</t>
  </si>
  <si>
    <t>2017.12.</t>
  </si>
  <si>
    <t>35A</t>
  </si>
  <si>
    <t>https://new.land.naver.com/complexes/138687?tab=detail&amp;rf=Y</t>
  </si>
  <si>
    <t>인천시 미추홀구 주안동 1422-9</t>
  </si>
  <si>
    <t>인천시 미추홀구 미추홀대로597번길 106</t>
  </si>
  <si>
    <t>36B</t>
  </si>
  <si>
    <t>우정(18-141)</t>
  </si>
  <si>
    <t>https://new.land.naver.com/complexes/9666?tab=detail&amp;rf=Y</t>
  </si>
  <si>
    <t>인천시 미추홀구 주안동 18-141</t>
  </si>
  <si>
    <t>인천시 미추홀구 주염로 46</t>
  </si>
  <si>
    <t>한빛캐슬(694-2)</t>
  </si>
  <si>
    <t>https://new.land.naver.com/complexes/120786?tab=detail&amp;rf=Y</t>
  </si>
  <si>
    <t>인천시 미추홀구 주안동 694-2</t>
  </si>
  <si>
    <t>인천시 미추홀구 한나루로 533</t>
  </si>
  <si>
    <t>남부</t>
  </si>
  <si>
    <t>https://new.land.naver.com/complexes/129822?tab=detail&amp;rf=Y</t>
  </si>
  <si>
    <t>인천시 미추홀구 주안동 881-2</t>
  </si>
  <si>
    <t>인천시 미추홀구 경원대로 912-15</t>
  </si>
  <si>
    <t>57C</t>
  </si>
  <si>
    <t>두진</t>
  </si>
  <si>
    <t>1983.08.</t>
  </si>
  <si>
    <t>https://new.land.naver.com/complexes/16559?tab=detail&amp;rf=Y</t>
  </si>
  <si>
    <t>인천시 미추홀구 주안동 656-33</t>
  </si>
  <si>
    <t>인천시 미추홀구 수봉로163번길 24</t>
  </si>
  <si>
    <t>가람</t>
  </si>
  <si>
    <t>1988.05.</t>
  </si>
  <si>
    <t>https://new.land.naver.com/complexes/10410?tab=detail&amp;rf=Y</t>
  </si>
  <si>
    <t>인천시 미추홀구 주안동 33-1</t>
  </si>
  <si>
    <t>인천시 미추홀구 염창로 114-9</t>
  </si>
  <si>
    <t>석락</t>
  </si>
  <si>
    <t>1978.10.</t>
  </si>
  <si>
    <t>https://new.land.naver.com/complexes/12114?tab=detail&amp;rf=Y</t>
  </si>
  <si>
    <t>인천시 미추홀구 주안동 718-2</t>
  </si>
  <si>
    <t>인천시 미추홀구 인주대로291번길 6</t>
  </si>
  <si>
    <t>https://new.land.naver.com/complexes/108424?tab=detail&amp;rf=Y</t>
  </si>
  <si>
    <t>인천시 미추홀구 주안동 980-9</t>
  </si>
  <si>
    <t>인천시 미추홀구 경원대로887번길 24-27</t>
  </si>
  <si>
    <t>인천관교한신휴플러스</t>
  </si>
  <si>
    <t>2010.07.</t>
  </si>
  <si>
    <t>https://new.land.naver.com/complexes/26265?tab=detail&amp;rf=Y</t>
  </si>
  <si>
    <t>인천시 미추홀구 주안동 1621</t>
  </si>
  <si>
    <t>인천시 미추홀구 경원대로 717</t>
  </si>
  <si>
    <t>제이플러스</t>
  </si>
  <si>
    <t>https://new.land.naver.com/complexes/120690?tab=detail&amp;rf=Y</t>
  </si>
  <si>
    <t>인천시 미추홀구 주안동 62-4</t>
  </si>
  <si>
    <t>인천시 미추홀구 석바위로 125-1</t>
  </si>
  <si>
    <t>대경이즈뷰(75-10)</t>
  </si>
  <si>
    <t>2013.03.</t>
  </si>
  <si>
    <t>https://new.land.naver.com/complexes/113380?tab=detail&amp;rf=Y</t>
  </si>
  <si>
    <t>인천시 미추홀구 주안동 75-10</t>
  </si>
  <si>
    <t>인천시 미추홀구 주안동로 37</t>
  </si>
  <si>
    <t>월드스카이</t>
  </si>
  <si>
    <t>https://new.land.naver.com/complexes/135306?tab=detail&amp;rf=Y</t>
  </si>
  <si>
    <t>인천시 미추홀구 주안동 1564-10</t>
  </si>
  <si>
    <t>인천시 미추홀구 경원대로752번길 15</t>
  </si>
  <si>
    <t>대원</t>
  </si>
  <si>
    <t>https://new.land.naver.com/complexes/9935?tab=detail&amp;rf=Y</t>
  </si>
  <si>
    <t>인천시 미추홀구 주안동 58-26</t>
  </si>
  <si>
    <t>인천시 미추홀구 경원대로875번길 53</t>
  </si>
  <si>
    <t>삼성캐슬(220-13)</t>
  </si>
  <si>
    <t>https://new.land.naver.com/complexes/116823?tab=detail&amp;rf=Y</t>
  </si>
  <si>
    <t>인천시 미추홀구 주안동 220-13</t>
  </si>
  <si>
    <t>인천시 미추홀구 석바위로53번길 31</t>
  </si>
  <si>
    <t>주안캐슬앤더샵에듀포레</t>
  </si>
  <si>
    <t>2022.07.</t>
  </si>
  <si>
    <t>https://new.land.naver.com/complexes/126331?tab=detail&amp;rf=Y</t>
  </si>
  <si>
    <t>인천시 미추홀구 주안동 1577번지 일원(주안4구역 주택재개발정비사업)</t>
  </si>
  <si>
    <t>인천시 미추홀구 인주대로503번길 74-4</t>
  </si>
  <si>
    <t>98B-1</t>
  </si>
  <si>
    <t>2002.04.</t>
  </si>
  <si>
    <t>https://new.land.naver.com/complexes/104594?tab=detail&amp;rf=Y</t>
  </si>
  <si>
    <t>인천시 미추홀구 주안동 395-29</t>
  </si>
  <si>
    <t>인천시 미추홀구 주안로47번길 18-15</t>
  </si>
  <si>
    <t>39C</t>
  </si>
  <si>
    <t>41D</t>
  </si>
  <si>
    <t>47A</t>
  </si>
  <si>
    <t>47B</t>
  </si>
  <si>
    <t>47C</t>
  </si>
  <si>
    <t>54B</t>
  </si>
  <si>
    <t>명주아르디에(도시형)</t>
  </si>
  <si>
    <t>21A</t>
  </si>
  <si>
    <t>https://new.land.naver.com/complexes/103194?tab=detail&amp;rf=Y</t>
  </si>
  <si>
    <t>인천시 미추홀구 주안동 220-1</t>
  </si>
  <si>
    <t>인천시 미추홀구 미추홀대로733번길 27</t>
  </si>
  <si>
    <t>22B1</t>
  </si>
  <si>
    <t>22A1</t>
  </si>
  <si>
    <t>24A2</t>
  </si>
  <si>
    <t>24B2</t>
  </si>
  <si>
    <t>25C2</t>
  </si>
  <si>
    <t>25A1</t>
  </si>
  <si>
    <t>25B1</t>
  </si>
  <si>
    <t>25C1</t>
  </si>
  <si>
    <t>25D</t>
  </si>
  <si>
    <t>26A2</t>
  </si>
  <si>
    <t>26B2</t>
  </si>
  <si>
    <t>28B3</t>
  </si>
  <si>
    <t>28C</t>
  </si>
  <si>
    <t>32A1</t>
  </si>
  <si>
    <t>34B</t>
  </si>
  <si>
    <t>37A2</t>
  </si>
  <si>
    <t>38A</t>
  </si>
  <si>
    <t>39A1</t>
  </si>
  <si>
    <t>39B1</t>
  </si>
  <si>
    <t>39C1</t>
  </si>
  <si>
    <t>40A2</t>
  </si>
  <si>
    <t>40B2</t>
  </si>
  <si>
    <t>42A1</t>
  </si>
  <si>
    <t>42C2</t>
  </si>
  <si>
    <t>43A2</t>
  </si>
  <si>
    <t>45A1</t>
  </si>
  <si>
    <t>47A2</t>
  </si>
  <si>
    <t>미도</t>
  </si>
  <si>
    <t>1984.05.</t>
  </si>
  <si>
    <t>https://new.land.naver.com/complexes/9667?tab=detail&amp;rf=Y</t>
  </si>
  <si>
    <t>인천시 미추홀구 주안동 18-2</t>
  </si>
  <si>
    <t>인천시 미추홀구 주염로 34</t>
  </si>
  <si>
    <t>주안애캐슬3</t>
  </si>
  <si>
    <t>https://new.land.naver.com/complexes/109720?tab=detail&amp;rf=Y</t>
  </si>
  <si>
    <t>인천시 미추홀구 주안동 179-14</t>
  </si>
  <si>
    <t>인천시 미추홀구 주안중로9번길 8</t>
  </si>
  <si>
    <t>https://new.land.naver.com/complexes/125012?tab=detail&amp;rf=Y</t>
  </si>
  <si>
    <t>인천시 미추홀구 주안동 94-3</t>
  </si>
  <si>
    <t>인천시 미추홀구 석바위로101번길 39</t>
  </si>
  <si>
    <t>성일그린</t>
  </si>
  <si>
    <t>https://new.land.naver.com/complexes/104613?tab=detail&amp;rf=Y</t>
  </si>
  <si>
    <t>인천시 미추홀구 주안동 563-4</t>
  </si>
  <si>
    <t>인천시 미추홀구 한나루로564번길 59</t>
  </si>
  <si>
    <t>스위트리아(155-2)</t>
  </si>
  <si>
    <t>https://new.land.naver.com/complexes/120070?tab=detail&amp;rf=Y</t>
  </si>
  <si>
    <t>인천시 미추홀구 주안동 155-2</t>
  </si>
  <si>
    <t>인천시 미추홀구 석바위로 79</t>
  </si>
  <si>
    <t>71B</t>
  </si>
  <si>
    <t>민들레</t>
  </si>
  <si>
    <t>https://new.land.naver.com/complexes/9226?tab=detail&amp;rf=Y</t>
  </si>
  <si>
    <t>인천시 미추홀구 주안동 26-47</t>
  </si>
  <si>
    <t>인천시 미추홀구 염창로 11</t>
  </si>
  <si>
    <t>주안현대카운티</t>
  </si>
  <si>
    <t>2011.01.</t>
  </si>
  <si>
    <t>https://new.land.naver.com/complexes/118967?tab=detail&amp;rf=Y</t>
  </si>
  <si>
    <t>인천시 미추홀구 주안동 219-14</t>
  </si>
  <si>
    <t>인천시 미추홀구 주안서로 38</t>
  </si>
  <si>
    <t>힐카운티</t>
  </si>
  <si>
    <t>https://new.land.naver.com/complexes/123391?tab=detail&amp;rf=Y</t>
  </si>
  <si>
    <t>인천시 미추홀구 주안동 928-9</t>
  </si>
  <si>
    <t>인천시 미추홀구 경원대로898번길 11</t>
  </si>
  <si>
    <t>삼영(1574-2)</t>
  </si>
  <si>
    <t>1983.01.</t>
  </si>
  <si>
    <t>https://new.land.naver.com/complexes/14802?tab=detail&amp;rf=Y</t>
  </si>
  <si>
    <t>인천시 미추홀구 주안동 1574-2</t>
  </si>
  <si>
    <t>인천시 미추홀구 인하로 384</t>
  </si>
  <si>
    <t>퍼스트아파트</t>
  </si>
  <si>
    <t>https://new.land.naver.com/complexes/123549?tab=detail&amp;rf=Y</t>
  </si>
  <si>
    <t>인천시 미추홀구 주안동 197-22</t>
  </si>
  <si>
    <t>인천시 미추홀구 경인로 337</t>
  </si>
  <si>
    <t>현광고층</t>
  </si>
  <si>
    <t>1995.10.</t>
  </si>
  <si>
    <t>https://new.land.naver.com/complexes/10411?tab=detail&amp;rf=Y</t>
  </si>
  <si>
    <t>인천시 미추홀구 주안동 32-1</t>
  </si>
  <si>
    <t>인천시 미추홀구 염창로 94</t>
  </si>
  <si>
    <t>1985.12.</t>
  </si>
  <si>
    <t>https://new.land.naver.com/complexes/11522?tab=detail&amp;rf=Y</t>
  </si>
  <si>
    <t>인천시 미추홀구 주안동 80</t>
  </si>
  <si>
    <t>인천시 미추홀구 경인로 395</t>
  </si>
  <si>
    <t>월드</t>
  </si>
  <si>
    <t>https://new.land.naver.com/complexes/101818?tab=detail&amp;rf=Y</t>
  </si>
  <si>
    <t>인천시 미추홀구 주안동 605-15</t>
  </si>
  <si>
    <t>인천시 미추홀구 남주길11번길 31</t>
  </si>
  <si>
    <t>레인보우캐슬</t>
  </si>
  <si>
    <t>https://new.land.naver.com/complexes/142482?tab=detail&amp;rf=Y</t>
  </si>
  <si>
    <t>인천시 미추홀구 주안동 128-3</t>
  </si>
  <si>
    <t>인천시 미추홀구 주안로 117-24</t>
  </si>
  <si>
    <t>주안네오빌(도시형)</t>
  </si>
  <si>
    <t>2011.11.</t>
  </si>
  <si>
    <t>https://new.land.naver.com/complexes/103692?tab=detail&amp;rf=Y</t>
  </si>
  <si>
    <t>인천시 미추홀구 주안동 219-4</t>
  </si>
  <si>
    <t>인천시 미추홀구 주안서로 40</t>
  </si>
  <si>
    <t>28A</t>
  </si>
  <si>
    <t>28B</t>
  </si>
  <si>
    <t>28D</t>
  </si>
  <si>
    <t>광해리드빌(102동)</t>
  </si>
  <si>
    <t>https://new.land.naver.com/complexes/13770?tab=detail&amp;rf=Y</t>
  </si>
  <si>
    <t>인천시 미추홀구 주안동 966-3</t>
  </si>
  <si>
    <t>인천시 미추홀구 주안로 163</t>
  </si>
  <si>
    <t>연흥(23-20)</t>
  </si>
  <si>
    <t>https://new.land.naver.com/complexes/18409?tab=detail&amp;rf=Y</t>
  </si>
  <si>
    <t>인천시 미추홀구 주안동 23-20</t>
  </si>
  <si>
    <t>인천시 미추홀구 석정로434번길 18</t>
  </si>
  <si>
    <t>https://new.land.naver.com/complexes/16575?tab=detail&amp;rf=Y</t>
  </si>
  <si>
    <t>인천시 미추홀구 주안동 1210-2</t>
  </si>
  <si>
    <t>인천시 미추홀구 인하로330번길 36</t>
  </si>
  <si>
    <t>https://new.land.naver.com/complexes/111733?tab=detail&amp;rf=Y</t>
  </si>
  <si>
    <t>인천시 미추홀구 주안동 284</t>
  </si>
  <si>
    <t>인천시 미추홀구 주안로 52</t>
  </si>
  <si>
    <t>주안애캐슬(51-1)</t>
  </si>
  <si>
    <t>https://new.land.naver.com/complexes/101431?tab=detail&amp;rf=Y</t>
  </si>
  <si>
    <t>인천시 미추홀구 주안동 51-1</t>
  </si>
  <si>
    <t>인천시 미추홀구 경원대로897번길 52</t>
  </si>
  <si>
    <t>84D</t>
  </si>
  <si>
    <t>진흥</t>
  </si>
  <si>
    <t>1995.12.</t>
  </si>
  <si>
    <t>https://new.land.naver.com/complexes/2448?tab=detail&amp;rf=Y</t>
  </si>
  <si>
    <t>인천시 미추홀구 주안동 1606</t>
  </si>
  <si>
    <t>인천시 미추홀구 인하로298번길 33</t>
  </si>
  <si>
    <t>신라(757-1)</t>
  </si>
  <si>
    <t>https://new.land.naver.com/complexes/101106?tab=detail&amp;rf=Y</t>
  </si>
  <si>
    <t>인천시 미추홀구 주안동 757-1</t>
  </si>
  <si>
    <t>인천시 미추홀구 인주대로306번길 18</t>
  </si>
  <si>
    <t>선경세르빌</t>
  </si>
  <si>
    <t>https://new.land.naver.com/complexes/14539?tab=detail&amp;rf=Y</t>
  </si>
  <si>
    <t>인천시 미추홀구 주안동 1525-18</t>
  </si>
  <si>
    <t>인천시 미추홀구 인하로 360</t>
  </si>
  <si>
    <t>에코시티</t>
  </si>
  <si>
    <t>https://new.land.naver.com/complexes/138683?tab=detail&amp;rf=Y</t>
  </si>
  <si>
    <t>인천시 미추홀구 주안동 1457-9</t>
  </si>
  <si>
    <t>인천시 미추홀구 미추홀대로597번길 16</t>
  </si>
  <si>
    <t>태극</t>
  </si>
  <si>
    <t>1980.10.</t>
  </si>
  <si>
    <t>https://new.land.naver.com/complexes/11475?tab=detail&amp;rf=Y</t>
  </si>
  <si>
    <t>인천시 미추홀구 주안동 279</t>
  </si>
  <si>
    <t>인천시 미추홀구 주안서로 41</t>
  </si>
  <si>
    <t>한빛캐슬(81-8)</t>
  </si>
  <si>
    <t>2014.10.</t>
  </si>
  <si>
    <t>https://new.land.naver.com/complexes/141083?tab=detail&amp;rf=Y</t>
  </si>
  <si>
    <t>인천시 미추홀구 주안동 81-8</t>
  </si>
  <si>
    <t>인천시 미추홀구 주안중로 12</t>
  </si>
  <si>
    <t>80D</t>
  </si>
  <si>
    <t>행복타운</t>
  </si>
  <si>
    <t>https://new.land.naver.com/complexes/121019?tab=detail&amp;rf=Y</t>
  </si>
  <si>
    <t>인천시 미추홀구 주안동 877-10</t>
  </si>
  <si>
    <t>인천시 미추홀구 주안로205번길 17-1</t>
  </si>
  <si>
    <t>필하우스2차</t>
  </si>
  <si>
    <t>https://new.land.naver.com/complexes/102149?tab=detail&amp;rf=Y</t>
  </si>
  <si>
    <t>인천시 미추홀구 주안동 70-12</t>
  </si>
  <si>
    <t>인천시 미추홀구 경원대로851번길 39</t>
  </si>
  <si>
    <t>오벨리스크</t>
  </si>
  <si>
    <t>2012.07.</t>
  </si>
  <si>
    <t>https://new.land.naver.com/complexes/112049?tab=detail&amp;rf=Y</t>
  </si>
  <si>
    <t>인천시 미추홀구 주안동 200-12</t>
  </si>
  <si>
    <t>인천시 미추홀구 주안서로 17</t>
  </si>
  <si>
    <t>더원시티</t>
  </si>
  <si>
    <t>https://new.land.naver.com/complexes/113879?tab=detail&amp;rf=Y</t>
  </si>
  <si>
    <t>인천시 미추홀구 주안동 395-20</t>
  </si>
  <si>
    <t>인천시 미추홀구 주안로 57</t>
  </si>
  <si>
    <t>헤렌하우스(도시형)</t>
  </si>
  <si>
    <t>24A</t>
  </si>
  <si>
    <t>https://new.land.naver.com/complexes/108125?tab=detail&amp;rf=Y</t>
  </si>
  <si>
    <t>인천시 미추홀구 주안동 1542-30</t>
  </si>
  <si>
    <t>인천시 미추홀구 경원대로 838-14</t>
  </si>
  <si>
    <t>27D</t>
  </si>
  <si>
    <t>27C</t>
  </si>
  <si>
    <t>40B</t>
  </si>
  <si>
    <t>문원</t>
  </si>
  <si>
    <t>https://new.land.naver.com/complexes/13166?tab=detail&amp;rf=Y</t>
  </si>
  <si>
    <t>인천시 미추홀구 주안동 1525-5</t>
  </si>
  <si>
    <t>인천시 미추홀구 인하로352번길 11-35</t>
  </si>
  <si>
    <t>모드니에플러스</t>
  </si>
  <si>
    <t>https://new.land.naver.com/complexes/128373?tab=detail&amp;rf=Y</t>
  </si>
  <si>
    <t>인천시 미추홀구 주안동 301-1</t>
  </si>
  <si>
    <t>인천시 미추홀구 주안로205번길 6</t>
  </si>
  <si>
    <t>남부아주</t>
  </si>
  <si>
    <t>https://new.land.naver.com/complexes/14090?tab=detail&amp;rf=Y</t>
  </si>
  <si>
    <t>인천시 미추홀구 주안동 1489-13</t>
  </si>
  <si>
    <t>인천시 미추홀구 미추홀대로586번길 43</t>
  </si>
  <si>
    <t>베스티움(도시형)</t>
  </si>
  <si>
    <t>22C</t>
  </si>
  <si>
    <t>https://new.land.naver.com/complexes/104381?tab=detail&amp;rf=Y</t>
  </si>
  <si>
    <t>인천시 미추홀구 주안동 25-34</t>
  </si>
  <si>
    <t>인천시 미추홀구 염창로 35</t>
  </si>
  <si>
    <t>23A</t>
  </si>
  <si>
    <t>23B</t>
  </si>
  <si>
    <t>남광로얄(1441)</t>
  </si>
  <si>
    <t>https://new.land.naver.com/complexes/14799?tab=detail&amp;rf=Y</t>
  </si>
  <si>
    <t>인천시 미추홀구 주안동 1441</t>
  </si>
  <si>
    <t>인천시 미추홀구 인하로257번길 30</t>
  </si>
  <si>
    <t>성원캐슬</t>
  </si>
  <si>
    <t>https://new.land.naver.com/complexes/117862?tab=detail&amp;rf=Y</t>
  </si>
  <si>
    <t>인천시 미추홀구 주안동 203-6</t>
  </si>
  <si>
    <t>인천시 미추홀구 경인로349번길 35</t>
  </si>
  <si>
    <t>https://new.land.naver.com/complexes/25525?tab=detail&amp;rf=Y</t>
  </si>
  <si>
    <t>인천시 미추홀구 주안동 287-2</t>
  </si>
  <si>
    <t>인천시 미추홀구 주안서로53번길 76</t>
  </si>
  <si>
    <t>진도로르빌</t>
  </si>
  <si>
    <t>2005.08.</t>
  </si>
  <si>
    <t>https://new.land.naver.com/complexes/23616?tab=detail&amp;rf=Y</t>
  </si>
  <si>
    <t>인천시 미추홀구 주안동 24-24</t>
  </si>
  <si>
    <t>인천시 미추홀구 석정로 412</t>
  </si>
  <si>
    <t>주안파크자이더플래티넘</t>
  </si>
  <si>
    <t>2023.02.</t>
  </si>
  <si>
    <t>https://new.land.naver.com/complexes/133039?tab=detail&amp;rf=Y</t>
  </si>
  <si>
    <t>인천시 미추홀구 주안동 830</t>
  </si>
  <si>
    <t>미진(도시형)</t>
  </si>
  <si>
    <t>https://new.land.naver.com/complexes/140265?tab=detail&amp;rf=Y</t>
  </si>
  <si>
    <t>인천시 미추홀구 주안동 230-12</t>
  </si>
  <si>
    <t>인천시 미추홀구 주안서로54번길 10</t>
  </si>
  <si>
    <t>25C</t>
  </si>
  <si>
    <t>25B</t>
  </si>
  <si>
    <t>26E</t>
  </si>
  <si>
    <t>27F</t>
  </si>
  <si>
    <t>27G</t>
  </si>
  <si>
    <t>엔에스파크(116-8)</t>
  </si>
  <si>
    <t>2014.12.</t>
  </si>
  <si>
    <t>https://new.land.naver.com/complexes/115417?tab=detail&amp;rf=Y</t>
  </si>
  <si>
    <t>인천시 미추홀구 주안동 116-8</t>
  </si>
  <si>
    <t>인천시 미추홀구 주안중로50번길 47</t>
  </si>
  <si>
    <t>정다운가8차</t>
  </si>
  <si>
    <t>21C</t>
  </si>
  <si>
    <t>https://new.land.naver.com/complexes/123818?tab=detail&amp;rf=Y</t>
  </si>
  <si>
    <t>인천시 미추홀구 주안동 197-11</t>
  </si>
  <si>
    <t>인천시 미추홀구 경인로 333-24</t>
  </si>
  <si>
    <t>21B</t>
  </si>
  <si>
    <t>41B</t>
  </si>
  <si>
    <t>41A</t>
  </si>
  <si>
    <t>그레이스타워</t>
  </si>
  <si>
    <t>https://new.land.naver.com/complexes/138784?tab=detail&amp;rf=Y</t>
  </si>
  <si>
    <t>인천시 미추홀구 주안동 86-27</t>
  </si>
  <si>
    <t>인천시 미추홀구 주안중로16번길 7</t>
  </si>
  <si>
    <t>73D</t>
  </si>
  <si>
    <t>주안쉐르빌A</t>
  </si>
  <si>
    <t>https://new.land.naver.com/complexes/119036?tab=detail&amp;rf=Y</t>
  </si>
  <si>
    <t>인천시 미추홀구 주안동 48-9</t>
  </si>
  <si>
    <t>인천시 미추홀구 주안로 145-10</t>
  </si>
  <si>
    <t>삼우</t>
  </si>
  <si>
    <t>2007.05.</t>
  </si>
  <si>
    <t>https://new.land.naver.com/complexes/105492?tab=detail&amp;rf=Y</t>
  </si>
  <si>
    <t>인천시 미추홀구 주안동 1566-1</t>
  </si>
  <si>
    <t>인천시 미추홀구 경원대로752번길 10</t>
  </si>
  <si>
    <t>107B</t>
  </si>
  <si>
    <t>드림채(81-4)</t>
  </si>
  <si>
    <t>https://new.land.naver.com/complexes/120645?tab=detail&amp;rf=Y</t>
  </si>
  <si>
    <t>인천시 미추홀구 주안동 81-4</t>
  </si>
  <si>
    <t>인천시 미추홀구 주안중로 14</t>
  </si>
  <si>
    <t>베네스트수</t>
  </si>
  <si>
    <t>https://new.land.naver.com/complexes/122432?tab=detail&amp;rf=Y</t>
  </si>
  <si>
    <t>인천시 미추홀구 주안동 1527-8</t>
  </si>
  <si>
    <t>인천시 미추홀구 경원대로 739</t>
  </si>
  <si>
    <t>센트럴탑</t>
  </si>
  <si>
    <t>https://new.land.naver.com/complexes/127517?tab=detail&amp;rf=Y</t>
  </si>
  <si>
    <t>인천시 미추홀구 주안동 206-29</t>
  </si>
  <si>
    <t>인천시 미추홀구 경인로349번길 36</t>
  </si>
  <si>
    <t>쌍용주안</t>
  </si>
  <si>
    <t>https://new.land.naver.com/complexes/2444?tab=detail&amp;rf=Y</t>
  </si>
  <si>
    <t>인천시 미추홀구 주안동 1250</t>
  </si>
  <si>
    <t>인천시 미추홀구 인하로 292</t>
  </si>
  <si>
    <t>138A</t>
  </si>
  <si>
    <t>대일개나리</t>
  </si>
  <si>
    <t>https://new.land.naver.com/complexes/12919?tab=detail&amp;rf=Y</t>
  </si>
  <si>
    <t>인천시 미추홀구 주안동 1421-41</t>
  </si>
  <si>
    <t>인천시 미추홀구 미추홀대로597번길 93</t>
  </si>
  <si>
    <t>노블리안</t>
  </si>
  <si>
    <t>https://new.land.naver.com/complexes/113446?tab=detail&amp;rf=Y</t>
  </si>
  <si>
    <t>인천시 미추홀구 주안동 1527-2</t>
  </si>
  <si>
    <t>인천시 미추홀구 경원대로 741</t>
  </si>
  <si>
    <t>청운(976-8)</t>
  </si>
  <si>
    <t>https://new.land.naver.com/complexes/16565?tab=detail&amp;rf=Y</t>
  </si>
  <si>
    <t>인천시 미추홀구 주안동 976-8</t>
  </si>
  <si>
    <t>인천시 미추홀구 경원대로887번길 24-20</t>
  </si>
  <si>
    <t>세중</t>
  </si>
  <si>
    <t>https://new.land.naver.com/complexes/103327?tab=detail&amp;rf=Y</t>
  </si>
  <si>
    <t>인천시 미추홀구 주안동 395-6</t>
  </si>
  <si>
    <t>인천시 미추홀구 주안로47번길 18-28</t>
  </si>
  <si>
    <t>광성(1575-15)</t>
  </si>
  <si>
    <t>1987.02.</t>
  </si>
  <si>
    <t>https://new.land.naver.com/complexes/9592?tab=detail&amp;rf=Y</t>
  </si>
  <si>
    <t>인천시 미추홀구 주안동 1575-15</t>
  </si>
  <si>
    <t>인천시 미추홀구 구월남로48번길 52</t>
  </si>
  <si>
    <t>승미</t>
  </si>
  <si>
    <t>https://new.land.naver.com/complexes/11508?tab=detail&amp;rf=Y</t>
  </si>
  <si>
    <t>인천시 미추홀구 주안동 881-3</t>
  </si>
  <si>
    <t>인천시 미추홀구 경원대로 912-7</t>
  </si>
  <si>
    <t>정가빌</t>
  </si>
  <si>
    <t>2011.05.</t>
  </si>
  <si>
    <t>https://new.land.naver.com/complexes/122551?tab=detail&amp;rf=Y</t>
  </si>
  <si>
    <t>인천시 미추홀구 주안동 271-5</t>
  </si>
  <si>
    <t>인천시 미추홀구 석바위로110번길 8</t>
  </si>
  <si>
    <t>해든빌(도시형)</t>
  </si>
  <si>
    <t>2014.03.</t>
  </si>
  <si>
    <t>https://new.land.naver.com/complexes/108978?tab=detail&amp;rf=Y</t>
  </si>
  <si>
    <t>인천시 미추홀구 주안동 264-11</t>
  </si>
  <si>
    <t>인천시 미추홀구 주안로 64</t>
  </si>
  <si>
    <t>주안역신일해피트리</t>
  </si>
  <si>
    <t>2021.09.</t>
  </si>
  <si>
    <t>https://new.land.naver.com/complexes/126434?tab=detail&amp;rf=Y</t>
  </si>
  <si>
    <t>인천시 미추홀구 주안동 13-2번지 일원</t>
  </si>
  <si>
    <t>인천시 미추홀구 길파로27번길 43</t>
  </si>
  <si>
    <t>https://new.land.naver.com/complexes/121724?tab=detail&amp;rf=Y</t>
  </si>
  <si>
    <t>인천시 미추홀구 주안동 171-3</t>
  </si>
  <si>
    <t>인천시 미추홀구 석바위로80번길 10</t>
  </si>
  <si>
    <t>BY펠리스</t>
  </si>
  <si>
    <t>https://new.land.naver.com/complexes/117435?tab=detail&amp;rf=Y</t>
  </si>
  <si>
    <t>인천시 미추홀구 주안동 171-10</t>
  </si>
  <si>
    <t>인천시 미추홀구 석바위로80번길 20</t>
  </si>
  <si>
    <t>73E</t>
  </si>
  <si>
    <t>삼영(20-14)</t>
  </si>
  <si>
    <t>1981.04.</t>
  </si>
  <si>
    <t>https://new.land.naver.com/complexes/104483?tab=detail&amp;rf=Y</t>
  </si>
  <si>
    <t>인천시 미추홀구 주안동 20-14</t>
  </si>
  <si>
    <t>해경스테이</t>
  </si>
  <si>
    <t>https://new.land.naver.com/complexes/142058?tab=detail&amp;rf=Y</t>
  </si>
  <si>
    <t>인천시 미추홀구 주안동 1427-7</t>
  </si>
  <si>
    <t>인천시 미추홀구 미추홀대로597번길 86</t>
  </si>
  <si>
    <t>월드클래스</t>
  </si>
  <si>
    <t>2018.09.</t>
  </si>
  <si>
    <t>https://new.land.naver.com/complexes/125123?tab=detail&amp;rf=Y</t>
  </si>
  <si>
    <t>인천시 미추홀구 주안동 25-29</t>
  </si>
  <si>
    <t>인천시 미추홀구 석정로 390-1</t>
  </si>
  <si>
    <t>해마루플러스</t>
  </si>
  <si>
    <t>https://new.land.naver.com/complexes/115581?tab=detail&amp;rf=Y</t>
  </si>
  <si>
    <t>인천시 미추홀구 주안동 325-2</t>
  </si>
  <si>
    <t>인천시 미추홀구 주안로205번길 12-17</t>
  </si>
  <si>
    <t>한미코스모스</t>
  </si>
  <si>
    <t>1995.06.</t>
  </si>
  <si>
    <t>https://new.land.naver.com/complexes/10621?tab=detail&amp;rf=Y</t>
  </si>
  <si>
    <t>인천시 미추홀구 주안동 1559-30</t>
  </si>
  <si>
    <t>인천시 미추홀구 경원대로774번길 11</t>
  </si>
  <si>
    <t>행복마을</t>
  </si>
  <si>
    <t>2007.01.</t>
  </si>
  <si>
    <t>https://new.land.naver.com/complexes/102836?tab=detail&amp;rf=Y</t>
  </si>
  <si>
    <t>인천시 미추홀구 주안동 23-3</t>
  </si>
  <si>
    <t>인천시 미추홀구 염창로 73</t>
  </si>
  <si>
    <t>성우</t>
  </si>
  <si>
    <t>https://new.land.naver.com/complexes/127865?tab=detail&amp;rf=Y</t>
  </si>
  <si>
    <t>인천시 미추홀구 주안동 229-7</t>
  </si>
  <si>
    <t>인천시 미추홀구 미추홀대로733번길 30</t>
  </si>
  <si>
    <t>NS타워텔(도시형)</t>
  </si>
  <si>
    <t>https://new.land.naver.com/complexes/106016?tab=detail&amp;rf=Y</t>
  </si>
  <si>
    <t>인천시 미추홀구 주안동 200-15</t>
  </si>
  <si>
    <t>인천시 미추홀구 주안서로 15</t>
  </si>
  <si>
    <t>24C</t>
  </si>
  <si>
    <t>26D</t>
  </si>
  <si>
    <t>힐스테이트푸르지오주안</t>
  </si>
  <si>
    <t>2023.06.</t>
  </si>
  <si>
    <t>https://new.land.naver.com/complexes/128391?tab=detail&amp;rf=Y</t>
  </si>
  <si>
    <t>인천시 미추홀구 주안동 1452-2번지 일원</t>
  </si>
  <si>
    <t>트인자리애</t>
  </si>
  <si>
    <t>2013.12.</t>
  </si>
  <si>
    <t>https://new.land.naver.com/complexes/112356?tab=detail&amp;rf=Y</t>
  </si>
  <si>
    <t>인천시 미추홀구 주안동 75-8</t>
  </si>
  <si>
    <t>인천시 미추홀구 주안동로 39-1</t>
  </si>
  <si>
    <t>66D</t>
  </si>
  <si>
    <t>67E</t>
  </si>
  <si>
    <t>부성PINE</t>
  </si>
  <si>
    <t>https://new.land.naver.com/complexes/122570?tab=detail&amp;rf=Y</t>
  </si>
  <si>
    <t>인천시 미추홀구 주안동 226-2</t>
  </si>
  <si>
    <t>인천시 미추홀구 미추홀대로719번길 4</t>
  </si>
  <si>
    <t>주안한신휴플러스</t>
  </si>
  <si>
    <t>2006.09.</t>
  </si>
  <si>
    <t>https://new.land.naver.com/complexes/17560?tab=detail&amp;rf=Y</t>
  </si>
  <si>
    <t>인천시 미추홀구 주안동 1607</t>
  </si>
  <si>
    <t>인천시 미추홀구 승학길104번길 30</t>
  </si>
  <si>
    <t>103D</t>
  </si>
  <si>
    <t>필하우스1차</t>
  </si>
  <si>
    <t>2010.03.</t>
  </si>
  <si>
    <t>https://new.land.naver.com/complexes/102147?tab=detail&amp;rf=Y</t>
  </si>
  <si>
    <t>인천시 미추홀구 주안동 70-34</t>
  </si>
  <si>
    <t>인천시 미추홀구 경인로425번길 9</t>
  </si>
  <si>
    <t>미성</t>
  </si>
  <si>
    <t>1984.06.</t>
  </si>
  <si>
    <t>https://new.land.naver.com/complexes/14089?tab=detail&amp;rf=Y</t>
  </si>
  <si>
    <t>인천시 미추홀구 주안동 1467-1</t>
  </si>
  <si>
    <t>인천시 미추홀구 미추홀대로598번길 26</t>
  </si>
  <si>
    <t>남광로얄(1443)</t>
  </si>
  <si>
    <t>1980.02.</t>
  </si>
  <si>
    <t>https://new.land.naver.com/complexes/2443?tab=detail&amp;rf=Y</t>
  </si>
  <si>
    <t>인천시 미추홀구 주안동 1443</t>
  </si>
  <si>
    <t>인천시 미추홀구 인주대로366번길 23</t>
  </si>
  <si>
    <t>86C</t>
  </si>
  <si>
    <t>132A</t>
  </si>
  <si>
    <t>132B</t>
  </si>
  <si>
    <t>https://new.land.naver.com/complexes/118475?tab=detail&amp;rf=Y</t>
  </si>
  <si>
    <t>인천시 미추홀구 주안동 66-2</t>
  </si>
  <si>
    <t>인천시 미추홀구 경인로425번길 31</t>
  </si>
  <si>
    <t>광명8차</t>
  </si>
  <si>
    <t>1988.07.</t>
  </si>
  <si>
    <t>https://new.land.naver.com/complexes/2442?tab=detail&amp;rf=Y</t>
  </si>
  <si>
    <t>인천시 미추홀구 주안동 1487-7</t>
  </si>
  <si>
    <t>인천시 미추홀구 인주대로418번길 19</t>
  </si>
  <si>
    <t>주안애캐슬(51-3)</t>
  </si>
  <si>
    <t>https://new.land.naver.com/complexes/101432?tab=detail&amp;rf=Y</t>
  </si>
  <si>
    <t>인천시 미추홀구 주안동 51-3</t>
  </si>
  <si>
    <t>인천시 미추홀구 경원대로897번길 58</t>
  </si>
  <si>
    <t>동방</t>
  </si>
  <si>
    <t>https://new.land.naver.com/complexes/111778?tab=detail&amp;rf=Y</t>
  </si>
  <si>
    <t>인천시 미추홀구 주안동 929-43</t>
  </si>
  <si>
    <t>인천시 미추홀구 경원대로898번길 12-18</t>
  </si>
  <si>
    <t>이스트힐</t>
  </si>
  <si>
    <t>https://new.land.naver.com/complexes/119531?tab=detail&amp;rf=Y</t>
  </si>
  <si>
    <t>인천시 미추홀구 주안동 174-3</t>
  </si>
  <si>
    <t>인천시 미추홀구 미추홀대로 706</t>
  </si>
  <si>
    <t>태영</t>
  </si>
  <si>
    <t>https://new.land.naver.com/complexes/22523?tab=detail&amp;rf=Y</t>
  </si>
  <si>
    <t>인천시 미추홀구 주안동 85-8</t>
  </si>
  <si>
    <t>인천시 미추홀구 석바위로96번길 14</t>
  </si>
  <si>
    <t>위드팰리스</t>
  </si>
  <si>
    <t>https://new.land.naver.com/complexes/131913?tab=detail&amp;rf=Y</t>
  </si>
  <si>
    <t>인천시 미추홀구 주안동 58-11</t>
  </si>
  <si>
    <t>인천시 미추홀구 주안동로26번길 15</t>
  </si>
  <si>
    <t>주안애팰리스2</t>
  </si>
  <si>
    <t>https://new.land.naver.com/complexes/110999?tab=detail&amp;rf=Y</t>
  </si>
  <si>
    <t>인천시 미추홀구 주안동 216-7</t>
  </si>
  <si>
    <t>인천시 미추홀구 석바위로 47</t>
  </si>
  <si>
    <t>71D</t>
  </si>
  <si>
    <t>아이앤비</t>
  </si>
  <si>
    <t>https://new.land.naver.com/complexes/101817?tab=detail&amp;rf=Y</t>
  </si>
  <si>
    <t>인천시 미추홀구 주안동 270-1</t>
  </si>
  <si>
    <t>인천시 미추홀구 주안서로53번길 82</t>
  </si>
  <si>
    <t>파크맨션</t>
  </si>
  <si>
    <t>https://new.land.naver.com/complexes/127784?tab=detail&amp;rf=Y</t>
  </si>
  <si>
    <t>인천시 미추홀구 주안동 104-1</t>
  </si>
  <si>
    <t>인천시 미추홀구 주안중로50번길 12</t>
  </si>
  <si>
    <t>동인</t>
  </si>
  <si>
    <t>48A</t>
  </si>
  <si>
    <t>https://new.land.naver.com/complexes/10475?tab=detail&amp;rf=Y</t>
  </si>
  <si>
    <t>인천시 미추홀구 주안동 31-1</t>
  </si>
  <si>
    <t>인천시 미추홀구 염창로 72</t>
  </si>
  <si>
    <t>주안현대홈타운</t>
  </si>
  <si>
    <t>https://new.land.naver.com/complexes/10690?tab=detail&amp;rf=Y</t>
  </si>
  <si>
    <t>인천시 미추홀구 주안동 13-1</t>
  </si>
  <si>
    <t>인천시 미추홀구 석정로351번길 12</t>
  </si>
  <si>
    <t>스위트리아(197-17)</t>
  </si>
  <si>
    <t>https://new.land.naver.com/complexes/114266?tab=detail&amp;rf=Y</t>
  </si>
  <si>
    <t>인천시 미추홀구 주안동 197-17</t>
  </si>
  <si>
    <t>인천시 미추홀구 주안서로 3</t>
  </si>
  <si>
    <t>하이팰리스</t>
  </si>
  <si>
    <t>https://new.land.naver.com/complexes/115091?tab=detail&amp;rf=Y</t>
  </si>
  <si>
    <t>인천시 미추홀구 주안동 972-5</t>
  </si>
  <si>
    <t>인천시 미추홀구 주안로174번길 29</t>
  </si>
  <si>
    <t>에버그린(285-33)</t>
  </si>
  <si>
    <t>https://new.land.naver.com/complexes/131843?tab=detail&amp;rf=Y</t>
  </si>
  <si>
    <t>인천시 미추홀구 주안동 285-33</t>
  </si>
  <si>
    <t>인천시 미추홀구 주안로46번길 4</t>
  </si>
  <si>
    <t>석암</t>
  </si>
  <si>
    <t>https://new.land.naver.com/complexes/16563?tab=detail&amp;rf=Y</t>
  </si>
  <si>
    <t>인천시 미추홀구 주안동 991-11</t>
  </si>
  <si>
    <t>인천시 미추홀구 석바위로143번길 15</t>
  </si>
  <si>
    <t>삼덕진주(6,7,9동)</t>
  </si>
  <si>
    <t>1982.07.</t>
  </si>
  <si>
    <t>https://new.land.naver.com/complexes/10476?tab=detail&amp;rf=Y</t>
  </si>
  <si>
    <t>인천시 미추홀구 주안동 22-34</t>
  </si>
  <si>
    <t>인천시 미추홀구 석정로 452</t>
  </si>
  <si>
    <t>알바트로스(도시형)</t>
  </si>
  <si>
    <t>https://new.land.naver.com/complexes/105643?tab=detail&amp;rf=Y</t>
  </si>
  <si>
    <t>인천시 미추홀구 주안동 81-15</t>
  </si>
  <si>
    <t>인천시 미추홀구 주안중로16번길 14</t>
  </si>
  <si>
    <t>22A</t>
  </si>
  <si>
    <t>22D</t>
  </si>
  <si>
    <t>22B</t>
  </si>
  <si>
    <t>경일</t>
  </si>
  <si>
    <t>1988.12.</t>
  </si>
  <si>
    <t>https://new.land.naver.com/complexes/13815?tab=detail&amp;rf=Y</t>
  </si>
  <si>
    <t>인천시 미추홀구 주안동 1211-31</t>
  </si>
  <si>
    <t>인천시 미추홀구 인하로318번길 16</t>
  </si>
  <si>
    <t>롯데하이텔</t>
  </si>
  <si>
    <t>1999.09.</t>
  </si>
  <si>
    <t>https://new.land.naver.com/complexes/13236?tab=detail&amp;rf=Y</t>
  </si>
  <si>
    <t>인천시 미추홀구 주안동 204-2</t>
  </si>
  <si>
    <t>인천시 미추홀구 미추홀대로697번길 22</t>
  </si>
  <si>
    <t>퍼스트팰리스</t>
  </si>
  <si>
    <t>https://new.land.naver.com/complexes/130579?tab=detail&amp;rf=Y</t>
  </si>
  <si>
    <t>인천시 미추홀구 주안동 57-6</t>
  </si>
  <si>
    <t>인천시 미추홀구 경원대로875번길 48</t>
  </si>
  <si>
    <t>보미리즌빌</t>
  </si>
  <si>
    <t>2011.07.</t>
  </si>
  <si>
    <t>https://new.land.naver.com/complexes/106254?tab=detail&amp;rf=Y</t>
  </si>
  <si>
    <t>인천시 미추홀구 주안동 929-16</t>
  </si>
  <si>
    <t>인천시 미추홀구 경원대로 890</t>
  </si>
  <si>
    <t>영캐슬</t>
  </si>
  <si>
    <t>https://new.land.naver.com/complexes/110194?tab=detail&amp;rf=Y</t>
  </si>
  <si>
    <t>인천시 미추홀구 주안동 222-2</t>
  </si>
  <si>
    <t>인천시 미추홀구 석바위로53번길 36</t>
  </si>
  <si>
    <t>이루미아</t>
  </si>
  <si>
    <t>2008.06.</t>
  </si>
  <si>
    <t>https://new.land.naver.com/complexes/108118?tab=detail&amp;rf=Y</t>
  </si>
  <si>
    <t>인천시 미추홀구 주안동 975-2</t>
  </si>
  <si>
    <t>인천시 미추홀구 경원대로897번길 15</t>
  </si>
  <si>
    <t>한뫼위너스</t>
  </si>
  <si>
    <t>2009.04.</t>
  </si>
  <si>
    <t>https://new.land.naver.com/complexes/108210?tab=detail&amp;rf=Y</t>
  </si>
  <si>
    <t>인천시 미추홀구 주안동 84-23</t>
  </si>
  <si>
    <t>인천시 미추홀구 석바위로 104</t>
  </si>
  <si>
    <t>주안룩소르</t>
  </si>
  <si>
    <t>https://new.land.naver.com/complexes/114983?tab=detail&amp;rf=Y</t>
  </si>
  <si>
    <t>인천시 미추홀구 주안동 126-6</t>
  </si>
  <si>
    <t>인천시 미추홀구 주안로 123</t>
  </si>
  <si>
    <t>주안한양</t>
  </si>
  <si>
    <t>https://new.land.naver.com/complexes/101814?tab=detail&amp;rf=Y</t>
  </si>
  <si>
    <t>인천시 미추홀구 주안동 197-6</t>
  </si>
  <si>
    <t>인천시 미추홀구 경인로325번길 22-30</t>
  </si>
  <si>
    <t>고려</t>
  </si>
  <si>
    <t>2002.05.</t>
  </si>
  <si>
    <t>https://new.land.naver.com/complexes/13557?tab=detail&amp;rf=Y</t>
  </si>
  <si>
    <t>인천시 미추홀구 주안동 992-15</t>
  </si>
  <si>
    <t>인천시 미추홀구 경원대로875번길 33</t>
  </si>
  <si>
    <t>44A</t>
  </si>
  <si>
    <t>44B</t>
  </si>
  <si>
    <t>예하임</t>
  </si>
  <si>
    <t>2009.09.</t>
  </si>
  <si>
    <t>https://new.land.naver.com/complexes/102291?tab=detail&amp;rf=Y</t>
  </si>
  <si>
    <t>인천시 미추홀구 주안동 1562</t>
  </si>
  <si>
    <t>인천시 미추홀구 인주대로495번길 12</t>
  </si>
  <si>
    <t>실크빌</t>
  </si>
  <si>
    <t>2004.07.</t>
  </si>
  <si>
    <t>https://new.land.naver.com/complexes/108952?tab=detail&amp;rf=Y</t>
  </si>
  <si>
    <t>인천시 미추홀구 주안동 267-1</t>
  </si>
  <si>
    <t>인천시 미추홀구 주안로 70</t>
  </si>
  <si>
    <t>현광저층</t>
  </si>
  <si>
    <t>1987.10.</t>
  </si>
  <si>
    <t>https://new.land.naver.com/complexes/16577?tab=detail&amp;rf=Y</t>
  </si>
  <si>
    <t>인천시 미추홀구 주안동 1487-4</t>
  </si>
  <si>
    <t>인천시 미추홀구 인주대로434번길 30</t>
  </si>
  <si>
    <t>대성빌리뷰</t>
  </si>
  <si>
    <t>https://new.land.naver.com/complexes/101886?tab=detail&amp;rf=Y</t>
  </si>
  <si>
    <t>인천시 미추홀구 주안동 929-5</t>
  </si>
  <si>
    <t>인천시 미추홀구 경원대로898번길 12-8</t>
  </si>
  <si>
    <t>e편한세상주안에듀서밋</t>
  </si>
  <si>
    <t>https://new.land.naver.com/complexes/140809?tab=detail&amp;rf=Y</t>
  </si>
  <si>
    <t>인천시 미추홀구 주안동 1344-1번지 외 5필지</t>
  </si>
  <si>
    <t>로얄</t>
  </si>
  <si>
    <t>https://new.land.naver.com/complexes/11146?tab=detail&amp;rf=Y</t>
  </si>
  <si>
    <t>인천시 미추홀구 주안동 882-1</t>
  </si>
  <si>
    <t>인천시 미추홀구 주안로 187</t>
  </si>
  <si>
    <t>대경이즈뷰(634-2)</t>
  </si>
  <si>
    <t>https://new.land.naver.com/complexes/144363?tab=detail&amp;rf=Y</t>
  </si>
  <si>
    <t>인천시 미추홀구 주안동 634-2</t>
  </si>
  <si>
    <t>인천시 미추홀구 한나루로563번길 4-1</t>
  </si>
  <si>
    <t>75F</t>
  </si>
  <si>
    <t>극동탑</t>
  </si>
  <si>
    <t>https://new.land.naver.com/complexes/101260?tab=detail&amp;rf=Y</t>
  </si>
  <si>
    <t>인천시 미추홀구 주안동 981-2</t>
  </si>
  <si>
    <t>인천시 미추홀구 경원대로897번길 35</t>
  </si>
  <si>
    <t>55C</t>
  </si>
  <si>
    <t>하이런타운</t>
  </si>
  <si>
    <t>2003.10.</t>
  </si>
  <si>
    <t>https://new.land.naver.com/complexes/109186?tab=detail&amp;rf=Y</t>
  </si>
  <si>
    <t>인천시 미추홀구 주안동 634-1</t>
  </si>
  <si>
    <t>인천시 미추홀구 한나루로563번길 4-7</t>
  </si>
  <si>
    <t>힐탑플러스</t>
  </si>
  <si>
    <t>https://new.land.naver.com/complexes/113533?tab=detail&amp;rf=Y</t>
  </si>
  <si>
    <t>인천시 미추홀구 주안동 202-1</t>
  </si>
  <si>
    <t>인천시 미추홀구 주안서로 18</t>
  </si>
  <si>
    <t>탑스퀘어2차</t>
  </si>
  <si>
    <t>https://new.land.naver.com/complexes/117520?tab=detail&amp;rf=Y</t>
  </si>
  <si>
    <t>인천시 미추홀구 주안동 1483-2</t>
  </si>
  <si>
    <t>인천시 미추홀구 미추홀대로614번길 50</t>
  </si>
  <si>
    <t>https://new.land.naver.com/complexes/11935?tab=detail&amp;rf=Y</t>
  </si>
  <si>
    <t>인천시 미추홀구 주안동 478-54</t>
  </si>
  <si>
    <t>인천시 미추홀구 주안로35번길 12</t>
  </si>
  <si>
    <t>베르데힐</t>
  </si>
  <si>
    <t>https://new.land.naver.com/complexes/145723?tab=detail&amp;rf=Y</t>
  </si>
  <si>
    <t>인천시 미추홀구 주안동 203-14</t>
  </si>
  <si>
    <t>인천시 미추홀구 석바위로 48-1</t>
  </si>
  <si>
    <t>엔에스파크(201-15)</t>
  </si>
  <si>
    <t>https://new.land.naver.com/complexes/108143?tab=detail&amp;rf=Y</t>
  </si>
  <si>
    <t>인천시 미추홀구 주안동 201-15</t>
  </si>
  <si>
    <t>인천시 미추홀구 석바위로 38</t>
  </si>
  <si>
    <t>76D</t>
  </si>
  <si>
    <t>76F</t>
  </si>
  <si>
    <t>90D</t>
  </si>
  <si>
    <t>대경월드</t>
  </si>
  <si>
    <t>https://new.land.naver.com/complexes/103660?tab=detail&amp;rf=Y</t>
  </si>
  <si>
    <t>인천시 미추홀구 주안동 928-20</t>
  </si>
  <si>
    <t>인천시 미추홀구 주안로 186</t>
  </si>
  <si>
    <t>65D</t>
  </si>
  <si>
    <t>탑스퀘어</t>
  </si>
  <si>
    <t>https://new.land.naver.com/complexes/124592?tab=detail&amp;rf=Y</t>
  </si>
  <si>
    <t>인천시 미추홀구 주안동 268-1</t>
  </si>
  <si>
    <t>인천시 미추홀구 주안서로 57</t>
  </si>
  <si>
    <t>이안</t>
  </si>
  <si>
    <t>https://new.land.naver.com/complexes/115921?tab=detail&amp;rf=Y</t>
  </si>
  <si>
    <t>인천시 미추홀구 주안동 170-2</t>
  </si>
  <si>
    <t>인천시 미추홀구 석바위로80번길 6</t>
  </si>
  <si>
    <t>광성(1466-3)</t>
  </si>
  <si>
    <t>1984.09.</t>
  </si>
  <si>
    <t>https://new.land.naver.com/complexes/10561?tab=detail&amp;rf=Y</t>
  </si>
  <si>
    <t>인천시 미추홀구 주안동 1466-3</t>
  </si>
  <si>
    <t>인천시 미추홀구 미추홀대로586번길 3</t>
  </si>
  <si>
    <t>이츠(101-2)</t>
  </si>
  <si>
    <t>2013.07.</t>
  </si>
  <si>
    <t>https://new.land.naver.com/complexes/119347?tab=detail&amp;rf=Y</t>
  </si>
  <si>
    <t>인천시 미추홀구 주안동 101-2</t>
  </si>
  <si>
    <t>인천시 미추홀구 주안동로 49</t>
  </si>
  <si>
    <t>이안애비뉴</t>
  </si>
  <si>
    <t>https://new.land.naver.com/complexes/124091?tab=detail&amp;rf=Y</t>
  </si>
  <si>
    <t>인천시 미추홀구 주안동 57-2</t>
  </si>
  <si>
    <t>인천시 미추홀구 주안로160번길 54</t>
  </si>
  <si>
    <t>두울</t>
  </si>
  <si>
    <t>2001.11.</t>
  </si>
  <si>
    <t>https://new.land.naver.com/complexes/12903?tab=detail&amp;rf=Y</t>
  </si>
  <si>
    <t>인천시 미추홀구 주안동 265-25</t>
  </si>
  <si>
    <t>인천시 미추홀구 주안서로53번길 26</t>
  </si>
  <si>
    <t>46A</t>
  </si>
  <si>
    <t>46B</t>
  </si>
  <si>
    <t>제이카운티</t>
  </si>
  <si>
    <t>https://new.land.naver.com/complexes/126584?tab=detail&amp;rf=Y</t>
  </si>
  <si>
    <t>인천시 미추홀구 주안동 20-3</t>
  </si>
  <si>
    <t>인천시 미추홀구 석정로 470</t>
  </si>
  <si>
    <t>선정</t>
  </si>
  <si>
    <t>2001.05.</t>
  </si>
  <si>
    <t>https://new.land.naver.com/complexes/9680?tab=detail&amp;rf=Y</t>
  </si>
  <si>
    <t>인천시 미추홀구 주안동 22-33</t>
  </si>
  <si>
    <t>인천시 미추홀구 염창로 101</t>
  </si>
  <si>
    <t>씨티프라임</t>
  </si>
  <si>
    <t>2010.06.</t>
  </si>
  <si>
    <t>https://new.land.naver.com/complexes/103123?tab=detail&amp;rf=Y</t>
  </si>
  <si>
    <t>인천시 미추홀구 주안동 961-5</t>
  </si>
  <si>
    <t>인천시 미추홀구 경원대로 911-19</t>
  </si>
  <si>
    <t>대경이즈뷰(199-4)</t>
  </si>
  <si>
    <t>https://new.land.naver.com/complexes/106033?tab=detail&amp;rf=Y</t>
  </si>
  <si>
    <t>인천시 미추홀구 주안동 199-4</t>
  </si>
  <si>
    <t>인천시 미추홀구 경인로325번길 16</t>
  </si>
  <si>
    <t>청울림</t>
  </si>
  <si>
    <t>https://new.land.naver.com/complexes/141687?tab=detail&amp;rf=Y</t>
  </si>
  <si>
    <t>인천시 미추홀구 주안동 698-3</t>
  </si>
  <si>
    <t>인천시 미추홀구 한나루로 528</t>
  </si>
  <si>
    <t>제니스17차</t>
  </si>
  <si>
    <t>https://new.land.naver.com/complexes/143855?tab=detail&amp;rf=Y</t>
  </si>
  <si>
    <t>인천시 미추홀구 주안동 1506-11</t>
  </si>
  <si>
    <t>인천시 미추홀구 동주길10번길 22</t>
  </si>
  <si>
    <t>광명4차</t>
  </si>
  <si>
    <t>https://new.land.naver.com/complexes/10474?tab=detail&amp;rf=Y</t>
  </si>
  <si>
    <t>인천시 미추홀구 주안동 26-5</t>
  </si>
  <si>
    <t>인천시 미추홀구 석정로 354</t>
  </si>
  <si>
    <t>청도스카이뷰</t>
  </si>
  <si>
    <t>2004.08.</t>
  </si>
  <si>
    <t>https://new.land.naver.com/complexes/23182?tab=detail&amp;rf=Y</t>
  </si>
  <si>
    <t>인천시 미추홀구 주안동 980-6</t>
  </si>
  <si>
    <t>인천시 미추홀구 경원대로887번길 24-13</t>
  </si>
  <si>
    <t>이츠(1532-2)</t>
  </si>
  <si>
    <t>https://new.land.naver.com/complexes/123394?tab=detail&amp;rf=Y</t>
  </si>
  <si>
    <t>인천시 미추홀구 주안동 1532-2</t>
  </si>
  <si>
    <t>인천시 미추홀구 인주대로470번길 12-26</t>
  </si>
  <si>
    <t>현대훼밀리</t>
  </si>
  <si>
    <t>https://new.land.naver.com/complexes/103268?tab=detail&amp;rf=Y</t>
  </si>
  <si>
    <t>인천시 미추홀구 주안동 271-3</t>
  </si>
  <si>
    <t>인천시 미추홀구 석바위로110번길 6</t>
  </si>
  <si>
    <t>신한3차</t>
  </si>
  <si>
    <t>https://new.land.naver.com/complexes/109000?tab=detail&amp;rf=Y</t>
  </si>
  <si>
    <t>인천시 미추홀구 주안동 58-20</t>
  </si>
  <si>
    <t>인천시 미추홀구 경원대로875번길 43-15</t>
  </si>
  <si>
    <t>53D</t>
  </si>
  <si>
    <t>https://new.land.naver.com/complexes/123263?tab=detail&amp;rf=Y</t>
  </si>
  <si>
    <t>인천시 미추홀구 주안동 286-8</t>
  </si>
  <si>
    <t>인천시 미추홀구 주안서로53번길 72</t>
  </si>
  <si>
    <t>엠버빌</t>
  </si>
  <si>
    <t>https://new.land.naver.com/complexes/127449?tab=detail&amp;rf=Y</t>
  </si>
  <si>
    <t>인천시 미추홀구 주안동 1422-1</t>
  </si>
  <si>
    <t>인천시 미추홀구 인주대로 336</t>
  </si>
  <si>
    <t>이츠2차</t>
  </si>
  <si>
    <t>https://new.land.naver.com/complexes/115980?tab=detail&amp;rf=Y</t>
  </si>
  <si>
    <t>인천시 미추홀구 주안동 273-6</t>
  </si>
  <si>
    <t>인천시 미추홀구 석바위로 110</t>
  </si>
  <si>
    <t>정다운파크빌</t>
  </si>
  <si>
    <t>https://new.land.naver.com/complexes/120041?tab=detail&amp;rf=Y</t>
  </si>
  <si>
    <t>인천시 미추홀구 주안동 48-1</t>
  </si>
  <si>
    <t>인천시 미추홀구 주안로 149</t>
  </si>
  <si>
    <t>주안휴먼빌</t>
  </si>
  <si>
    <t>2006.06.</t>
  </si>
  <si>
    <t>https://new.land.naver.com/complexes/25095?tab=detail&amp;rf=Y</t>
  </si>
  <si>
    <t>인천시 미추홀구 주안동 1613</t>
  </si>
  <si>
    <t>인천시 미추홀구 한나루로550번길 63</t>
  </si>
  <si>
    <t>창우빌라트Ⅱ</t>
  </si>
  <si>
    <t>https://new.land.naver.com/complexes/120185?tab=detail&amp;rf=Y</t>
  </si>
  <si>
    <t>인천시 미추홀구 주안동 215-8</t>
  </si>
  <si>
    <t>인천시 미추홀구 주안서로 28-2</t>
  </si>
  <si>
    <t>밀레니움</t>
  </si>
  <si>
    <t>https://new.land.naver.com/complexes/126419?tab=detail&amp;rf=Y</t>
  </si>
  <si>
    <t>인천시 미추홀구 주안동 965-1</t>
  </si>
  <si>
    <t>인천시 미추홀구 경원대로 911-38</t>
  </si>
  <si>
    <t>주안</t>
  </si>
  <si>
    <t>https://new.land.naver.com/complexes/117686?tab=detail&amp;rf=Y</t>
  </si>
  <si>
    <t>인천시 미추홀구 주안동 972-4</t>
  </si>
  <si>
    <t>인천시 미추홀구 주안로174번길 23</t>
  </si>
  <si>
    <t>영재빌</t>
  </si>
  <si>
    <t>https://new.land.naver.com/complexes/111990?tab=detail&amp;rf=Y</t>
  </si>
  <si>
    <t>인천시 미추홀구 주안동 286-1</t>
  </si>
  <si>
    <t>인천시 미추홀구 주안로 38</t>
  </si>
  <si>
    <t>경신</t>
  </si>
  <si>
    <t>https://new.land.naver.com/complexes/11593?tab=detail&amp;rf=Y</t>
  </si>
  <si>
    <t>인천시 미추홀구 주안동 867-8</t>
  </si>
  <si>
    <t>인천시 미추홀구 주승로31번길 6</t>
  </si>
  <si>
    <t>경민</t>
  </si>
  <si>
    <t>https://new.land.naver.com/complexes/14071?tab=detail&amp;rf=Y</t>
  </si>
  <si>
    <t>인천시 미추홀구 주안동 1490-3</t>
  </si>
  <si>
    <t>인천시 미추홀구 미추홀대로578번길 41</t>
  </si>
  <si>
    <t>주안웰가(도시형)</t>
  </si>
  <si>
    <t>https://new.land.naver.com/complexes/105028?tab=detail&amp;rf=Y</t>
  </si>
  <si>
    <t>인천시 미추홀구 주안동 115-1</t>
  </si>
  <si>
    <t>인천시 미추홀구 주안로 142</t>
  </si>
  <si>
    <t>지예아트홈</t>
  </si>
  <si>
    <t>https://new.land.naver.com/complexes/135808?tab=detail&amp;rf=Y</t>
  </si>
  <si>
    <t>인천시 미추홀구 주안동 75-14</t>
  </si>
  <si>
    <t>인천시 미추홀구 주안동로 35</t>
  </si>
  <si>
    <t>창우빌라트</t>
  </si>
  <si>
    <t>https://new.land.naver.com/complexes/118549?tab=detail&amp;rf=Y</t>
  </si>
  <si>
    <t>인천시 미추홀구 주안동 215-1</t>
  </si>
  <si>
    <t>인천시 미추홀구 석바위로53번길 9</t>
  </si>
  <si>
    <t>스위트리아(394)</t>
  </si>
  <si>
    <t>https://new.land.naver.com/complexes/125070?tab=detail&amp;rf=Y</t>
  </si>
  <si>
    <t>인천시 미추홀구 주안동 394</t>
  </si>
  <si>
    <t>인천시 미추홀구 주안로 53</t>
  </si>
  <si>
    <t>우창빌리지</t>
  </si>
  <si>
    <t>https://new.land.naver.com/complexes/135359?tab=detail&amp;rf=Y</t>
  </si>
  <si>
    <t>인천시 미추홀구 주안동 695-4</t>
  </si>
  <si>
    <t>인천시 미추홀구 한나루로 531-12</t>
  </si>
  <si>
    <t>주안더월드스테이트</t>
  </si>
  <si>
    <t>2008.05.</t>
  </si>
  <si>
    <t>https://new.land.naver.com/complexes/22348?tab=detail&amp;rf=Y</t>
  </si>
  <si>
    <t>인천시 미추홀구 주안동 1614</t>
  </si>
  <si>
    <t>인천시 미추홀구 경원대로 884</t>
  </si>
  <si>
    <t>119C</t>
  </si>
  <si>
    <t>158A</t>
  </si>
  <si>
    <t>160B</t>
  </si>
  <si>
    <t>다원캐슬</t>
  </si>
  <si>
    <t>https://new.land.naver.com/complexes/136883?tab=detail&amp;rf=Y</t>
  </si>
  <si>
    <t>인천시 미추홀구 주안동 201-3</t>
  </si>
  <si>
    <t>인천시 미추홀구 경인로325번길 34</t>
  </si>
  <si>
    <t>크라운</t>
  </si>
  <si>
    <t>2013.08.</t>
  </si>
  <si>
    <t>https://new.land.naver.com/complexes/137367?tab=detail&amp;rf=Y</t>
  </si>
  <si>
    <t>인천시 미추홀구 주안동 112-9</t>
  </si>
  <si>
    <t>인천시 미추홀구 주안중로50번길 27-13</t>
  </si>
  <si>
    <t>연흥(1491-3)</t>
  </si>
  <si>
    <t>https://new.land.naver.com/complexes/10532?tab=detail&amp;rf=Y</t>
  </si>
  <si>
    <t>인천시 미추홀구 주안동 1491-3</t>
  </si>
  <si>
    <t>인천시 미추홀구 인하로329번길 23</t>
  </si>
  <si>
    <t>주안역센트레빌</t>
  </si>
  <si>
    <t>2021.07.</t>
  </si>
  <si>
    <t>https://new.land.naver.com/complexes/123319?tab=detail&amp;rf=Y</t>
  </si>
  <si>
    <t>인천시 미추홀구 주안동 19-2</t>
  </si>
  <si>
    <t>인천시 미추홀구 염전로 414</t>
  </si>
  <si>
    <t>81D</t>
  </si>
  <si>
    <t>욱일</t>
  </si>
  <si>
    <t>1982.09.</t>
  </si>
  <si>
    <t>https://new.land.naver.com/complexes/14803?tab=detail&amp;rf=Y</t>
  </si>
  <si>
    <t>인천시 미추홀구 주안동 1465-36</t>
  </si>
  <si>
    <t>인천시 미추홀구 인하로299번길 21</t>
  </si>
  <si>
    <t>이츠(50-1)</t>
  </si>
  <si>
    <t>https://new.land.naver.com/complexes/117745?tab=detail&amp;rf=Y</t>
  </si>
  <si>
    <t>인천시 미추홀구 주안동 50-1</t>
  </si>
  <si>
    <t>인천시 미추홀구 경원대로897번길 40</t>
  </si>
  <si>
    <t>삼성올레오빌</t>
  </si>
  <si>
    <t>https://new.land.naver.com/complexes/138983?tab=detail&amp;rf=Y</t>
  </si>
  <si>
    <t>인천시 미추홀구 주안동 201-2</t>
  </si>
  <si>
    <t>인천시 미추홀구 석바위로 36</t>
  </si>
  <si>
    <t>연흥(9-3)</t>
  </si>
  <si>
    <t>https://new.land.naver.com/complexes/24124?tab=detail&amp;rf=Y</t>
  </si>
  <si>
    <t>인천시 미추홀구 주안동 9-3</t>
  </si>
  <si>
    <t>인천시 미추홀구 길파로27번길 70</t>
  </si>
  <si>
    <t>https://new.land.naver.com/complexes/113190?tab=detail&amp;rf=Y</t>
  </si>
  <si>
    <t>인천시 미추홀구 주안동 200-23</t>
  </si>
  <si>
    <t>인천시 미추홀구 주안서로 19</t>
  </si>
  <si>
    <t>광해리드빌(101동)</t>
  </si>
  <si>
    <t>https://new.land.naver.com/complexes/10487?tab=detail&amp;rf=Y</t>
  </si>
  <si>
    <t>인천시 미추홀구 주안동 962-1</t>
  </si>
  <si>
    <t>인천시 미추홀구 주안로 171</t>
  </si>
  <si>
    <t>주안프라움에스(도시형)</t>
  </si>
  <si>
    <t>https://new.land.naver.com/complexes/117844?tab=detail&amp;rf=Y</t>
  </si>
  <si>
    <t>인천시 미추홀구 주안동 23-1</t>
  </si>
  <si>
    <t>인천시 미추홀구 주염로 8</t>
  </si>
  <si>
    <t>[학익동]</t>
  </si>
  <si>
    <t>신동아3차</t>
  </si>
  <si>
    <t>1990.04.</t>
  </si>
  <si>
    <t>https://new.land.naver.com/complexes/2464?tab=detail&amp;rf=Y</t>
  </si>
  <si>
    <t>인천시 미추홀구 학익동 48-14</t>
  </si>
  <si>
    <t>학익동</t>
  </si>
  <si>
    <t>인천시 미추홀구 매소홀로475번길 18</t>
  </si>
  <si>
    <t>학익현광2차</t>
  </si>
  <si>
    <t>https://new.land.naver.com/complexes/9070?tab=detail&amp;rf=Y</t>
  </si>
  <si>
    <t>인천시 미추홀구 학익동 686-12</t>
  </si>
  <si>
    <t>인천시 미추홀구 매소홀로418번길 14-13</t>
  </si>
  <si>
    <t>주안신동아8차</t>
  </si>
  <si>
    <t>1997.06.</t>
  </si>
  <si>
    <t>https://new.land.naver.com/complexes/2470?tab=detail&amp;rf=Y</t>
  </si>
  <si>
    <t>인천시 미추홀구 학익동 50</t>
  </si>
  <si>
    <t>인천시 미추홀구 매소홀로475번길 60</t>
  </si>
  <si>
    <t>미래홈타운(270-9)</t>
  </si>
  <si>
    <t>https://new.land.naver.com/complexes/124858?tab=detail&amp;rf=Y</t>
  </si>
  <si>
    <t>인천시 미추홀구 학익동 270-9</t>
  </si>
  <si>
    <t>인천시 미추홀구 한나루로404번길 21-1</t>
  </si>
  <si>
    <t>시티오씨엘4단지(주)</t>
  </si>
  <si>
    <t>2025.01.</t>
  </si>
  <si>
    <t>https://new.land.naver.com/complexes/144065?tab=detail&amp;rf=Y</t>
  </si>
  <si>
    <t>인천시 미추홀구 학익동 학익1블록 도시개발사업구역 내 업무복합2BL</t>
  </si>
  <si>
    <t>주안신동아7차</t>
  </si>
  <si>
    <t>1994.11.</t>
  </si>
  <si>
    <t>https://new.land.naver.com/complexes/2469?tab=detail&amp;rf=Y</t>
  </si>
  <si>
    <t>인천시 미추홀구 학익동 645</t>
  </si>
  <si>
    <t>인천시 미추홀구 학익소로61번길 83</t>
  </si>
  <si>
    <t>삼경</t>
  </si>
  <si>
    <t>https://new.land.naver.com/complexes/11929?tab=detail&amp;rf=Y</t>
  </si>
  <si>
    <t>인천시 미추홀구 학익동 290-4</t>
  </si>
  <si>
    <t>인천시 미추홀구 한나루로434번길 18</t>
  </si>
  <si>
    <t>태산</t>
  </si>
  <si>
    <t>1998.10.</t>
  </si>
  <si>
    <t>https://new.land.naver.com/complexes/8904?tab=detail&amp;rf=Y</t>
  </si>
  <si>
    <t>인천시 미추홀구 학익동 703-2</t>
  </si>
  <si>
    <t>인천시 미추홀구 한나루로341번길 40</t>
  </si>
  <si>
    <t>시티오씨엘3단지(주)</t>
  </si>
  <si>
    <t>2024.12.</t>
  </si>
  <si>
    <t>https://new.land.naver.com/complexes/140483?tab=detail&amp;rf=Y</t>
  </si>
  <si>
    <t>인천시 미추홀구 학익동 용현.학익지구 업무1블록</t>
  </si>
  <si>
    <t>194P</t>
  </si>
  <si>
    <t>현광1차</t>
  </si>
  <si>
    <t>2000.04.</t>
  </si>
  <si>
    <t>https://new.land.naver.com/complexes/8585?tab=detail&amp;rf=Y</t>
  </si>
  <si>
    <t>인천시 미추홀구 학익동 711-3</t>
  </si>
  <si>
    <t>인천시 미추홀구 한나루로357번길 165</t>
  </si>
  <si>
    <t>시티오씨엘1단지</t>
  </si>
  <si>
    <t>2024.03.</t>
  </si>
  <si>
    <t>https://new.land.naver.com/complexes/142108?tab=detail&amp;rf=Y</t>
  </si>
  <si>
    <t>인천시 미추홀구 학익동 용현.학익도시개발사업구역 공동1-1BL</t>
  </si>
  <si>
    <t>158P</t>
  </si>
  <si>
    <t>172P</t>
  </si>
  <si>
    <t>청운</t>
  </si>
  <si>
    <t>https://new.land.naver.com/complexes/9431?tab=detail&amp;rf=Y</t>
  </si>
  <si>
    <t>인천시 미추홀구 학익동 74-2</t>
  </si>
  <si>
    <t>인천시 미추홀구 소성로256번길 18</t>
  </si>
  <si>
    <t>학익풍림아이원</t>
  </si>
  <si>
    <t>2007.12.</t>
  </si>
  <si>
    <t>https://new.land.naver.com/complexes/26150?tab=detail&amp;rf=Y</t>
  </si>
  <si>
    <t>인천시 미추홀구 학익동 721</t>
  </si>
  <si>
    <t>인천시 미추홀구 매소홀로 340</t>
  </si>
  <si>
    <t>삼익플라주</t>
  </si>
  <si>
    <t>https://new.land.naver.com/complexes/106112?tab=detail&amp;rf=Y</t>
  </si>
  <si>
    <t>인천시 미추홀구 학익동 743</t>
  </si>
  <si>
    <t>인천시 미추홀구 한나루로456번길 12</t>
  </si>
  <si>
    <t>신동아6차</t>
  </si>
  <si>
    <t>1992.05.</t>
  </si>
  <si>
    <t>https://new.land.naver.com/complexes/2468?tab=detail&amp;rf=Y</t>
  </si>
  <si>
    <t>인천시 미추홀구 학익동 41-3</t>
  </si>
  <si>
    <t>인천시 미추홀구 학익소로63번길 59</t>
  </si>
  <si>
    <t>동아풍림</t>
  </si>
  <si>
    <t>https://new.land.naver.com/complexes/8405?tab=detail&amp;rf=Y</t>
  </si>
  <si>
    <t>인천시 미추홀구 학익동 719</t>
  </si>
  <si>
    <t>인천시 미추홀구 소성로 120</t>
  </si>
  <si>
    <t>호산1차</t>
  </si>
  <si>
    <t>1996.07.</t>
  </si>
  <si>
    <t>https://new.land.naver.com/complexes/8902?tab=detail&amp;rf=Y</t>
  </si>
  <si>
    <t>인천시 미추홀구 학익동 692-1</t>
  </si>
  <si>
    <t>인천시 미추홀구 한나루로358번길 6-11</t>
  </si>
  <si>
    <t>신동아4차</t>
  </si>
  <si>
    <t>1990.11.</t>
  </si>
  <si>
    <t>https://new.land.naver.com/complexes/2465?tab=detail&amp;rf=Y</t>
  </si>
  <si>
    <t>인천시 미추홀구 학익동 48-2</t>
  </si>
  <si>
    <t>인천시 미추홀구 학익소로61번길 132</t>
  </si>
  <si>
    <t>1990.01.</t>
  </si>
  <si>
    <t>https://new.land.naver.com/complexes/11092?tab=detail&amp;rf=Y</t>
  </si>
  <si>
    <t>인천시 미추홀구 학익동 678-3</t>
  </si>
  <si>
    <t>인천시 미추홀구 매소홀로438번길 8</t>
  </si>
  <si>
    <t>호산2차</t>
  </si>
  <si>
    <t>1997.05.</t>
  </si>
  <si>
    <t>https://new.land.naver.com/complexes/8903?tab=detail&amp;rf=Y</t>
  </si>
  <si>
    <t>인천시 미추홀구 학익동 693-1</t>
  </si>
  <si>
    <t>인천시 미추홀구 한나루로358번길 34-1</t>
  </si>
  <si>
    <t>하나1차</t>
  </si>
  <si>
    <t>1997.12.</t>
  </si>
  <si>
    <t>https://new.land.naver.com/complexes/8899?tab=detail&amp;rf=Y</t>
  </si>
  <si>
    <t>인천시 미추홀구 학익동 681-6</t>
  </si>
  <si>
    <t>인천시 미추홀구 매소홀로418번길 21</t>
  </si>
  <si>
    <t>신동아5차</t>
  </si>
  <si>
    <t>https://new.land.naver.com/complexes/2467?tab=detail&amp;rf=Y</t>
  </si>
  <si>
    <t>인천시 미추홀구 학익동 48-1</t>
  </si>
  <si>
    <t>인천시 미추홀구 학익소로61번길 135</t>
  </si>
  <si>
    <t>신동아1,2차</t>
  </si>
  <si>
    <t>1988.11.</t>
  </si>
  <si>
    <t>https://new.land.naver.com/complexes/2463?tab=detail&amp;rf=Y</t>
  </si>
  <si>
    <t>인천시 미추홀구 학익동 125-1</t>
  </si>
  <si>
    <t>인천시 미추홀구 소성로 211</t>
  </si>
  <si>
    <t>인천학익두산위브</t>
  </si>
  <si>
    <t>https://new.land.naver.com/complexes/27513?tab=detail&amp;rf=Y</t>
  </si>
  <si>
    <t>인천시 미추홀구 학익동 739</t>
  </si>
  <si>
    <t>인천시 미추홀구 노적산로 43</t>
  </si>
  <si>
    <t>34A</t>
  </si>
  <si>
    <t>108A</t>
  </si>
  <si>
    <t>예다움(도시형)</t>
  </si>
  <si>
    <t>https://new.land.naver.com/complexes/120320?tab=detail&amp;rf=Y</t>
  </si>
  <si>
    <t>인천시 미추홀구 학익동 658-1</t>
  </si>
  <si>
    <t>인천시 미추홀구 매소홀로415번길 10</t>
  </si>
  <si>
    <t xml:space="preserve"> </t>
    <phoneticPr fontId="2" type="noConversion"/>
  </si>
  <si>
    <t>55F</t>
  </si>
  <si>
    <t>55E</t>
  </si>
  <si>
    <t>55G</t>
  </si>
  <si>
    <t>55D</t>
  </si>
  <si>
    <t>56H</t>
  </si>
  <si>
    <t>57I</t>
  </si>
  <si>
    <t>영남들국화</t>
  </si>
  <si>
    <t>https://new.land.naver.com/complexes/8123?tab=detail&amp;rf=Y</t>
  </si>
  <si>
    <t>인천시 미추홀구 학익동 671-2</t>
  </si>
  <si>
    <t>인천시 미추홀구 소성로 240</t>
  </si>
  <si>
    <t>엑슬루타워</t>
  </si>
  <si>
    <t>https://new.land.naver.com/complexes/26412?tab=detail&amp;rf=Y</t>
  </si>
  <si>
    <t>인천시 미추홀구 학익동 732-3</t>
  </si>
  <si>
    <t>인천시 미추홀구 매소홀로309번길 32</t>
  </si>
  <si>
    <t>129B</t>
  </si>
  <si>
    <t>129A</t>
  </si>
  <si>
    <t>한국공영</t>
  </si>
  <si>
    <t>https://new.land.naver.com/complexes/11101?tab=detail&amp;rf=Y</t>
  </si>
  <si>
    <t>인천시 미추홀구 학익동 38</t>
  </si>
  <si>
    <t>인천시 미추홀구 학익소로63번길 37</t>
  </si>
  <si>
    <t>미추홀트루엘파크</t>
  </si>
  <si>
    <t>2022.06.</t>
  </si>
  <si>
    <t>https://new.land.naver.com/complexes/128407?tab=detail&amp;rf=Y</t>
  </si>
  <si>
    <t>인천시 미추홀구 학익동 6-55번지 일원</t>
  </si>
  <si>
    <t>소망</t>
  </si>
  <si>
    <t>https://new.land.naver.com/complexes/11606?tab=detail&amp;rf=Y</t>
  </si>
  <si>
    <t>인천시 미추홀구 학익동 75-6</t>
  </si>
  <si>
    <t>인천시 미추홀구 소성로256번길 15</t>
  </si>
  <si>
    <t>대안파크타운</t>
  </si>
  <si>
    <t>https://new.land.naver.com/complexes/142997?tab=detail&amp;rf=Y</t>
  </si>
  <si>
    <t>인천시 미추홀구 학익동 265-1</t>
  </si>
  <si>
    <t>인천시 미추홀구 한나루로412번길 24</t>
  </si>
  <si>
    <t>57D</t>
  </si>
  <si>
    <t>63F</t>
  </si>
  <si>
    <t>원흥</t>
  </si>
  <si>
    <t>1996.11.</t>
  </si>
  <si>
    <t>https://new.land.naver.com/complexes/8900?tab=detail&amp;rf=Y</t>
  </si>
  <si>
    <t>인천시 미추홀구 학익동 702-2</t>
  </si>
  <si>
    <t>인천시 미추홀구 한나루로341번길 16-21</t>
  </si>
  <si>
    <t>서원</t>
  </si>
  <si>
    <t>1990.05.</t>
  </si>
  <si>
    <t>https://new.land.naver.com/complexes/8125?tab=detail&amp;rf=Y</t>
  </si>
  <si>
    <t>인천시 미추홀구 학익동 산36-10</t>
  </si>
  <si>
    <t>인천시 미추홀구 학익소로61번길 36-23</t>
  </si>
  <si>
    <t>https://new.land.naver.com/complexes/8124?tab=detail&amp;rf=Y</t>
  </si>
  <si>
    <t>인천시 미추홀구 학익동 684-4</t>
  </si>
  <si>
    <t>인천시 미추홀구 매소홀로 402</t>
  </si>
  <si>
    <t>하나2차</t>
  </si>
  <si>
    <t>2000.05.</t>
  </si>
  <si>
    <t>https://new.land.naver.com/complexes/8898?tab=detail&amp;rf=Y</t>
  </si>
  <si>
    <t>인천시 미추홀구 학익동 682-1</t>
  </si>
  <si>
    <t>인천시 미추홀구 매소홀로418번길 5</t>
  </si>
  <si>
    <t>힐스테이트학익</t>
  </si>
  <si>
    <t>2021.06.</t>
  </si>
  <si>
    <t>https://new.land.naver.com/complexes/123141?tab=detail&amp;rf=Y</t>
  </si>
  <si>
    <t>인천시 미추홀구 학익동 744-1</t>
  </si>
  <si>
    <t>인천시 미추홀구 독배로251번길 24</t>
  </si>
  <si>
    <t>장미</t>
  </si>
  <si>
    <t>https://new.land.naver.com/complexes/9509?tab=detail&amp;rf=Y</t>
  </si>
  <si>
    <t>인천시 미추홀구 학익동 413-1</t>
  </si>
  <si>
    <t>인천시 미추홀구 소성로 72</t>
  </si>
  <si>
    <t>106A</t>
  </si>
  <si>
    <t>106C</t>
  </si>
  <si>
    <t>정광</t>
  </si>
  <si>
    <t>1998.11.</t>
  </si>
  <si>
    <t>https://new.land.naver.com/complexes/8901?tab=detail&amp;rf=Y</t>
  </si>
  <si>
    <t>인천시 미추홀구 학익동 707-5</t>
  </si>
  <si>
    <t>인천시 미추홀구 한나루로357번길 87-18</t>
  </si>
  <si>
    <t>관교동</t>
    <phoneticPr fontId="2" type="noConversion"/>
  </si>
  <si>
    <t>쌍용</t>
    <phoneticPr fontId="2" type="noConversion"/>
  </si>
  <si>
    <t>'91.07.</t>
    <phoneticPr fontId="2" type="noConversion"/>
  </si>
  <si>
    <t>계</t>
    <phoneticPr fontId="2" type="noConversion"/>
  </si>
  <si>
    <t>풍림</t>
    <phoneticPr fontId="2" type="noConversion"/>
  </si>
  <si>
    <t>'91.02.</t>
    <phoneticPr fontId="2" type="noConversion"/>
  </si>
  <si>
    <t>계</t>
    <phoneticPr fontId="2" type="noConversion"/>
  </si>
  <si>
    <t>동부</t>
    <phoneticPr fontId="2" type="noConversion"/>
  </si>
  <si>
    <t>'91.09.</t>
    <phoneticPr fontId="2" type="noConversion"/>
  </si>
  <si>
    <t>계</t>
    <phoneticPr fontId="2" type="noConversion"/>
  </si>
  <si>
    <t>삼환1단지</t>
    <phoneticPr fontId="2" type="noConversion"/>
  </si>
  <si>
    <t>'92.04.</t>
    <phoneticPr fontId="2" type="noConversion"/>
  </si>
  <si>
    <t>계</t>
    <phoneticPr fontId="2" type="noConversion"/>
  </si>
  <si>
    <t>삼환1단지</t>
    <phoneticPr fontId="2" type="noConversion"/>
  </si>
  <si>
    <t>'92.04.</t>
    <phoneticPr fontId="2" type="noConversion"/>
  </si>
  <si>
    <t>계</t>
    <phoneticPr fontId="2" type="noConversion"/>
  </si>
  <si>
    <t>동아</t>
    <phoneticPr fontId="2" type="noConversion"/>
  </si>
  <si>
    <t>'90.10.</t>
    <phoneticPr fontId="2" type="noConversion"/>
  </si>
  <si>
    <t>계</t>
    <phoneticPr fontId="2" type="noConversion"/>
  </si>
  <si>
    <t>동아</t>
    <phoneticPr fontId="2" type="noConversion"/>
  </si>
  <si>
    <t>삼환2단지</t>
    <phoneticPr fontId="2" type="noConversion"/>
  </si>
  <si>
    <t>'91.11.</t>
    <phoneticPr fontId="2" type="noConversion"/>
  </si>
  <si>
    <t>성지</t>
    <phoneticPr fontId="2" type="noConversion"/>
  </si>
  <si>
    <t>'91.08.</t>
    <phoneticPr fontId="2" type="noConversion"/>
  </si>
  <si>
    <t>신비마을</t>
    <phoneticPr fontId="2" type="noConversion"/>
  </si>
  <si>
    <t>'94.03.</t>
    <phoneticPr fontId="2" type="noConversion"/>
  </si>
  <si>
    <t>복</t>
    <phoneticPr fontId="2" type="noConversion"/>
  </si>
  <si>
    <t>도화동</t>
    <phoneticPr fontId="2" type="noConversion"/>
  </si>
  <si>
    <t>e편한세상도화5단지(민간임대)</t>
    <phoneticPr fontId="2" type="noConversion"/>
  </si>
  <si>
    <t>'18.01.</t>
    <phoneticPr fontId="2" type="noConversion"/>
  </si>
  <si>
    <t>계</t>
    <phoneticPr fontId="2" type="noConversion"/>
  </si>
  <si>
    <t>'18.01.</t>
    <phoneticPr fontId="2" type="noConversion"/>
  </si>
  <si>
    <t>109A</t>
    <phoneticPr fontId="2" type="noConversion"/>
  </si>
  <si>
    <t>110B</t>
    <phoneticPr fontId="2" type="noConversion"/>
  </si>
  <si>
    <t>110C</t>
    <phoneticPr fontId="2" type="noConversion"/>
  </si>
  <si>
    <t>도화역대성유니드</t>
    <phoneticPr fontId="2" type="noConversion"/>
  </si>
  <si>
    <t>'14.09.</t>
    <phoneticPr fontId="2" type="noConversion"/>
  </si>
  <si>
    <t>더샵인천스카이타워1단지</t>
    <phoneticPr fontId="2" type="noConversion"/>
  </si>
  <si>
    <t>'20.11.</t>
    <phoneticPr fontId="2" type="noConversion"/>
  </si>
  <si>
    <t>101B</t>
    <phoneticPr fontId="2" type="noConversion"/>
  </si>
  <si>
    <t>102A</t>
    <phoneticPr fontId="2" type="noConversion"/>
  </si>
  <si>
    <t>114A</t>
    <phoneticPr fontId="2" type="noConversion"/>
  </si>
  <si>
    <t>114B</t>
    <phoneticPr fontId="2" type="noConversion"/>
  </si>
  <si>
    <t>도화신동아파밀리에</t>
    <phoneticPr fontId="2" type="noConversion"/>
  </si>
  <si>
    <t>'12.09.</t>
    <phoneticPr fontId="2" type="noConversion"/>
  </si>
  <si>
    <t>합</t>
    <phoneticPr fontId="2" type="noConversion"/>
  </si>
  <si>
    <t>109C</t>
    <phoneticPr fontId="2" type="noConversion"/>
  </si>
  <si>
    <t>109D</t>
    <phoneticPr fontId="2" type="noConversion"/>
  </si>
  <si>
    <t>도화신동아파밀리에</t>
    <phoneticPr fontId="2" type="noConversion"/>
  </si>
  <si>
    <t>'12.09.</t>
    <phoneticPr fontId="2" type="noConversion"/>
  </si>
  <si>
    <t>합</t>
    <phoneticPr fontId="2" type="noConversion"/>
  </si>
  <si>
    <t>110B</t>
    <phoneticPr fontId="2" type="noConversion"/>
  </si>
  <si>
    <t>도화신동아파밀리에</t>
    <phoneticPr fontId="2" type="noConversion"/>
  </si>
  <si>
    <t>'12.09.</t>
    <phoneticPr fontId="2" type="noConversion"/>
  </si>
  <si>
    <t>합</t>
    <phoneticPr fontId="2" type="noConversion"/>
  </si>
  <si>
    <t>도화역금강펜테리움센트럴파크</t>
    <phoneticPr fontId="2" type="noConversion"/>
  </si>
  <si>
    <t>'20.11.</t>
    <phoneticPr fontId="2" type="noConversion"/>
  </si>
  <si>
    <t>계</t>
    <phoneticPr fontId="2" type="noConversion"/>
  </si>
  <si>
    <t>더샵인천스카이타워2단지</t>
    <phoneticPr fontId="2" type="noConversion"/>
  </si>
  <si>
    <t>101C</t>
    <phoneticPr fontId="2" type="noConversion"/>
  </si>
  <si>
    <t>113D</t>
    <phoneticPr fontId="2" type="noConversion"/>
  </si>
  <si>
    <t>114C</t>
    <phoneticPr fontId="2" type="noConversion"/>
  </si>
  <si>
    <t>e편한세상도화6-1단지(민간임대)</t>
    <phoneticPr fontId="2" type="noConversion"/>
  </si>
  <si>
    <t>'18.01.</t>
    <phoneticPr fontId="2" type="noConversion"/>
  </si>
  <si>
    <t>84A</t>
    <phoneticPr fontId="2" type="noConversion"/>
  </si>
  <si>
    <t>85B</t>
    <phoneticPr fontId="2" type="noConversion"/>
  </si>
  <si>
    <t>95A</t>
    <phoneticPr fontId="2" type="noConversion"/>
  </si>
  <si>
    <t>96B</t>
    <phoneticPr fontId="2" type="noConversion"/>
  </si>
  <si>
    <t>96E</t>
    <phoneticPr fontId="2" type="noConversion"/>
  </si>
  <si>
    <t>96D</t>
    <phoneticPr fontId="2" type="noConversion"/>
  </si>
  <si>
    <t>96C</t>
    <phoneticPr fontId="2" type="noConversion"/>
  </si>
  <si>
    <t>110A</t>
    <phoneticPr fontId="2" type="noConversion"/>
  </si>
  <si>
    <t>110C</t>
    <phoneticPr fontId="2" type="noConversion"/>
  </si>
  <si>
    <t>110B</t>
    <phoneticPr fontId="2" type="noConversion"/>
  </si>
  <si>
    <t>나산</t>
    <phoneticPr fontId="2" type="noConversion"/>
  </si>
  <si>
    <t>'96.10.</t>
    <phoneticPr fontId="2" type="noConversion"/>
  </si>
  <si>
    <t>복</t>
    <phoneticPr fontId="2" type="noConversion"/>
  </si>
  <si>
    <t>주안역미추홀더리브</t>
    <phoneticPr fontId="2" type="noConversion"/>
  </si>
  <si>
    <t>'23.09.</t>
    <phoneticPr fontId="2" type="noConversion"/>
  </si>
  <si>
    <t>105A</t>
    <phoneticPr fontId="2" type="noConversion"/>
  </si>
  <si>
    <t>106B</t>
    <phoneticPr fontId="2" type="noConversion"/>
  </si>
  <si>
    <t>119B</t>
    <phoneticPr fontId="2" type="noConversion"/>
  </si>
  <si>
    <t>120A</t>
    <phoneticPr fontId="2" type="noConversion"/>
  </si>
  <si>
    <t>주안역미추홀더리브</t>
    <phoneticPr fontId="2" type="noConversion"/>
  </si>
  <si>
    <t>'23.09.</t>
    <phoneticPr fontId="2" type="noConversion"/>
  </si>
  <si>
    <t>계</t>
    <phoneticPr fontId="2" type="noConversion"/>
  </si>
  <si>
    <t>120E</t>
    <phoneticPr fontId="2" type="noConversion"/>
  </si>
  <si>
    <t>121C</t>
    <phoneticPr fontId="2" type="noConversion"/>
  </si>
  <si>
    <t>122D</t>
    <phoneticPr fontId="2" type="noConversion"/>
  </si>
  <si>
    <t>'92.02.</t>
    <phoneticPr fontId="2" type="noConversion"/>
  </si>
  <si>
    <t>동원</t>
    <phoneticPr fontId="2" type="noConversion"/>
  </si>
  <si>
    <t>'87.05.</t>
    <phoneticPr fontId="2" type="noConversion"/>
  </si>
  <si>
    <t>숭의동</t>
    <phoneticPr fontId="2" type="noConversion"/>
  </si>
  <si>
    <t>도원역서희스타힐스크루즈시티(주)</t>
    <phoneticPr fontId="2" type="noConversion"/>
  </si>
  <si>
    <t>'22.04.</t>
    <phoneticPr fontId="2" type="noConversion"/>
  </si>
  <si>
    <t>도원역서희스타힐스크루즈시티(주)</t>
    <phoneticPr fontId="2" type="noConversion"/>
  </si>
  <si>
    <t>'22.04.</t>
    <phoneticPr fontId="2" type="noConversion"/>
  </si>
  <si>
    <t>88B</t>
    <phoneticPr fontId="2" type="noConversion"/>
  </si>
  <si>
    <t>102A</t>
    <phoneticPr fontId="2" type="noConversion"/>
  </si>
  <si>
    <t>104B</t>
    <phoneticPr fontId="2" type="noConversion"/>
  </si>
  <si>
    <t>112A</t>
    <phoneticPr fontId="2" type="noConversion"/>
  </si>
  <si>
    <t>113B</t>
    <phoneticPr fontId="2" type="noConversion"/>
  </si>
  <si>
    <t>한화꿈에그린</t>
    <phoneticPr fontId="2" type="noConversion"/>
  </si>
  <si>
    <t>'07.02.</t>
    <phoneticPr fontId="2" type="noConversion"/>
  </si>
  <si>
    <t>105A</t>
    <phoneticPr fontId="2" type="noConversion"/>
  </si>
  <si>
    <t>105B</t>
    <phoneticPr fontId="2" type="noConversion"/>
  </si>
  <si>
    <t>두산위브더제니스센트럴여의</t>
    <phoneticPr fontId="2" type="noConversion"/>
  </si>
  <si>
    <t>'25.06.</t>
    <phoneticPr fontId="2" type="noConversion"/>
  </si>
  <si>
    <t>80B</t>
    <phoneticPr fontId="2" type="noConversion"/>
  </si>
  <si>
    <t>81A</t>
    <phoneticPr fontId="2" type="noConversion"/>
  </si>
  <si>
    <t>두산위브더제니스센트럴여의</t>
    <phoneticPr fontId="2" type="noConversion"/>
  </si>
  <si>
    <t>'25.06.</t>
    <phoneticPr fontId="2" type="noConversion"/>
  </si>
  <si>
    <t>두산위브더제니스센트럴여의</t>
    <phoneticPr fontId="2" type="noConversion"/>
  </si>
  <si>
    <t>'25.06.</t>
    <phoneticPr fontId="2" type="noConversion"/>
  </si>
  <si>
    <t>97A</t>
    <phoneticPr fontId="2" type="noConversion"/>
  </si>
  <si>
    <t>계</t>
    <phoneticPr fontId="2" type="noConversion"/>
  </si>
  <si>
    <t>97B</t>
    <phoneticPr fontId="2" type="noConversion"/>
  </si>
  <si>
    <t>97C</t>
    <phoneticPr fontId="2" type="noConversion"/>
  </si>
  <si>
    <t>112A</t>
    <phoneticPr fontId="2" type="noConversion"/>
  </si>
  <si>
    <t>112B</t>
    <phoneticPr fontId="2" type="noConversion"/>
  </si>
  <si>
    <t>113C</t>
    <phoneticPr fontId="2" type="noConversion"/>
  </si>
  <si>
    <t>용현동</t>
    <phoneticPr fontId="2" type="noConversion"/>
  </si>
  <si>
    <t>금호어울림4단지</t>
    <phoneticPr fontId="2" type="noConversion"/>
  </si>
  <si>
    <t>'10.12.</t>
    <phoneticPr fontId="2" type="noConversion"/>
  </si>
  <si>
    <t>용현자이크레스트</t>
    <phoneticPr fontId="2" type="noConversion"/>
  </si>
  <si>
    <t>'23.11.</t>
    <phoneticPr fontId="2" type="noConversion"/>
  </si>
  <si>
    <t>인천용현엑슬루타워</t>
    <phoneticPr fontId="2" type="noConversion"/>
  </si>
  <si>
    <t>'11.09.</t>
    <phoneticPr fontId="2" type="noConversion"/>
  </si>
  <si>
    <t>인천용현엑슬루타워</t>
    <phoneticPr fontId="2" type="noConversion"/>
  </si>
  <si>
    <t>'11.09.</t>
    <phoneticPr fontId="2" type="noConversion"/>
  </si>
  <si>
    <t>인천용현엑슬루타워</t>
    <phoneticPr fontId="2" type="noConversion"/>
  </si>
  <si>
    <t>'11.09.</t>
    <phoneticPr fontId="2" type="noConversion"/>
  </si>
  <si>
    <t>계</t>
    <phoneticPr fontId="2" type="noConversion"/>
  </si>
  <si>
    <t>용현유원</t>
    <phoneticPr fontId="2" type="noConversion"/>
  </si>
  <si>
    <t>'89.10.</t>
    <phoneticPr fontId="2" type="noConversion"/>
  </si>
  <si>
    <t>복</t>
    <phoneticPr fontId="2" type="noConversion"/>
  </si>
  <si>
    <t>윤성</t>
    <phoneticPr fontId="2" type="noConversion"/>
  </si>
  <si>
    <t>'93.06.</t>
    <phoneticPr fontId="2" type="noConversion"/>
  </si>
  <si>
    <t>부성로얄</t>
    <phoneticPr fontId="2" type="noConversion"/>
  </si>
  <si>
    <t>'87.11.</t>
    <phoneticPr fontId="2" type="noConversion"/>
  </si>
  <si>
    <t>한양2차</t>
    <phoneticPr fontId="2" type="noConversion"/>
  </si>
  <si>
    <t>'92.07.</t>
    <phoneticPr fontId="2" type="noConversion"/>
  </si>
  <si>
    <t>'92.07.</t>
    <phoneticPr fontId="2" type="noConversion"/>
  </si>
  <si>
    <t>한양2차</t>
    <phoneticPr fontId="2" type="noConversion"/>
  </si>
  <si>
    <t>한양1차</t>
    <phoneticPr fontId="2" type="noConversion"/>
  </si>
  <si>
    <t>'90.12.</t>
    <phoneticPr fontId="2" type="noConversion"/>
  </si>
  <si>
    <t>한양1차</t>
    <phoneticPr fontId="2" type="noConversion"/>
  </si>
  <si>
    <t>'90.12.</t>
    <phoneticPr fontId="2" type="noConversion"/>
  </si>
  <si>
    <t>용현금호타운2단지</t>
    <phoneticPr fontId="2" type="noConversion"/>
  </si>
  <si>
    <t>'99.11.</t>
    <phoneticPr fontId="2" type="noConversion"/>
  </si>
  <si>
    <t>'99.11.</t>
    <phoneticPr fontId="2" type="noConversion"/>
  </si>
  <si>
    <t>용현금호타운2단지</t>
    <phoneticPr fontId="2" type="noConversion"/>
  </si>
  <si>
    <t>동아(고층)</t>
    <phoneticPr fontId="2" type="noConversion"/>
  </si>
  <si>
    <t>금호타운1단지</t>
    <phoneticPr fontId="2" type="noConversion"/>
  </si>
  <si>
    <t>'91.11.</t>
    <phoneticPr fontId="2" type="noConversion"/>
  </si>
  <si>
    <t>금호타운1단지</t>
    <phoneticPr fontId="2" type="noConversion"/>
  </si>
  <si>
    <t>계</t>
    <phoneticPr fontId="2" type="noConversion"/>
  </si>
  <si>
    <t>인천SK스카이뷰</t>
    <phoneticPr fontId="2" type="noConversion"/>
  </si>
  <si>
    <t>'16.06.</t>
    <phoneticPr fontId="2" type="noConversion"/>
  </si>
  <si>
    <t>인천SK스카이뷰</t>
    <phoneticPr fontId="2" type="noConversion"/>
  </si>
  <si>
    <t>인천SK스카이뷰</t>
    <phoneticPr fontId="2" type="noConversion"/>
  </si>
  <si>
    <t>'16.06.</t>
    <phoneticPr fontId="2" type="noConversion"/>
  </si>
  <si>
    <t>인천SK스카이뷰</t>
    <phoneticPr fontId="2" type="noConversion"/>
  </si>
  <si>
    <t>'16.06.</t>
    <phoneticPr fontId="2" type="noConversion"/>
  </si>
  <si>
    <t>계</t>
    <phoneticPr fontId="2" type="noConversion"/>
  </si>
  <si>
    <t>LH미추홀퍼스트</t>
    <phoneticPr fontId="2" type="noConversion"/>
  </si>
  <si>
    <t>'18.12.</t>
    <phoneticPr fontId="2" type="noConversion"/>
  </si>
  <si>
    <t>LH미추홀퍼스트</t>
    <phoneticPr fontId="2" type="noConversion"/>
  </si>
  <si>
    <t>인천용현경남아너스빌(주)</t>
    <phoneticPr fontId="2" type="noConversion"/>
  </si>
  <si>
    <t>'23.03.</t>
    <phoneticPr fontId="2" type="noConversion"/>
  </si>
  <si>
    <t>인천용현경남아너스빌(주)</t>
    <phoneticPr fontId="2" type="noConversion"/>
  </si>
  <si>
    <t>한국</t>
    <phoneticPr fontId="2" type="noConversion"/>
  </si>
  <si>
    <t>'96.12.</t>
    <phoneticPr fontId="2" type="noConversion"/>
  </si>
  <si>
    <t>용현성원상떼빌</t>
    <phoneticPr fontId="2" type="noConversion"/>
  </si>
  <si>
    <t>'09.03.</t>
    <phoneticPr fontId="2" type="noConversion"/>
  </si>
  <si>
    <t>대림</t>
    <phoneticPr fontId="2" type="noConversion"/>
  </si>
  <si>
    <t>'90.10.</t>
    <phoneticPr fontId="2" type="noConversion"/>
  </si>
  <si>
    <t>'90.10.</t>
    <phoneticPr fontId="2" type="noConversion"/>
  </si>
  <si>
    <t>동아(저층)</t>
    <phoneticPr fontId="2" type="noConversion"/>
  </si>
  <si>
    <t>'89.08.</t>
    <phoneticPr fontId="2" type="noConversion"/>
  </si>
  <si>
    <t>'89.08.</t>
    <phoneticPr fontId="2" type="noConversion"/>
  </si>
  <si>
    <t>동아(저층)</t>
    <phoneticPr fontId="2" type="noConversion"/>
  </si>
  <si>
    <t>용현대우</t>
    <phoneticPr fontId="2" type="noConversion"/>
  </si>
  <si>
    <t>'01.06.</t>
    <phoneticPr fontId="2" type="noConversion"/>
  </si>
  <si>
    <t>용현대우</t>
    <phoneticPr fontId="2" type="noConversion"/>
  </si>
  <si>
    <t>'01.06.</t>
    <phoneticPr fontId="2" type="noConversion"/>
  </si>
  <si>
    <t>우성</t>
    <phoneticPr fontId="2" type="noConversion"/>
  </si>
  <si>
    <t>'96.08.</t>
    <phoneticPr fontId="2" type="noConversion"/>
  </si>
  <si>
    <t>복</t>
    <phoneticPr fontId="2" type="noConversion"/>
  </si>
  <si>
    <t>우성</t>
    <phoneticPr fontId="2" type="noConversion"/>
  </si>
  <si>
    <t>신창미션힐</t>
    <phoneticPr fontId="2" type="noConversion"/>
  </si>
  <si>
    <t>'04.04.</t>
    <phoneticPr fontId="2" type="noConversion"/>
  </si>
  <si>
    <t>신창미션힐</t>
    <phoneticPr fontId="2" type="noConversion"/>
  </si>
  <si>
    <t>서해</t>
    <phoneticPr fontId="2" type="noConversion"/>
  </si>
  <si>
    <t>'94.03.</t>
    <phoneticPr fontId="2" type="noConversion"/>
  </si>
  <si>
    <t>서해</t>
    <phoneticPr fontId="2" type="noConversion"/>
  </si>
  <si>
    <t>'94.03.</t>
    <phoneticPr fontId="2" type="noConversion"/>
  </si>
  <si>
    <t>주안동</t>
    <phoneticPr fontId="2" type="noConversion"/>
  </si>
  <si>
    <t>포레나인천미추홀</t>
    <phoneticPr fontId="2" type="noConversion"/>
  </si>
  <si>
    <t>'22.08.</t>
    <phoneticPr fontId="2" type="noConversion"/>
  </si>
  <si>
    <t>포레나인천미추홀</t>
    <phoneticPr fontId="2" type="noConversion"/>
  </si>
  <si>
    <t>'22.08.</t>
    <phoneticPr fontId="2" type="noConversion"/>
  </si>
  <si>
    <t>포레나인천미추홀</t>
    <phoneticPr fontId="2" type="noConversion"/>
  </si>
  <si>
    <t>'22.08.</t>
    <phoneticPr fontId="2" type="noConversion"/>
  </si>
  <si>
    <t>계</t>
    <phoneticPr fontId="2" type="noConversion"/>
  </si>
  <si>
    <t>신비마을</t>
    <phoneticPr fontId="2" type="noConversion"/>
  </si>
  <si>
    <t>'94.03.</t>
    <phoneticPr fontId="2" type="noConversion"/>
  </si>
  <si>
    <t>복</t>
    <phoneticPr fontId="2" type="noConversion"/>
  </si>
  <si>
    <t>태평</t>
    <phoneticPr fontId="2" type="noConversion"/>
  </si>
  <si>
    <t>'89.10.</t>
    <phoneticPr fontId="2" type="noConversion"/>
  </si>
  <si>
    <t>우정(18-141)</t>
    <phoneticPr fontId="2" type="noConversion"/>
  </si>
  <si>
    <t>'82.12.</t>
    <phoneticPr fontId="2" type="noConversion"/>
  </si>
  <si>
    <t>인천관교한신휴플러스</t>
    <phoneticPr fontId="2" type="noConversion"/>
  </si>
  <si>
    <t>'10.07.</t>
    <phoneticPr fontId="2" type="noConversion"/>
  </si>
  <si>
    <t>주안캐슬앤더샵에듀포레</t>
    <phoneticPr fontId="2" type="noConversion"/>
  </si>
  <si>
    <t>'22.07.</t>
    <phoneticPr fontId="2" type="noConversion"/>
  </si>
  <si>
    <t>주안캐슬앤더샵에듀포레</t>
    <phoneticPr fontId="2" type="noConversion"/>
  </si>
  <si>
    <t>'22.07.</t>
    <phoneticPr fontId="2" type="noConversion"/>
  </si>
  <si>
    <t>계</t>
    <phoneticPr fontId="2" type="noConversion"/>
  </si>
  <si>
    <t>주안캐슬앤더샵에듀포레</t>
    <phoneticPr fontId="2" type="noConversion"/>
  </si>
  <si>
    <t>'22.07.</t>
    <phoneticPr fontId="2" type="noConversion"/>
  </si>
  <si>
    <t>현광고층</t>
    <phoneticPr fontId="2" type="noConversion"/>
  </si>
  <si>
    <t>'95.10.</t>
    <phoneticPr fontId="2" type="noConversion"/>
  </si>
  <si>
    <t>복</t>
    <phoneticPr fontId="2" type="noConversion"/>
  </si>
  <si>
    <t>현광고층</t>
    <phoneticPr fontId="2" type="noConversion"/>
  </si>
  <si>
    <t>'95.10.</t>
    <phoneticPr fontId="2" type="noConversion"/>
  </si>
  <si>
    <t>현대</t>
    <phoneticPr fontId="2" type="noConversion"/>
  </si>
  <si>
    <t>'85.12.</t>
    <phoneticPr fontId="2" type="noConversion"/>
  </si>
  <si>
    <t>'85.12.</t>
    <phoneticPr fontId="2" type="noConversion"/>
  </si>
  <si>
    <t>현대</t>
    <phoneticPr fontId="2" type="noConversion"/>
  </si>
  <si>
    <t>진흥</t>
    <phoneticPr fontId="2" type="noConversion"/>
  </si>
  <si>
    <t>'95.12.</t>
    <phoneticPr fontId="2" type="noConversion"/>
  </si>
  <si>
    <t>진흥</t>
    <phoneticPr fontId="2" type="noConversion"/>
  </si>
  <si>
    <t>'95.12.</t>
    <phoneticPr fontId="2" type="noConversion"/>
  </si>
  <si>
    <t>주안파크자이더플래티넘</t>
    <phoneticPr fontId="2" type="noConversion"/>
  </si>
  <si>
    <t>'23.02.</t>
    <phoneticPr fontId="2" type="noConversion"/>
  </si>
  <si>
    <t>주안파크자이더플래티넘</t>
    <phoneticPr fontId="2" type="noConversion"/>
  </si>
  <si>
    <t>계</t>
    <phoneticPr fontId="2" type="noConversion"/>
  </si>
  <si>
    <t>'23.02.</t>
    <phoneticPr fontId="2" type="noConversion"/>
  </si>
  <si>
    <t>쌍용주안</t>
    <phoneticPr fontId="2" type="noConversion"/>
  </si>
  <si>
    <t>'84.11.</t>
    <phoneticPr fontId="2" type="noConversion"/>
  </si>
  <si>
    <t>쌍용주안</t>
    <phoneticPr fontId="2" type="noConversion"/>
  </si>
  <si>
    <t>'84.11.</t>
    <phoneticPr fontId="2" type="noConversion"/>
  </si>
  <si>
    <t>주안역신일해피트리</t>
    <phoneticPr fontId="2" type="noConversion"/>
  </si>
  <si>
    <t>'21.09.</t>
    <phoneticPr fontId="2" type="noConversion"/>
  </si>
  <si>
    <t>'21.09.</t>
    <phoneticPr fontId="2" type="noConversion"/>
  </si>
  <si>
    <t>주안역신일해피트리</t>
    <phoneticPr fontId="2" type="noConversion"/>
  </si>
  <si>
    <t>힐스테이트푸르지오주안</t>
    <phoneticPr fontId="2" type="noConversion"/>
  </si>
  <si>
    <t>'23.06.</t>
    <phoneticPr fontId="2" type="noConversion"/>
  </si>
  <si>
    <t>힐스테이트푸르지오주안</t>
    <phoneticPr fontId="2" type="noConversion"/>
  </si>
  <si>
    <t>'23.06.</t>
    <phoneticPr fontId="2" type="noConversion"/>
  </si>
  <si>
    <t>힐스테이트푸르지오주안</t>
    <phoneticPr fontId="2" type="noConversion"/>
  </si>
  <si>
    <t>'23.06.</t>
    <phoneticPr fontId="2" type="noConversion"/>
  </si>
  <si>
    <t>계</t>
    <phoneticPr fontId="2" type="noConversion"/>
  </si>
  <si>
    <t>힐스테이트푸르지오주안</t>
    <phoneticPr fontId="2" type="noConversion"/>
  </si>
  <si>
    <t>'23.06.</t>
    <phoneticPr fontId="2" type="noConversion"/>
  </si>
  <si>
    <t>주안한신휴플러스</t>
    <phoneticPr fontId="2" type="noConversion"/>
  </si>
  <si>
    <t>'06.09.</t>
    <phoneticPr fontId="2" type="noConversion"/>
  </si>
  <si>
    <t>주안한신휴플러스</t>
    <phoneticPr fontId="2" type="noConversion"/>
  </si>
  <si>
    <t>'06.09.</t>
    <phoneticPr fontId="2" type="noConversion"/>
  </si>
  <si>
    <t>남광로얄(1443)</t>
    <phoneticPr fontId="2" type="noConversion"/>
  </si>
  <si>
    <t>'80.02.</t>
    <phoneticPr fontId="2" type="noConversion"/>
  </si>
  <si>
    <t>'80.02.</t>
    <phoneticPr fontId="2" type="noConversion"/>
  </si>
  <si>
    <t>남광로얄(1443)</t>
    <phoneticPr fontId="2" type="noConversion"/>
  </si>
  <si>
    <t>계</t>
    <phoneticPr fontId="2" type="noConversion"/>
  </si>
  <si>
    <t>'80.02.</t>
    <phoneticPr fontId="2" type="noConversion"/>
  </si>
  <si>
    <t>남광로얄(1443)</t>
    <phoneticPr fontId="2" type="noConversion"/>
  </si>
  <si>
    <t>광명8차</t>
    <phoneticPr fontId="2" type="noConversion"/>
  </si>
  <si>
    <t>'88.07.</t>
    <phoneticPr fontId="2" type="noConversion"/>
  </si>
  <si>
    <t>'88.07.</t>
    <phoneticPr fontId="2" type="noConversion"/>
  </si>
  <si>
    <t>주안현대홈타운</t>
    <phoneticPr fontId="2" type="noConversion"/>
  </si>
  <si>
    <t>'02.11.</t>
    <phoneticPr fontId="2" type="noConversion"/>
  </si>
  <si>
    <t>주안현대홈타운</t>
    <phoneticPr fontId="2" type="noConversion"/>
  </si>
  <si>
    <t>'02.11.</t>
    <phoneticPr fontId="2" type="noConversion"/>
  </si>
  <si>
    <t>e편한세상주안에듀서밋</t>
    <phoneticPr fontId="2" type="noConversion"/>
  </si>
  <si>
    <t>주안더월드스테이트</t>
    <phoneticPr fontId="2" type="noConversion"/>
  </si>
  <si>
    <t>'08.05.</t>
    <phoneticPr fontId="2" type="noConversion"/>
  </si>
  <si>
    <t>연흥(1491-3)</t>
    <phoneticPr fontId="2" type="noConversion"/>
  </si>
  <si>
    <t>주안역센트레빌</t>
    <phoneticPr fontId="2" type="noConversion"/>
  </si>
  <si>
    <t>'21.07.</t>
    <phoneticPr fontId="2" type="noConversion"/>
  </si>
  <si>
    <t>학익동</t>
    <phoneticPr fontId="2" type="noConversion"/>
  </si>
  <si>
    <t>신동아3차</t>
    <phoneticPr fontId="2" type="noConversion"/>
  </si>
  <si>
    <t>'90.04.</t>
    <phoneticPr fontId="2" type="noConversion"/>
  </si>
  <si>
    <t>신동아3차</t>
    <phoneticPr fontId="2" type="noConversion"/>
  </si>
  <si>
    <t>'90.04.</t>
    <phoneticPr fontId="2" type="noConversion"/>
  </si>
  <si>
    <t>복</t>
    <phoneticPr fontId="2" type="noConversion"/>
  </si>
  <si>
    <t>계</t>
    <phoneticPr fontId="2" type="noConversion"/>
  </si>
  <si>
    <t>주안신동아8차</t>
    <phoneticPr fontId="2" type="noConversion"/>
  </si>
  <si>
    <t>'97.06.</t>
    <phoneticPr fontId="2" type="noConversion"/>
  </si>
  <si>
    <t>시티오씨엘4단지(주)</t>
    <phoneticPr fontId="2" type="noConversion"/>
  </si>
  <si>
    <t>'25.01.</t>
    <phoneticPr fontId="2" type="noConversion"/>
  </si>
  <si>
    <t>주안신동아7차</t>
    <phoneticPr fontId="2" type="noConversion"/>
  </si>
  <si>
    <t>'94.11.</t>
    <phoneticPr fontId="2" type="noConversion"/>
  </si>
  <si>
    <t>태산</t>
    <phoneticPr fontId="2" type="noConversion"/>
  </si>
  <si>
    <t>'98.10.</t>
    <phoneticPr fontId="2" type="noConversion"/>
  </si>
  <si>
    <t>시티오씨엘3단지(주)</t>
    <phoneticPr fontId="2" type="noConversion"/>
  </si>
  <si>
    <t>'24.12.</t>
    <phoneticPr fontId="2" type="noConversion"/>
  </si>
  <si>
    <t>현광1차</t>
    <phoneticPr fontId="2" type="noConversion"/>
  </si>
  <si>
    <t>'00.04.</t>
    <phoneticPr fontId="2" type="noConversion"/>
  </si>
  <si>
    <t>시티오씨엘1단지</t>
    <phoneticPr fontId="2" type="noConversion"/>
  </si>
  <si>
    <t>'24.03.</t>
    <phoneticPr fontId="2" type="noConversion"/>
  </si>
  <si>
    <t>계</t>
    <phoneticPr fontId="2" type="noConversion"/>
  </si>
  <si>
    <t>시티오씨엘1단지</t>
    <phoneticPr fontId="2" type="noConversion"/>
  </si>
  <si>
    <t>'24.03.</t>
    <phoneticPr fontId="2" type="noConversion"/>
  </si>
  <si>
    <t>계</t>
    <phoneticPr fontId="2" type="noConversion"/>
  </si>
  <si>
    <t>시티오씨엘1단지</t>
    <phoneticPr fontId="2" type="noConversion"/>
  </si>
  <si>
    <t>'24.03.</t>
    <phoneticPr fontId="2" type="noConversion"/>
  </si>
  <si>
    <t>학익풍림아이원</t>
    <phoneticPr fontId="2" type="noConversion"/>
  </si>
  <si>
    <t>'07.12.</t>
    <phoneticPr fontId="2" type="noConversion"/>
  </si>
  <si>
    <t>학익풍림아이원</t>
    <phoneticPr fontId="2" type="noConversion"/>
  </si>
  <si>
    <t>계</t>
    <phoneticPr fontId="2" type="noConversion"/>
  </si>
  <si>
    <t>'07.12.</t>
    <phoneticPr fontId="2" type="noConversion"/>
  </si>
  <si>
    <t>신동아6차</t>
    <phoneticPr fontId="2" type="noConversion"/>
  </si>
  <si>
    <t>'92.05.</t>
    <phoneticPr fontId="2" type="noConversion"/>
  </si>
  <si>
    <t>신동아6차</t>
    <phoneticPr fontId="2" type="noConversion"/>
  </si>
  <si>
    <t>'92.05.</t>
    <phoneticPr fontId="2" type="noConversion"/>
  </si>
  <si>
    <t>동아풍림</t>
    <phoneticPr fontId="2" type="noConversion"/>
  </si>
  <si>
    <t>동아풍림</t>
    <phoneticPr fontId="2" type="noConversion"/>
  </si>
  <si>
    <t>'99.11.</t>
    <phoneticPr fontId="2" type="noConversion"/>
  </si>
  <si>
    <t>신동아4차</t>
    <phoneticPr fontId="2" type="noConversion"/>
  </si>
  <si>
    <t>'90.11.</t>
    <phoneticPr fontId="2" type="noConversion"/>
  </si>
  <si>
    <t>신동아4차</t>
    <phoneticPr fontId="2" type="noConversion"/>
  </si>
  <si>
    <t>'90.11.</t>
    <phoneticPr fontId="2" type="noConversion"/>
  </si>
  <si>
    <t>신동아4차</t>
    <phoneticPr fontId="2" type="noConversion"/>
  </si>
  <si>
    <t>'90.11.</t>
    <phoneticPr fontId="2" type="noConversion"/>
  </si>
  <si>
    <t>하나1차</t>
    <phoneticPr fontId="2" type="noConversion"/>
  </si>
  <si>
    <t>'97.12.</t>
    <phoneticPr fontId="2" type="noConversion"/>
  </si>
  <si>
    <t>계</t>
    <phoneticPr fontId="2" type="noConversion"/>
  </si>
  <si>
    <t>하나1차</t>
    <phoneticPr fontId="2" type="noConversion"/>
  </si>
  <si>
    <t>'97.12.</t>
    <phoneticPr fontId="2" type="noConversion"/>
  </si>
  <si>
    <t>하나1차</t>
    <phoneticPr fontId="2" type="noConversion"/>
  </si>
  <si>
    <t>'97.12.</t>
    <phoneticPr fontId="2" type="noConversion"/>
  </si>
  <si>
    <t>신동아5차</t>
    <phoneticPr fontId="2" type="noConversion"/>
  </si>
  <si>
    <t>'93.06.</t>
    <phoneticPr fontId="2" type="noConversion"/>
  </si>
  <si>
    <t>'93.06.</t>
    <phoneticPr fontId="2" type="noConversion"/>
  </si>
  <si>
    <t>신동아5차</t>
    <phoneticPr fontId="2" type="noConversion"/>
  </si>
  <si>
    <t>'93.06.</t>
    <phoneticPr fontId="2" type="noConversion"/>
  </si>
  <si>
    <t>신동아5차</t>
    <phoneticPr fontId="2" type="noConversion"/>
  </si>
  <si>
    <t>계</t>
    <phoneticPr fontId="2" type="noConversion"/>
  </si>
  <si>
    <t>신동아5차</t>
    <phoneticPr fontId="2" type="noConversion"/>
  </si>
  <si>
    <t>'93.06.</t>
    <phoneticPr fontId="2" type="noConversion"/>
  </si>
  <si>
    <t>신동아5차</t>
    <phoneticPr fontId="2" type="noConversion"/>
  </si>
  <si>
    <t>계</t>
    <phoneticPr fontId="2" type="noConversion"/>
  </si>
  <si>
    <t>신동아1,2차</t>
    <phoneticPr fontId="2" type="noConversion"/>
  </si>
  <si>
    <t>'88.11.</t>
    <phoneticPr fontId="2" type="noConversion"/>
  </si>
  <si>
    <t>신동아1,2차</t>
    <phoneticPr fontId="2" type="noConversion"/>
  </si>
  <si>
    <t>'88.11.</t>
    <phoneticPr fontId="2" type="noConversion"/>
  </si>
  <si>
    <t>신동아1,2차</t>
    <phoneticPr fontId="2" type="noConversion"/>
  </si>
  <si>
    <t>계</t>
    <phoneticPr fontId="2" type="noConversion"/>
  </si>
  <si>
    <t>복</t>
    <phoneticPr fontId="2" type="noConversion"/>
  </si>
  <si>
    <t>신동아1,2차</t>
    <phoneticPr fontId="2" type="noConversion"/>
  </si>
  <si>
    <t>복</t>
    <phoneticPr fontId="2" type="noConversion"/>
  </si>
  <si>
    <t>'88.11.</t>
    <phoneticPr fontId="2" type="noConversion"/>
  </si>
  <si>
    <t>신동아1,2차</t>
    <phoneticPr fontId="2" type="noConversion"/>
  </si>
  <si>
    <t>'88.11.</t>
    <phoneticPr fontId="2" type="noConversion"/>
  </si>
  <si>
    <t>계</t>
    <phoneticPr fontId="2" type="noConversion"/>
  </si>
  <si>
    <t>인천학익두산위브</t>
    <phoneticPr fontId="2" type="noConversion"/>
  </si>
  <si>
    <t>'11.09.</t>
    <phoneticPr fontId="2" type="noConversion"/>
  </si>
  <si>
    <t>합</t>
    <phoneticPr fontId="2" type="noConversion"/>
  </si>
  <si>
    <t>합</t>
    <phoneticPr fontId="2" type="noConversion"/>
  </si>
  <si>
    <t>'11.09.</t>
    <phoneticPr fontId="2" type="noConversion"/>
  </si>
  <si>
    <t>인천학익두산위브</t>
    <phoneticPr fontId="2" type="noConversion"/>
  </si>
  <si>
    <t>'11.09.</t>
    <phoneticPr fontId="2" type="noConversion"/>
  </si>
  <si>
    <t>합</t>
    <phoneticPr fontId="2" type="noConversion"/>
  </si>
  <si>
    <t>인천학익두산위브</t>
    <phoneticPr fontId="2" type="noConversion"/>
  </si>
  <si>
    <t>'11.09.</t>
    <phoneticPr fontId="2" type="noConversion"/>
  </si>
  <si>
    <t>인천학익두산위브</t>
    <phoneticPr fontId="2" type="noConversion"/>
  </si>
  <si>
    <t>'11.09.</t>
    <phoneticPr fontId="2" type="noConversion"/>
  </si>
  <si>
    <t>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</si>
</sst>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761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7615" priority="69562" operator="lessThan">
      <formula>15.1</formula>
    </cfRule>
    <cfRule type="cellIs" dxfId="7614" priority="69563" operator="lessThan">
      <formula>18.1</formula>
    </cfRule>
    <cfRule type="cellIs" dxfId="7613" priority="69564" operator="lessThan">
      <formula>21.1</formula>
    </cfRule>
    <cfRule type="cellIs" dxfId="7612" priority="69565" operator="lessThan">
      <formula>24.1</formula>
    </cfRule>
    <cfRule type="cellIs" dxfId="7611" priority="69566" operator="lessThan">
      <formula>30</formula>
    </cfRule>
    <cfRule type="cellIs" dxfId="7610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7609" priority="69559" operator="greaterThan">
      <formula>0.9</formula>
    </cfRule>
    <cfRule type="cellIs" dxfId="7608" priority="69560" operator="greaterThan">
      <formula>0.85</formula>
    </cfRule>
  </conditionalFormatting>
  <conditionalFormatting sqref="N2">
    <cfRule type="cellIs" dxfId="7607" priority="69557" operator="greaterThan">
      <formula>0.9</formula>
    </cfRule>
    <cfRule type="cellIs" dxfId="7606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7605" priority="34334" operator="greaterThan">
      <formula>0.9</formula>
    </cfRule>
    <cfRule type="cellIs" dxfId="7604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2432"/>
  <sheetViews>
    <sheetView zoomScaleNormal="100" workbookViewId="0">
      <selection activeCell="L13" sqref="L13"/>
    </sheetView>
  </sheetViews>
  <sheetFormatPr defaultRowHeight="16.5" x14ac:dyDescent="0.3"/>
  <sheetData>
    <row r="1" spans="1:38" x14ac:dyDescent="0.3">
      <c r="A1" t="s">
        <v>90</v>
      </c>
      <c r="B1">
        <v>2273</v>
      </c>
      <c r="C1">
        <v>1</v>
      </c>
      <c r="D1" t="s">
        <v>91</v>
      </c>
      <c r="E1" t="s">
        <v>92</v>
      </c>
      <c r="F1">
        <v>464</v>
      </c>
      <c r="G1">
        <v>31.25</v>
      </c>
      <c r="H1">
        <v>103.33</v>
      </c>
      <c r="I1">
        <v>25.69</v>
      </c>
      <c r="J1">
        <v>84.95</v>
      </c>
      <c r="K1">
        <v>464</v>
      </c>
      <c r="T1">
        <v>3</v>
      </c>
      <c r="U1">
        <v>2</v>
      </c>
      <c r="V1" t="s">
        <v>93</v>
      </c>
      <c r="W1">
        <v>103</v>
      </c>
      <c r="X1">
        <v>14</v>
      </c>
      <c r="Y1">
        <v>10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G1" t="s">
        <v>99</v>
      </c>
      <c r="AH1">
        <v>0</v>
      </c>
      <c r="AI1">
        <v>219</v>
      </c>
      <c r="AJ1">
        <v>17</v>
      </c>
      <c r="AK1">
        <v>0</v>
      </c>
      <c r="AL1">
        <v>0</v>
      </c>
    </row>
    <row r="2" spans="1:38" x14ac:dyDescent="0.3">
      <c r="A2" t="s">
        <v>90</v>
      </c>
      <c r="B2">
        <v>2274</v>
      </c>
      <c r="C2">
        <v>1</v>
      </c>
      <c r="D2" t="s">
        <v>100</v>
      </c>
      <c r="E2" t="s">
        <v>101</v>
      </c>
      <c r="F2">
        <v>300</v>
      </c>
      <c r="G2">
        <v>34.840000000000003</v>
      </c>
      <c r="H2">
        <v>115.19</v>
      </c>
      <c r="I2">
        <v>29.25</v>
      </c>
      <c r="J2">
        <v>96.72</v>
      </c>
      <c r="K2">
        <v>60</v>
      </c>
      <c r="T2">
        <v>3</v>
      </c>
      <c r="U2">
        <v>2</v>
      </c>
      <c r="V2" t="s">
        <v>93</v>
      </c>
      <c r="W2">
        <v>115</v>
      </c>
      <c r="X2">
        <v>15</v>
      </c>
      <c r="Y2">
        <v>15</v>
      </c>
      <c r="Z2" t="s">
        <v>102</v>
      </c>
      <c r="AA2" t="s">
        <v>103</v>
      </c>
      <c r="AB2" t="s">
        <v>96</v>
      </c>
      <c r="AC2" t="s">
        <v>97</v>
      </c>
      <c r="AD2" t="s">
        <v>98</v>
      </c>
      <c r="AG2" t="s">
        <v>104</v>
      </c>
      <c r="AH2">
        <v>0</v>
      </c>
      <c r="AI2">
        <v>235</v>
      </c>
      <c r="AJ2">
        <v>17</v>
      </c>
      <c r="AK2">
        <v>300</v>
      </c>
      <c r="AL2">
        <v>1</v>
      </c>
    </row>
    <row r="3" spans="1:38" x14ac:dyDescent="0.3">
      <c r="A3" t="s">
        <v>90</v>
      </c>
      <c r="B3">
        <v>2274</v>
      </c>
      <c r="C3">
        <v>2</v>
      </c>
      <c r="D3" t="s">
        <v>100</v>
      </c>
      <c r="E3" t="s">
        <v>101</v>
      </c>
      <c r="F3">
        <v>300</v>
      </c>
      <c r="G3">
        <v>48.98</v>
      </c>
      <c r="H3">
        <v>161.91999999999999</v>
      </c>
      <c r="I3">
        <v>42.71</v>
      </c>
      <c r="J3">
        <v>141.19999999999999</v>
      </c>
      <c r="K3">
        <v>180</v>
      </c>
      <c r="T3">
        <v>4</v>
      </c>
      <c r="U3">
        <v>2</v>
      </c>
      <c r="V3" t="s">
        <v>93</v>
      </c>
      <c r="W3">
        <v>161</v>
      </c>
      <c r="X3">
        <v>15</v>
      </c>
      <c r="Y3">
        <v>15</v>
      </c>
      <c r="Z3" t="s">
        <v>102</v>
      </c>
      <c r="AA3" t="s">
        <v>103</v>
      </c>
      <c r="AB3" t="s">
        <v>96</v>
      </c>
      <c r="AC3" t="s">
        <v>97</v>
      </c>
      <c r="AD3" t="s">
        <v>98</v>
      </c>
      <c r="AG3" t="s">
        <v>104</v>
      </c>
      <c r="AH3">
        <v>0</v>
      </c>
      <c r="AI3">
        <v>235</v>
      </c>
      <c r="AJ3">
        <v>17</v>
      </c>
      <c r="AK3">
        <v>300</v>
      </c>
      <c r="AL3">
        <v>1</v>
      </c>
    </row>
    <row r="4" spans="1:38" x14ac:dyDescent="0.3">
      <c r="A4" t="s">
        <v>90</v>
      </c>
      <c r="B4">
        <v>2274</v>
      </c>
      <c r="C4">
        <v>3</v>
      </c>
      <c r="D4" t="s">
        <v>100</v>
      </c>
      <c r="E4" t="s">
        <v>101</v>
      </c>
      <c r="F4">
        <v>300</v>
      </c>
      <c r="G4">
        <v>56.65</v>
      </c>
      <c r="H4">
        <v>187.28</v>
      </c>
      <c r="I4">
        <v>49.86</v>
      </c>
      <c r="J4">
        <v>164.83</v>
      </c>
      <c r="K4">
        <v>60</v>
      </c>
      <c r="T4">
        <v>5</v>
      </c>
      <c r="U4">
        <v>2</v>
      </c>
      <c r="V4" t="s">
        <v>93</v>
      </c>
      <c r="W4">
        <v>187</v>
      </c>
      <c r="X4">
        <v>15</v>
      </c>
      <c r="Y4">
        <v>15</v>
      </c>
      <c r="Z4" t="s">
        <v>102</v>
      </c>
      <c r="AA4" t="s">
        <v>103</v>
      </c>
      <c r="AB4" t="s">
        <v>96</v>
      </c>
      <c r="AC4" t="s">
        <v>97</v>
      </c>
      <c r="AD4" t="s">
        <v>98</v>
      </c>
      <c r="AG4" t="s">
        <v>104</v>
      </c>
      <c r="AH4">
        <v>0</v>
      </c>
      <c r="AI4">
        <v>235</v>
      </c>
      <c r="AJ4">
        <v>17</v>
      </c>
      <c r="AK4">
        <v>300</v>
      </c>
      <c r="AL4">
        <v>1</v>
      </c>
    </row>
    <row r="5" spans="1:38" x14ac:dyDescent="0.3">
      <c r="A5" t="s">
        <v>90</v>
      </c>
      <c r="B5">
        <v>2267</v>
      </c>
      <c r="C5">
        <v>1</v>
      </c>
      <c r="D5" t="s">
        <v>105</v>
      </c>
      <c r="E5" t="s">
        <v>106</v>
      </c>
      <c r="F5">
        <v>420</v>
      </c>
      <c r="G5">
        <v>30.96</v>
      </c>
      <c r="H5">
        <v>102.36</v>
      </c>
      <c r="I5">
        <v>25.67</v>
      </c>
      <c r="J5">
        <v>84.87</v>
      </c>
      <c r="K5">
        <v>420</v>
      </c>
      <c r="T5">
        <v>3</v>
      </c>
      <c r="U5">
        <v>2</v>
      </c>
      <c r="V5" t="s">
        <v>93</v>
      </c>
      <c r="W5">
        <v>102</v>
      </c>
      <c r="X5">
        <v>15</v>
      </c>
      <c r="Y5">
        <v>12</v>
      </c>
      <c r="Z5" t="s">
        <v>107</v>
      </c>
      <c r="AA5" t="s">
        <v>108</v>
      </c>
      <c r="AB5" t="s">
        <v>96</v>
      </c>
      <c r="AC5" t="s">
        <v>97</v>
      </c>
      <c r="AD5" t="s">
        <v>98</v>
      </c>
      <c r="AG5" t="s">
        <v>109</v>
      </c>
      <c r="AH5">
        <v>0</v>
      </c>
      <c r="AI5">
        <v>216</v>
      </c>
      <c r="AJ5">
        <v>17</v>
      </c>
      <c r="AK5">
        <v>420</v>
      </c>
      <c r="AL5">
        <v>1</v>
      </c>
    </row>
    <row r="6" spans="1:38" x14ac:dyDescent="0.3">
      <c r="A6" t="s">
        <v>90</v>
      </c>
      <c r="B6">
        <v>2269</v>
      </c>
      <c r="C6">
        <v>1</v>
      </c>
      <c r="D6" t="s">
        <v>110</v>
      </c>
      <c r="E6" t="s">
        <v>111</v>
      </c>
      <c r="F6">
        <v>352</v>
      </c>
      <c r="G6">
        <v>47.45</v>
      </c>
      <c r="H6">
        <v>156.88</v>
      </c>
      <c r="I6">
        <v>40.22</v>
      </c>
      <c r="J6">
        <v>132.97999999999999</v>
      </c>
      <c r="K6">
        <v>160</v>
      </c>
      <c r="T6">
        <v>4</v>
      </c>
      <c r="U6">
        <v>2</v>
      </c>
      <c r="V6" t="s">
        <v>93</v>
      </c>
      <c r="W6">
        <v>156</v>
      </c>
      <c r="X6">
        <v>16</v>
      </c>
      <c r="Y6">
        <v>16</v>
      </c>
      <c r="Z6" t="s">
        <v>112</v>
      </c>
      <c r="AA6" t="s">
        <v>113</v>
      </c>
      <c r="AB6" t="s">
        <v>96</v>
      </c>
      <c r="AC6" t="s">
        <v>97</v>
      </c>
      <c r="AD6" t="s">
        <v>98</v>
      </c>
      <c r="AG6" t="s">
        <v>114</v>
      </c>
      <c r="AH6">
        <v>0</v>
      </c>
      <c r="AI6">
        <v>231</v>
      </c>
      <c r="AJ6">
        <v>16</v>
      </c>
      <c r="AK6">
        <v>422</v>
      </c>
      <c r="AL6">
        <v>1.2</v>
      </c>
    </row>
    <row r="7" spans="1:38" x14ac:dyDescent="0.3">
      <c r="A7" t="s">
        <v>90</v>
      </c>
      <c r="B7">
        <v>2269</v>
      </c>
      <c r="C7">
        <v>2</v>
      </c>
      <c r="D7" t="s">
        <v>110</v>
      </c>
      <c r="E7" t="s">
        <v>111</v>
      </c>
      <c r="F7">
        <v>352</v>
      </c>
      <c r="G7">
        <v>55.79</v>
      </c>
      <c r="H7">
        <v>184.43</v>
      </c>
      <c r="I7">
        <v>47.27</v>
      </c>
      <c r="J7">
        <v>156.27000000000001</v>
      </c>
      <c r="K7">
        <v>192</v>
      </c>
      <c r="T7">
        <v>4</v>
      </c>
      <c r="U7">
        <v>2</v>
      </c>
      <c r="V7" t="s">
        <v>93</v>
      </c>
      <c r="W7">
        <v>184</v>
      </c>
      <c r="X7">
        <v>16</v>
      </c>
      <c r="Y7">
        <v>16</v>
      </c>
      <c r="Z7" t="s">
        <v>112</v>
      </c>
      <c r="AA7" t="s">
        <v>113</v>
      </c>
      <c r="AB7" t="s">
        <v>96</v>
      </c>
      <c r="AC7" t="s">
        <v>97</v>
      </c>
      <c r="AD7" t="s">
        <v>98</v>
      </c>
      <c r="AG7" t="s">
        <v>114</v>
      </c>
      <c r="AH7">
        <v>0</v>
      </c>
      <c r="AI7">
        <v>231</v>
      </c>
      <c r="AJ7">
        <v>16</v>
      </c>
      <c r="AK7">
        <v>422</v>
      </c>
      <c r="AL7">
        <v>1.2</v>
      </c>
    </row>
    <row r="8" spans="1:38" x14ac:dyDescent="0.3">
      <c r="A8" t="s">
        <v>90</v>
      </c>
      <c r="B8">
        <v>2268</v>
      </c>
      <c r="C8">
        <v>1</v>
      </c>
      <c r="D8" t="s">
        <v>115</v>
      </c>
      <c r="E8" t="s">
        <v>116</v>
      </c>
      <c r="F8">
        <v>390</v>
      </c>
      <c r="G8">
        <v>38.24</v>
      </c>
      <c r="H8">
        <v>126.42</v>
      </c>
      <c r="I8">
        <v>32.67</v>
      </c>
      <c r="J8">
        <v>108.03</v>
      </c>
      <c r="K8">
        <v>120</v>
      </c>
      <c r="T8">
        <v>4</v>
      </c>
      <c r="U8">
        <v>2</v>
      </c>
      <c r="V8" t="s">
        <v>93</v>
      </c>
      <c r="W8">
        <v>126</v>
      </c>
      <c r="X8">
        <v>15</v>
      </c>
      <c r="Y8">
        <v>15</v>
      </c>
      <c r="Z8" t="s">
        <v>117</v>
      </c>
      <c r="AA8" t="s">
        <v>118</v>
      </c>
      <c r="AB8" t="s">
        <v>96</v>
      </c>
      <c r="AC8" t="s">
        <v>97</v>
      </c>
      <c r="AD8" t="s">
        <v>98</v>
      </c>
      <c r="AG8" t="s">
        <v>119</v>
      </c>
      <c r="AH8">
        <v>0</v>
      </c>
      <c r="AI8">
        <v>251</v>
      </c>
      <c r="AJ8">
        <v>18</v>
      </c>
      <c r="AK8">
        <v>390</v>
      </c>
      <c r="AL8">
        <v>1</v>
      </c>
    </row>
    <row r="9" spans="1:38" x14ac:dyDescent="0.3">
      <c r="A9" t="s">
        <v>90</v>
      </c>
      <c r="B9">
        <v>2268</v>
      </c>
      <c r="C9">
        <v>2</v>
      </c>
      <c r="D9" t="s">
        <v>115</v>
      </c>
      <c r="E9" t="s">
        <v>116</v>
      </c>
      <c r="F9">
        <v>390</v>
      </c>
      <c r="G9">
        <v>45.9</v>
      </c>
      <c r="H9">
        <v>151.76</v>
      </c>
      <c r="I9">
        <v>39.79</v>
      </c>
      <c r="J9">
        <v>131.54</v>
      </c>
      <c r="K9">
        <v>210</v>
      </c>
      <c r="T9">
        <v>4</v>
      </c>
      <c r="U9">
        <v>2</v>
      </c>
      <c r="V9" t="s">
        <v>93</v>
      </c>
      <c r="W9">
        <v>151</v>
      </c>
      <c r="X9">
        <v>15</v>
      </c>
      <c r="Y9">
        <v>15</v>
      </c>
      <c r="Z9" t="s">
        <v>117</v>
      </c>
      <c r="AA9" t="s">
        <v>118</v>
      </c>
      <c r="AB9" t="s">
        <v>96</v>
      </c>
      <c r="AC9" t="s">
        <v>97</v>
      </c>
      <c r="AD9" t="s">
        <v>98</v>
      </c>
      <c r="AG9" t="s">
        <v>119</v>
      </c>
      <c r="AH9">
        <v>0</v>
      </c>
      <c r="AI9">
        <v>251</v>
      </c>
      <c r="AJ9">
        <v>18</v>
      </c>
      <c r="AK9">
        <v>390</v>
      </c>
      <c r="AL9">
        <v>1</v>
      </c>
    </row>
    <row r="10" spans="1:38" x14ac:dyDescent="0.3">
      <c r="A10" t="s">
        <v>90</v>
      </c>
      <c r="B10">
        <v>2268</v>
      </c>
      <c r="C10">
        <v>3</v>
      </c>
      <c r="D10" t="s">
        <v>115</v>
      </c>
      <c r="E10" t="s">
        <v>116</v>
      </c>
      <c r="F10">
        <v>390</v>
      </c>
      <c r="G10">
        <v>56.54</v>
      </c>
      <c r="H10">
        <v>186.94</v>
      </c>
      <c r="I10">
        <v>49.19</v>
      </c>
      <c r="J10">
        <v>162.63</v>
      </c>
      <c r="K10">
        <v>60</v>
      </c>
      <c r="T10">
        <v>5</v>
      </c>
      <c r="U10">
        <v>2</v>
      </c>
      <c r="V10" t="s">
        <v>93</v>
      </c>
      <c r="W10">
        <v>186</v>
      </c>
      <c r="X10">
        <v>15</v>
      </c>
      <c r="Y10">
        <v>15</v>
      </c>
      <c r="Z10" t="s">
        <v>117</v>
      </c>
      <c r="AA10" t="s">
        <v>118</v>
      </c>
      <c r="AB10" t="s">
        <v>96</v>
      </c>
      <c r="AC10" t="s">
        <v>97</v>
      </c>
      <c r="AD10" t="s">
        <v>98</v>
      </c>
      <c r="AG10" t="s">
        <v>119</v>
      </c>
      <c r="AH10">
        <v>0</v>
      </c>
      <c r="AI10">
        <v>251</v>
      </c>
      <c r="AJ10">
        <v>18</v>
      </c>
      <c r="AK10">
        <v>390</v>
      </c>
      <c r="AL10">
        <v>1</v>
      </c>
    </row>
    <row r="11" spans="1:38" x14ac:dyDescent="0.3">
      <c r="A11" t="s">
        <v>90</v>
      </c>
      <c r="B11">
        <v>2270</v>
      </c>
      <c r="C11">
        <v>1</v>
      </c>
      <c r="D11" t="s">
        <v>120</v>
      </c>
      <c r="E11" t="s">
        <v>121</v>
      </c>
      <c r="F11">
        <v>410</v>
      </c>
      <c r="G11">
        <v>31.7</v>
      </c>
      <c r="H11">
        <v>104.82</v>
      </c>
      <c r="I11">
        <v>25.68</v>
      </c>
      <c r="J11">
        <v>84.9</v>
      </c>
      <c r="K11">
        <v>410</v>
      </c>
      <c r="T11">
        <v>3</v>
      </c>
      <c r="U11">
        <v>2</v>
      </c>
      <c r="V11" t="s">
        <v>93</v>
      </c>
      <c r="W11">
        <v>104</v>
      </c>
      <c r="X11">
        <v>14</v>
      </c>
      <c r="Y11">
        <v>13</v>
      </c>
      <c r="Z11" t="s">
        <v>122</v>
      </c>
      <c r="AA11" t="s">
        <v>123</v>
      </c>
      <c r="AB11" t="s">
        <v>96</v>
      </c>
      <c r="AC11" t="s">
        <v>97</v>
      </c>
      <c r="AD11" t="s">
        <v>98</v>
      </c>
      <c r="AG11" t="s">
        <v>124</v>
      </c>
      <c r="AH11">
        <v>0</v>
      </c>
      <c r="AI11">
        <v>215</v>
      </c>
      <c r="AJ11">
        <v>17</v>
      </c>
      <c r="AK11">
        <v>410</v>
      </c>
      <c r="AL11">
        <v>1</v>
      </c>
    </row>
    <row r="12" spans="1:38" x14ac:dyDescent="0.3">
      <c r="A12" t="s">
        <v>90</v>
      </c>
      <c r="B12">
        <v>2271</v>
      </c>
      <c r="C12">
        <v>1</v>
      </c>
      <c r="D12" t="s">
        <v>125</v>
      </c>
      <c r="E12" t="s">
        <v>126</v>
      </c>
      <c r="F12">
        <v>420</v>
      </c>
      <c r="G12">
        <v>31.01</v>
      </c>
      <c r="H12">
        <v>102.53</v>
      </c>
      <c r="I12">
        <v>25.69</v>
      </c>
      <c r="J12">
        <v>84.94</v>
      </c>
      <c r="K12">
        <v>420</v>
      </c>
      <c r="T12">
        <v>3</v>
      </c>
      <c r="U12">
        <v>1</v>
      </c>
      <c r="V12" t="s">
        <v>93</v>
      </c>
      <c r="W12">
        <v>102</v>
      </c>
      <c r="X12">
        <v>14</v>
      </c>
      <c r="Y12">
        <v>14</v>
      </c>
      <c r="Z12" t="s">
        <v>127</v>
      </c>
      <c r="AA12" t="s">
        <v>128</v>
      </c>
      <c r="AB12" t="s">
        <v>96</v>
      </c>
      <c r="AC12" t="s">
        <v>97</v>
      </c>
      <c r="AD12" t="s">
        <v>98</v>
      </c>
      <c r="AG12" t="s">
        <v>129</v>
      </c>
      <c r="AH12">
        <v>0</v>
      </c>
      <c r="AI12">
        <v>212</v>
      </c>
      <c r="AJ12">
        <v>16</v>
      </c>
      <c r="AK12">
        <v>420</v>
      </c>
      <c r="AL12">
        <v>1</v>
      </c>
    </row>
    <row r="13" spans="1:38" x14ac:dyDescent="0.3">
      <c r="A13" t="s">
        <v>90</v>
      </c>
      <c r="B13">
        <v>2272</v>
      </c>
      <c r="C13">
        <v>1</v>
      </c>
      <c r="D13" t="s">
        <v>130</v>
      </c>
      <c r="E13" t="s">
        <v>131</v>
      </c>
      <c r="F13">
        <v>240</v>
      </c>
      <c r="G13">
        <v>20.97</v>
      </c>
      <c r="H13">
        <v>69.34</v>
      </c>
      <c r="I13">
        <v>14.92</v>
      </c>
      <c r="J13">
        <v>49.35</v>
      </c>
      <c r="K13">
        <v>240</v>
      </c>
      <c r="T13">
        <v>2</v>
      </c>
      <c r="U13">
        <v>1</v>
      </c>
      <c r="V13" t="s">
        <v>132</v>
      </c>
      <c r="W13">
        <v>69</v>
      </c>
      <c r="X13">
        <v>10</v>
      </c>
      <c r="Y13">
        <v>10</v>
      </c>
      <c r="Z13" t="s">
        <v>133</v>
      </c>
      <c r="AA13" t="s">
        <v>134</v>
      </c>
      <c r="AB13" t="s">
        <v>96</v>
      </c>
      <c r="AC13" t="s">
        <v>97</v>
      </c>
      <c r="AD13" t="s">
        <v>98</v>
      </c>
      <c r="AG13" t="s">
        <v>135</v>
      </c>
      <c r="AH13">
        <v>0</v>
      </c>
      <c r="AI13">
        <v>0</v>
      </c>
      <c r="AJ13">
        <v>0</v>
      </c>
      <c r="AK13">
        <v>92</v>
      </c>
      <c r="AL13">
        <v>0.38</v>
      </c>
    </row>
    <row r="14" spans="1:38" x14ac:dyDescent="0.3">
      <c r="A14" t="s">
        <v>136</v>
      </c>
      <c r="B14">
        <v>112677</v>
      </c>
      <c r="C14">
        <v>1</v>
      </c>
      <c r="D14" t="s">
        <v>137</v>
      </c>
      <c r="E14" t="s">
        <v>138</v>
      </c>
      <c r="F14">
        <v>9</v>
      </c>
      <c r="G14">
        <v>26.94</v>
      </c>
      <c r="H14">
        <v>89.09</v>
      </c>
      <c r="I14">
        <v>20.79</v>
      </c>
      <c r="J14">
        <v>68.739999999999995</v>
      </c>
      <c r="K14">
        <v>3</v>
      </c>
      <c r="T14">
        <v>3</v>
      </c>
      <c r="U14">
        <v>2</v>
      </c>
      <c r="V14" t="s">
        <v>93</v>
      </c>
      <c r="W14" t="s">
        <v>139</v>
      </c>
      <c r="X14">
        <v>9</v>
      </c>
      <c r="Y14">
        <v>9</v>
      </c>
      <c r="Z14" t="s">
        <v>140</v>
      </c>
      <c r="AA14" t="s">
        <v>141</v>
      </c>
      <c r="AB14" t="s">
        <v>96</v>
      </c>
      <c r="AC14" t="s">
        <v>97</v>
      </c>
      <c r="AD14" t="s">
        <v>142</v>
      </c>
      <c r="AG14" t="s">
        <v>143</v>
      </c>
      <c r="AH14">
        <v>0</v>
      </c>
      <c r="AI14">
        <v>413</v>
      </c>
      <c r="AJ14">
        <v>75</v>
      </c>
      <c r="AK14">
        <v>9</v>
      </c>
      <c r="AL14">
        <v>1</v>
      </c>
    </row>
    <row r="15" spans="1:38" x14ac:dyDescent="0.3">
      <c r="A15" t="s">
        <v>136</v>
      </c>
      <c r="B15">
        <v>112677</v>
      </c>
      <c r="C15">
        <v>2</v>
      </c>
      <c r="D15" t="s">
        <v>137</v>
      </c>
      <c r="E15" t="s">
        <v>138</v>
      </c>
      <c r="F15">
        <v>9</v>
      </c>
      <c r="G15">
        <v>27.26</v>
      </c>
      <c r="H15">
        <v>90.12</v>
      </c>
      <c r="I15">
        <v>21.03</v>
      </c>
      <c r="J15">
        <v>69.55</v>
      </c>
      <c r="K15">
        <v>6</v>
      </c>
      <c r="T15">
        <v>3</v>
      </c>
      <c r="U15">
        <v>2</v>
      </c>
      <c r="V15" t="s">
        <v>93</v>
      </c>
      <c r="W15" t="s">
        <v>144</v>
      </c>
      <c r="X15">
        <v>9</v>
      </c>
      <c r="Y15">
        <v>9</v>
      </c>
      <c r="Z15" t="s">
        <v>140</v>
      </c>
      <c r="AA15" t="s">
        <v>141</v>
      </c>
      <c r="AB15" t="s">
        <v>96</v>
      </c>
      <c r="AC15" t="s">
        <v>97</v>
      </c>
      <c r="AD15" t="s">
        <v>142</v>
      </c>
      <c r="AG15" t="s">
        <v>143</v>
      </c>
      <c r="AH15">
        <v>0</v>
      </c>
      <c r="AI15">
        <v>413</v>
      </c>
      <c r="AJ15">
        <v>75</v>
      </c>
      <c r="AK15">
        <v>9</v>
      </c>
      <c r="AL15">
        <v>1</v>
      </c>
    </row>
    <row r="16" spans="1:38" x14ac:dyDescent="0.3">
      <c r="A16" t="s">
        <v>136</v>
      </c>
      <c r="B16">
        <v>8941</v>
      </c>
      <c r="C16">
        <v>1</v>
      </c>
      <c r="D16" t="s">
        <v>145</v>
      </c>
      <c r="E16" t="s">
        <v>146</v>
      </c>
      <c r="F16">
        <v>50</v>
      </c>
      <c r="G16">
        <v>28.9</v>
      </c>
      <c r="H16">
        <v>95.55</v>
      </c>
      <c r="I16">
        <v>24.28</v>
      </c>
      <c r="J16">
        <v>80.28</v>
      </c>
      <c r="K16">
        <v>20</v>
      </c>
      <c r="T16">
        <v>3</v>
      </c>
      <c r="U16">
        <v>1</v>
      </c>
      <c r="V16" t="s">
        <v>93</v>
      </c>
      <c r="W16">
        <v>95</v>
      </c>
      <c r="X16">
        <v>5</v>
      </c>
      <c r="Y16">
        <v>5</v>
      </c>
      <c r="Z16" t="s">
        <v>147</v>
      </c>
      <c r="AA16" t="s">
        <v>148</v>
      </c>
      <c r="AB16" t="s">
        <v>96</v>
      </c>
      <c r="AC16" t="s">
        <v>97</v>
      </c>
      <c r="AD16" t="s">
        <v>142</v>
      </c>
      <c r="AG16" t="s">
        <v>149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136</v>
      </c>
      <c r="B17">
        <v>8941</v>
      </c>
      <c r="C17">
        <v>2</v>
      </c>
      <c r="D17" t="s">
        <v>145</v>
      </c>
      <c r="E17" t="s">
        <v>146</v>
      </c>
      <c r="F17">
        <v>50</v>
      </c>
      <c r="G17">
        <v>31.52</v>
      </c>
      <c r="H17">
        <v>104.23</v>
      </c>
      <c r="I17">
        <v>26.57</v>
      </c>
      <c r="J17">
        <v>87.84</v>
      </c>
      <c r="K17">
        <v>30</v>
      </c>
      <c r="T17">
        <v>3</v>
      </c>
      <c r="U17">
        <v>1</v>
      </c>
      <c r="V17" t="s">
        <v>93</v>
      </c>
      <c r="W17">
        <v>104</v>
      </c>
      <c r="X17">
        <v>5</v>
      </c>
      <c r="Y17">
        <v>5</v>
      </c>
      <c r="Z17" t="s">
        <v>147</v>
      </c>
      <c r="AA17" t="s">
        <v>148</v>
      </c>
      <c r="AB17" t="s">
        <v>96</v>
      </c>
      <c r="AC17" t="s">
        <v>97</v>
      </c>
      <c r="AD17" t="s">
        <v>142</v>
      </c>
      <c r="AG17" t="s">
        <v>149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136</v>
      </c>
      <c r="B18">
        <v>119591</v>
      </c>
      <c r="C18">
        <v>1</v>
      </c>
      <c r="D18" t="s">
        <v>150</v>
      </c>
      <c r="E18" t="s">
        <v>151</v>
      </c>
      <c r="F18">
        <v>932</v>
      </c>
      <c r="G18">
        <v>25.01</v>
      </c>
      <c r="H18">
        <v>82.69</v>
      </c>
      <c r="I18">
        <v>18.079999999999998</v>
      </c>
      <c r="J18">
        <v>59.79</v>
      </c>
      <c r="K18">
        <v>230</v>
      </c>
      <c r="T18">
        <v>3</v>
      </c>
      <c r="U18">
        <v>2</v>
      </c>
      <c r="V18" t="s">
        <v>93</v>
      </c>
      <c r="W18" t="s">
        <v>152</v>
      </c>
      <c r="X18">
        <v>29</v>
      </c>
      <c r="Y18">
        <v>11</v>
      </c>
      <c r="Z18" t="s">
        <v>153</v>
      </c>
      <c r="AA18" t="s">
        <v>154</v>
      </c>
      <c r="AB18" t="s">
        <v>96</v>
      </c>
      <c r="AC18" t="s">
        <v>97</v>
      </c>
      <c r="AD18" t="s">
        <v>142</v>
      </c>
      <c r="AG18" t="s">
        <v>155</v>
      </c>
      <c r="AH18">
        <v>932</v>
      </c>
      <c r="AI18">
        <v>249</v>
      </c>
      <c r="AJ18">
        <v>14</v>
      </c>
      <c r="AK18">
        <v>1074</v>
      </c>
      <c r="AL18">
        <v>1.1499999999999999</v>
      </c>
    </row>
    <row r="19" spans="1:38" x14ac:dyDescent="0.3">
      <c r="A19" t="s">
        <v>136</v>
      </c>
      <c r="B19">
        <v>119591</v>
      </c>
      <c r="C19">
        <v>2</v>
      </c>
      <c r="D19" t="s">
        <v>150</v>
      </c>
      <c r="E19" t="s">
        <v>151</v>
      </c>
      <c r="F19">
        <v>932</v>
      </c>
      <c r="G19">
        <v>33.19</v>
      </c>
      <c r="H19">
        <v>109.72</v>
      </c>
      <c r="I19">
        <v>25.68</v>
      </c>
      <c r="J19">
        <v>84.91</v>
      </c>
      <c r="K19">
        <v>586</v>
      </c>
      <c r="T19">
        <v>3</v>
      </c>
      <c r="U19">
        <v>2</v>
      </c>
      <c r="V19" t="s">
        <v>93</v>
      </c>
      <c r="W19" t="s">
        <v>156</v>
      </c>
      <c r="X19">
        <v>29</v>
      </c>
      <c r="Y19">
        <v>11</v>
      </c>
      <c r="Z19" t="s">
        <v>153</v>
      </c>
      <c r="AA19" t="s">
        <v>154</v>
      </c>
      <c r="AB19" t="s">
        <v>96</v>
      </c>
      <c r="AC19" t="s">
        <v>97</v>
      </c>
      <c r="AD19" t="s">
        <v>142</v>
      </c>
      <c r="AG19" t="s">
        <v>155</v>
      </c>
      <c r="AH19">
        <v>932</v>
      </c>
      <c r="AI19">
        <v>249</v>
      </c>
      <c r="AJ19">
        <v>14</v>
      </c>
      <c r="AK19">
        <v>1074</v>
      </c>
      <c r="AL19">
        <v>1.1499999999999999</v>
      </c>
    </row>
    <row r="20" spans="1:38" x14ac:dyDescent="0.3">
      <c r="A20" t="s">
        <v>136</v>
      </c>
      <c r="B20">
        <v>119591</v>
      </c>
      <c r="C20">
        <v>3</v>
      </c>
      <c r="D20" t="s">
        <v>150</v>
      </c>
      <c r="E20" t="s">
        <v>151</v>
      </c>
      <c r="F20">
        <v>932</v>
      </c>
      <c r="G20">
        <v>33.33</v>
      </c>
      <c r="H20">
        <v>110.2</v>
      </c>
      <c r="I20">
        <v>25.7</v>
      </c>
      <c r="J20">
        <v>84.97</v>
      </c>
      <c r="K20">
        <v>58</v>
      </c>
      <c r="T20">
        <v>3</v>
      </c>
      <c r="U20">
        <v>2</v>
      </c>
      <c r="V20" t="s">
        <v>93</v>
      </c>
      <c r="W20" t="s">
        <v>157</v>
      </c>
      <c r="X20">
        <v>29</v>
      </c>
      <c r="Y20">
        <v>11</v>
      </c>
      <c r="Z20" t="s">
        <v>153</v>
      </c>
      <c r="AA20" t="s">
        <v>154</v>
      </c>
      <c r="AB20" t="s">
        <v>96</v>
      </c>
      <c r="AC20" t="s">
        <v>97</v>
      </c>
      <c r="AD20" t="s">
        <v>142</v>
      </c>
      <c r="AG20" t="s">
        <v>155</v>
      </c>
      <c r="AH20">
        <v>932</v>
      </c>
      <c r="AI20">
        <v>249</v>
      </c>
      <c r="AJ20">
        <v>14</v>
      </c>
      <c r="AK20">
        <v>1074</v>
      </c>
      <c r="AL20">
        <v>1.1499999999999999</v>
      </c>
    </row>
    <row r="21" spans="1:38" x14ac:dyDescent="0.3">
      <c r="A21" t="s">
        <v>136</v>
      </c>
      <c r="B21">
        <v>119591</v>
      </c>
      <c r="C21">
        <v>4</v>
      </c>
      <c r="D21" t="s">
        <v>150</v>
      </c>
      <c r="E21" t="s">
        <v>151</v>
      </c>
      <c r="F21">
        <v>932</v>
      </c>
      <c r="G21">
        <v>33.340000000000003</v>
      </c>
      <c r="H21">
        <v>110.22</v>
      </c>
      <c r="I21">
        <v>25.7</v>
      </c>
      <c r="J21">
        <v>84.99</v>
      </c>
      <c r="K21">
        <v>58</v>
      </c>
      <c r="T21">
        <v>3</v>
      </c>
      <c r="U21">
        <v>2</v>
      </c>
      <c r="V21" t="s">
        <v>93</v>
      </c>
      <c r="W21" t="s">
        <v>158</v>
      </c>
      <c r="X21">
        <v>29</v>
      </c>
      <c r="Y21">
        <v>11</v>
      </c>
      <c r="Z21" t="s">
        <v>153</v>
      </c>
      <c r="AA21" t="s">
        <v>154</v>
      </c>
      <c r="AB21" t="s">
        <v>96</v>
      </c>
      <c r="AC21" t="s">
        <v>97</v>
      </c>
      <c r="AD21" t="s">
        <v>142</v>
      </c>
      <c r="AG21" t="s">
        <v>155</v>
      </c>
      <c r="AH21">
        <v>932</v>
      </c>
      <c r="AI21">
        <v>249</v>
      </c>
      <c r="AJ21">
        <v>14</v>
      </c>
      <c r="AK21">
        <v>1074</v>
      </c>
      <c r="AL21">
        <v>1.1499999999999999</v>
      </c>
    </row>
    <row r="22" spans="1:38" x14ac:dyDescent="0.3">
      <c r="A22" t="s">
        <v>136</v>
      </c>
      <c r="B22">
        <v>104885</v>
      </c>
      <c r="C22">
        <v>1</v>
      </c>
      <c r="D22" t="s">
        <v>159</v>
      </c>
      <c r="E22" t="s">
        <v>160</v>
      </c>
      <c r="F22">
        <v>265</v>
      </c>
      <c r="G22">
        <v>26.02</v>
      </c>
      <c r="H22">
        <v>86.02</v>
      </c>
      <c r="I22">
        <v>18.11</v>
      </c>
      <c r="J22">
        <v>59.88</v>
      </c>
      <c r="K22">
        <v>83</v>
      </c>
      <c r="T22">
        <v>3</v>
      </c>
      <c r="U22">
        <v>2</v>
      </c>
      <c r="V22" t="s">
        <v>93</v>
      </c>
      <c r="W22">
        <v>86</v>
      </c>
      <c r="X22">
        <v>20</v>
      </c>
      <c r="Y22">
        <v>12</v>
      </c>
      <c r="Z22" t="s">
        <v>161</v>
      </c>
      <c r="AA22" t="s">
        <v>162</v>
      </c>
      <c r="AB22" t="s">
        <v>96</v>
      </c>
      <c r="AC22" t="s">
        <v>97</v>
      </c>
      <c r="AD22" t="s">
        <v>142</v>
      </c>
      <c r="AG22" t="s">
        <v>163</v>
      </c>
      <c r="AH22">
        <v>46</v>
      </c>
      <c r="AI22">
        <v>278</v>
      </c>
      <c r="AJ22">
        <v>24</v>
      </c>
      <c r="AK22">
        <v>272</v>
      </c>
      <c r="AL22">
        <v>1.03</v>
      </c>
    </row>
    <row r="23" spans="1:38" x14ac:dyDescent="0.3">
      <c r="A23" t="s">
        <v>136</v>
      </c>
      <c r="B23">
        <v>104885</v>
      </c>
      <c r="C23">
        <v>2</v>
      </c>
      <c r="D23" t="s">
        <v>159</v>
      </c>
      <c r="E23" t="s">
        <v>160</v>
      </c>
      <c r="F23">
        <v>265</v>
      </c>
      <c r="G23">
        <v>33.76</v>
      </c>
      <c r="H23">
        <v>111.61</v>
      </c>
      <c r="I23">
        <v>25.7</v>
      </c>
      <c r="J23">
        <v>84.97</v>
      </c>
      <c r="K23">
        <v>98</v>
      </c>
      <c r="T23">
        <v>3</v>
      </c>
      <c r="U23">
        <v>2</v>
      </c>
      <c r="V23" t="s">
        <v>93</v>
      </c>
      <c r="W23">
        <v>111</v>
      </c>
      <c r="X23">
        <v>20</v>
      </c>
      <c r="Y23">
        <v>12</v>
      </c>
      <c r="Z23" t="s">
        <v>161</v>
      </c>
      <c r="AA23" t="s">
        <v>162</v>
      </c>
      <c r="AB23" t="s">
        <v>96</v>
      </c>
      <c r="AC23" t="s">
        <v>97</v>
      </c>
      <c r="AD23" t="s">
        <v>142</v>
      </c>
      <c r="AG23" t="s">
        <v>163</v>
      </c>
      <c r="AH23">
        <v>46</v>
      </c>
      <c r="AI23">
        <v>278</v>
      </c>
      <c r="AJ23">
        <v>24</v>
      </c>
      <c r="AK23">
        <v>272</v>
      </c>
      <c r="AL23">
        <v>1.03</v>
      </c>
    </row>
    <row r="24" spans="1:38" x14ac:dyDescent="0.3">
      <c r="A24" t="s">
        <v>136</v>
      </c>
      <c r="B24">
        <v>104885</v>
      </c>
      <c r="C24">
        <v>3</v>
      </c>
      <c r="D24" t="s">
        <v>159</v>
      </c>
      <c r="E24" t="s">
        <v>160</v>
      </c>
      <c r="F24">
        <v>265</v>
      </c>
      <c r="G24">
        <v>42.65</v>
      </c>
      <c r="H24">
        <v>141.02000000000001</v>
      </c>
      <c r="I24">
        <v>34</v>
      </c>
      <c r="J24">
        <v>112.41</v>
      </c>
      <c r="K24">
        <v>38</v>
      </c>
      <c r="T24">
        <v>4</v>
      </c>
      <c r="U24">
        <v>2</v>
      </c>
      <c r="V24" t="s">
        <v>93</v>
      </c>
      <c r="W24">
        <v>141</v>
      </c>
      <c r="X24">
        <v>20</v>
      </c>
      <c r="Y24">
        <v>12</v>
      </c>
      <c r="Z24" t="s">
        <v>161</v>
      </c>
      <c r="AA24" t="s">
        <v>162</v>
      </c>
      <c r="AB24" t="s">
        <v>96</v>
      </c>
      <c r="AC24" t="s">
        <v>97</v>
      </c>
      <c r="AD24" t="s">
        <v>142</v>
      </c>
      <c r="AG24" t="s">
        <v>163</v>
      </c>
      <c r="AH24">
        <v>46</v>
      </c>
      <c r="AI24">
        <v>278</v>
      </c>
      <c r="AJ24">
        <v>24</v>
      </c>
      <c r="AK24">
        <v>272</v>
      </c>
      <c r="AL24">
        <v>1.03</v>
      </c>
    </row>
    <row r="25" spans="1:38" x14ac:dyDescent="0.3">
      <c r="A25" t="s">
        <v>136</v>
      </c>
      <c r="B25">
        <v>106113</v>
      </c>
      <c r="C25">
        <v>1</v>
      </c>
      <c r="D25" t="s">
        <v>164</v>
      </c>
      <c r="E25" t="s">
        <v>165</v>
      </c>
      <c r="F25">
        <v>6</v>
      </c>
      <c r="G25">
        <v>27.95</v>
      </c>
      <c r="H25">
        <v>92.41</v>
      </c>
      <c r="I25">
        <v>23.73</v>
      </c>
      <c r="J25">
        <v>78.47</v>
      </c>
      <c r="K25">
        <v>3</v>
      </c>
      <c r="T25">
        <v>3</v>
      </c>
      <c r="U25">
        <v>2</v>
      </c>
      <c r="V25" t="s">
        <v>93</v>
      </c>
      <c r="W25" t="s">
        <v>166</v>
      </c>
      <c r="X25">
        <v>10</v>
      </c>
      <c r="Y25">
        <v>10</v>
      </c>
      <c r="Z25" t="s">
        <v>167</v>
      </c>
      <c r="AA25" t="s">
        <v>168</v>
      </c>
      <c r="AB25" t="s">
        <v>96</v>
      </c>
      <c r="AC25" t="s">
        <v>97</v>
      </c>
      <c r="AD25" t="s">
        <v>142</v>
      </c>
      <c r="AG25" t="s">
        <v>169</v>
      </c>
      <c r="AH25">
        <v>0</v>
      </c>
      <c r="AI25">
        <v>631</v>
      </c>
      <c r="AJ25">
        <v>79</v>
      </c>
      <c r="AK25">
        <v>6</v>
      </c>
      <c r="AL25">
        <v>1</v>
      </c>
    </row>
    <row r="26" spans="1:38" x14ac:dyDescent="0.3">
      <c r="A26" t="s">
        <v>136</v>
      </c>
      <c r="B26">
        <v>106113</v>
      </c>
      <c r="C26">
        <v>2</v>
      </c>
      <c r="D26" t="s">
        <v>164</v>
      </c>
      <c r="E26" t="s">
        <v>165</v>
      </c>
      <c r="F26">
        <v>6</v>
      </c>
      <c r="G26">
        <v>27.97</v>
      </c>
      <c r="H26">
        <v>92.49</v>
      </c>
      <c r="I26">
        <v>23.75</v>
      </c>
      <c r="J26">
        <v>78.540000000000006</v>
      </c>
      <c r="K26">
        <v>3</v>
      </c>
      <c r="T26">
        <v>3</v>
      </c>
      <c r="U26">
        <v>2</v>
      </c>
      <c r="V26" t="s">
        <v>93</v>
      </c>
      <c r="W26" t="s">
        <v>170</v>
      </c>
      <c r="X26">
        <v>10</v>
      </c>
      <c r="Y26">
        <v>10</v>
      </c>
      <c r="Z26" t="s">
        <v>167</v>
      </c>
      <c r="AA26" t="s">
        <v>168</v>
      </c>
      <c r="AB26" t="s">
        <v>96</v>
      </c>
      <c r="AC26" t="s">
        <v>97</v>
      </c>
      <c r="AD26" t="s">
        <v>142</v>
      </c>
      <c r="AG26" t="s">
        <v>169</v>
      </c>
      <c r="AH26">
        <v>0</v>
      </c>
      <c r="AI26">
        <v>631</v>
      </c>
      <c r="AJ26">
        <v>79</v>
      </c>
      <c r="AK26">
        <v>6</v>
      </c>
      <c r="AL26">
        <v>1</v>
      </c>
    </row>
    <row r="27" spans="1:38" x14ac:dyDescent="0.3">
      <c r="A27" t="s">
        <v>136</v>
      </c>
      <c r="B27">
        <v>110976</v>
      </c>
      <c r="C27">
        <v>1</v>
      </c>
      <c r="D27" t="s">
        <v>171</v>
      </c>
      <c r="E27" t="s">
        <v>172</v>
      </c>
      <c r="F27">
        <v>17</v>
      </c>
      <c r="G27">
        <v>14.33</v>
      </c>
      <c r="H27">
        <v>47.39</v>
      </c>
      <c r="I27">
        <v>12.39</v>
      </c>
      <c r="J27">
        <v>40.99</v>
      </c>
      <c r="K27">
        <v>1</v>
      </c>
      <c r="T27">
        <v>1</v>
      </c>
      <c r="U27">
        <v>1</v>
      </c>
      <c r="V27" t="s">
        <v>93</v>
      </c>
      <c r="W27">
        <v>47</v>
      </c>
      <c r="X27">
        <v>7</v>
      </c>
      <c r="Y27">
        <v>5</v>
      </c>
      <c r="Z27" t="s">
        <v>173</v>
      </c>
      <c r="AA27" t="s">
        <v>174</v>
      </c>
      <c r="AB27" t="s">
        <v>96</v>
      </c>
      <c r="AC27" t="s">
        <v>97</v>
      </c>
      <c r="AD27" t="s">
        <v>142</v>
      </c>
      <c r="AG27" t="s">
        <v>175</v>
      </c>
      <c r="AH27">
        <v>0</v>
      </c>
      <c r="AI27">
        <v>0</v>
      </c>
      <c r="AJ27">
        <v>0</v>
      </c>
      <c r="AK27">
        <v>14</v>
      </c>
      <c r="AL27">
        <v>0.82</v>
      </c>
    </row>
    <row r="28" spans="1:38" x14ac:dyDescent="0.3">
      <c r="A28" t="s">
        <v>136</v>
      </c>
      <c r="B28">
        <v>110976</v>
      </c>
      <c r="C28">
        <v>2</v>
      </c>
      <c r="D28" t="s">
        <v>171</v>
      </c>
      <c r="E28" t="s">
        <v>172</v>
      </c>
      <c r="F28">
        <v>17</v>
      </c>
      <c r="G28">
        <v>15.28</v>
      </c>
      <c r="H28">
        <v>50.54</v>
      </c>
      <c r="I28">
        <v>13.22</v>
      </c>
      <c r="J28">
        <v>43.72</v>
      </c>
      <c r="K28">
        <v>1</v>
      </c>
      <c r="T28">
        <v>2</v>
      </c>
      <c r="U28">
        <v>1</v>
      </c>
      <c r="V28" t="s">
        <v>93</v>
      </c>
      <c r="W28">
        <v>50</v>
      </c>
      <c r="X28">
        <v>7</v>
      </c>
      <c r="Y28">
        <v>5</v>
      </c>
      <c r="Z28" t="s">
        <v>173</v>
      </c>
      <c r="AA28" t="s">
        <v>174</v>
      </c>
      <c r="AB28" t="s">
        <v>96</v>
      </c>
      <c r="AC28" t="s">
        <v>97</v>
      </c>
      <c r="AD28" t="s">
        <v>142</v>
      </c>
      <c r="AG28" t="s">
        <v>175</v>
      </c>
      <c r="AH28">
        <v>0</v>
      </c>
      <c r="AI28">
        <v>0</v>
      </c>
      <c r="AJ28">
        <v>0</v>
      </c>
      <c r="AK28">
        <v>14</v>
      </c>
      <c r="AL28">
        <v>0.82</v>
      </c>
    </row>
    <row r="29" spans="1:38" x14ac:dyDescent="0.3">
      <c r="A29" t="s">
        <v>136</v>
      </c>
      <c r="B29">
        <v>110976</v>
      </c>
      <c r="C29">
        <v>3</v>
      </c>
      <c r="D29" t="s">
        <v>171</v>
      </c>
      <c r="E29" t="s">
        <v>172</v>
      </c>
      <c r="F29">
        <v>17</v>
      </c>
      <c r="G29">
        <v>16.59</v>
      </c>
      <c r="H29">
        <v>54.85</v>
      </c>
      <c r="I29">
        <v>14.35</v>
      </c>
      <c r="J29">
        <v>47.45</v>
      </c>
      <c r="K29">
        <v>1</v>
      </c>
      <c r="T29">
        <v>2</v>
      </c>
      <c r="U29">
        <v>1</v>
      </c>
      <c r="V29" t="s">
        <v>93</v>
      </c>
      <c r="W29" t="s">
        <v>176</v>
      </c>
      <c r="X29">
        <v>7</v>
      </c>
      <c r="Y29">
        <v>5</v>
      </c>
      <c r="Z29" t="s">
        <v>173</v>
      </c>
      <c r="AA29" t="s">
        <v>174</v>
      </c>
      <c r="AB29" t="s">
        <v>96</v>
      </c>
      <c r="AC29" t="s">
        <v>97</v>
      </c>
      <c r="AD29" t="s">
        <v>142</v>
      </c>
      <c r="AG29" t="s">
        <v>175</v>
      </c>
      <c r="AH29">
        <v>0</v>
      </c>
      <c r="AI29">
        <v>0</v>
      </c>
      <c r="AJ29">
        <v>0</v>
      </c>
      <c r="AK29">
        <v>14</v>
      </c>
      <c r="AL29">
        <v>0.82</v>
      </c>
    </row>
    <row r="30" spans="1:38" x14ac:dyDescent="0.3">
      <c r="A30" t="s">
        <v>136</v>
      </c>
      <c r="B30">
        <v>110976</v>
      </c>
      <c r="C30">
        <v>4</v>
      </c>
      <c r="D30" t="s">
        <v>171</v>
      </c>
      <c r="E30" t="s">
        <v>172</v>
      </c>
      <c r="F30">
        <v>17</v>
      </c>
      <c r="G30">
        <v>16.84</v>
      </c>
      <c r="H30">
        <v>55.7</v>
      </c>
      <c r="I30">
        <v>14.38</v>
      </c>
      <c r="J30">
        <v>47.56</v>
      </c>
      <c r="K30">
        <v>1</v>
      </c>
      <c r="T30">
        <v>2</v>
      </c>
      <c r="U30">
        <v>1</v>
      </c>
      <c r="V30" t="s">
        <v>93</v>
      </c>
      <c r="W30" t="s">
        <v>177</v>
      </c>
      <c r="X30">
        <v>7</v>
      </c>
      <c r="Y30">
        <v>5</v>
      </c>
      <c r="Z30" t="s">
        <v>173</v>
      </c>
      <c r="AA30" t="s">
        <v>174</v>
      </c>
      <c r="AB30" t="s">
        <v>96</v>
      </c>
      <c r="AC30" t="s">
        <v>97</v>
      </c>
      <c r="AD30" t="s">
        <v>142</v>
      </c>
      <c r="AG30" t="s">
        <v>175</v>
      </c>
      <c r="AH30">
        <v>0</v>
      </c>
      <c r="AI30">
        <v>0</v>
      </c>
      <c r="AJ30">
        <v>0</v>
      </c>
      <c r="AK30">
        <v>14</v>
      </c>
      <c r="AL30">
        <v>0.82</v>
      </c>
    </row>
    <row r="31" spans="1:38" x14ac:dyDescent="0.3">
      <c r="A31" t="s">
        <v>136</v>
      </c>
      <c r="B31">
        <v>110976</v>
      </c>
      <c r="C31">
        <v>5</v>
      </c>
      <c r="D31" t="s">
        <v>171</v>
      </c>
      <c r="E31" t="s">
        <v>172</v>
      </c>
      <c r="F31">
        <v>17</v>
      </c>
      <c r="G31">
        <v>17.559999999999999</v>
      </c>
      <c r="H31">
        <v>58.08</v>
      </c>
      <c r="I31">
        <v>15</v>
      </c>
      <c r="J31">
        <v>49.6</v>
      </c>
      <c r="K31">
        <v>1</v>
      </c>
      <c r="T31">
        <v>2</v>
      </c>
      <c r="U31">
        <v>1</v>
      </c>
      <c r="V31" t="s">
        <v>93</v>
      </c>
      <c r="W31" t="s">
        <v>178</v>
      </c>
      <c r="X31">
        <v>7</v>
      </c>
      <c r="Y31">
        <v>5</v>
      </c>
      <c r="Z31" t="s">
        <v>173</v>
      </c>
      <c r="AA31" t="s">
        <v>174</v>
      </c>
      <c r="AB31" t="s">
        <v>96</v>
      </c>
      <c r="AC31" t="s">
        <v>97</v>
      </c>
      <c r="AD31" t="s">
        <v>142</v>
      </c>
      <c r="AG31" t="s">
        <v>175</v>
      </c>
      <c r="AH31">
        <v>0</v>
      </c>
      <c r="AI31">
        <v>0</v>
      </c>
      <c r="AJ31">
        <v>0</v>
      </c>
      <c r="AK31">
        <v>14</v>
      </c>
      <c r="AL31">
        <v>0.82</v>
      </c>
    </row>
    <row r="32" spans="1:38" x14ac:dyDescent="0.3">
      <c r="A32" t="s">
        <v>136</v>
      </c>
      <c r="B32">
        <v>110976</v>
      </c>
      <c r="C32">
        <v>6</v>
      </c>
      <c r="D32" t="s">
        <v>171</v>
      </c>
      <c r="E32" t="s">
        <v>172</v>
      </c>
      <c r="F32">
        <v>17</v>
      </c>
      <c r="G32">
        <v>18.37</v>
      </c>
      <c r="H32">
        <v>60.75</v>
      </c>
      <c r="I32">
        <v>15.69</v>
      </c>
      <c r="J32">
        <v>51.88</v>
      </c>
      <c r="K32">
        <v>4</v>
      </c>
      <c r="T32">
        <v>2</v>
      </c>
      <c r="U32">
        <v>1</v>
      </c>
      <c r="V32" t="s">
        <v>93</v>
      </c>
      <c r="W32" t="s">
        <v>179</v>
      </c>
      <c r="X32">
        <v>7</v>
      </c>
      <c r="Y32">
        <v>5</v>
      </c>
      <c r="Z32" t="s">
        <v>173</v>
      </c>
      <c r="AA32" t="s">
        <v>174</v>
      </c>
      <c r="AB32" t="s">
        <v>96</v>
      </c>
      <c r="AC32" t="s">
        <v>97</v>
      </c>
      <c r="AD32" t="s">
        <v>142</v>
      </c>
      <c r="AG32" t="s">
        <v>175</v>
      </c>
      <c r="AH32">
        <v>0</v>
      </c>
      <c r="AI32">
        <v>0</v>
      </c>
      <c r="AJ32">
        <v>0</v>
      </c>
      <c r="AK32">
        <v>14</v>
      </c>
      <c r="AL32">
        <v>0.82</v>
      </c>
    </row>
    <row r="33" spans="1:38" x14ac:dyDescent="0.3">
      <c r="A33" t="s">
        <v>136</v>
      </c>
      <c r="B33">
        <v>110976</v>
      </c>
      <c r="C33">
        <v>7</v>
      </c>
      <c r="D33" t="s">
        <v>171</v>
      </c>
      <c r="E33" t="s">
        <v>172</v>
      </c>
      <c r="F33">
        <v>17</v>
      </c>
      <c r="G33">
        <v>19.03</v>
      </c>
      <c r="H33">
        <v>62.93</v>
      </c>
      <c r="I33">
        <v>16.46</v>
      </c>
      <c r="J33">
        <v>54.44</v>
      </c>
      <c r="K33">
        <v>1</v>
      </c>
      <c r="T33">
        <v>2</v>
      </c>
      <c r="U33">
        <v>1</v>
      </c>
      <c r="V33" t="s">
        <v>93</v>
      </c>
      <c r="W33">
        <v>62</v>
      </c>
      <c r="X33">
        <v>7</v>
      </c>
      <c r="Y33">
        <v>5</v>
      </c>
      <c r="Z33" t="s">
        <v>173</v>
      </c>
      <c r="AA33" t="s">
        <v>174</v>
      </c>
      <c r="AB33" t="s">
        <v>96</v>
      </c>
      <c r="AC33" t="s">
        <v>97</v>
      </c>
      <c r="AD33" t="s">
        <v>142</v>
      </c>
      <c r="AG33" t="s">
        <v>175</v>
      </c>
      <c r="AH33">
        <v>0</v>
      </c>
      <c r="AI33">
        <v>0</v>
      </c>
      <c r="AJ33">
        <v>0</v>
      </c>
      <c r="AK33">
        <v>14</v>
      </c>
      <c r="AL33">
        <v>0.82</v>
      </c>
    </row>
    <row r="34" spans="1:38" x14ac:dyDescent="0.3">
      <c r="A34" t="s">
        <v>136</v>
      </c>
      <c r="B34">
        <v>110976</v>
      </c>
      <c r="C34">
        <v>8</v>
      </c>
      <c r="D34" t="s">
        <v>171</v>
      </c>
      <c r="E34" t="s">
        <v>172</v>
      </c>
      <c r="F34">
        <v>17</v>
      </c>
      <c r="G34">
        <v>19.91</v>
      </c>
      <c r="H34">
        <v>65.84</v>
      </c>
      <c r="I34">
        <v>17.23</v>
      </c>
      <c r="J34">
        <v>56.96</v>
      </c>
      <c r="K34">
        <v>1</v>
      </c>
      <c r="T34">
        <v>2</v>
      </c>
      <c r="U34">
        <v>1</v>
      </c>
      <c r="V34" t="s">
        <v>93</v>
      </c>
      <c r="W34">
        <v>65</v>
      </c>
      <c r="X34">
        <v>7</v>
      </c>
      <c r="Y34">
        <v>5</v>
      </c>
      <c r="Z34" t="s">
        <v>173</v>
      </c>
      <c r="AA34" t="s">
        <v>174</v>
      </c>
      <c r="AB34" t="s">
        <v>96</v>
      </c>
      <c r="AC34" t="s">
        <v>97</v>
      </c>
      <c r="AD34" t="s">
        <v>142</v>
      </c>
      <c r="AG34" t="s">
        <v>175</v>
      </c>
      <c r="AH34">
        <v>0</v>
      </c>
      <c r="AI34">
        <v>0</v>
      </c>
      <c r="AJ34">
        <v>0</v>
      </c>
      <c r="AK34">
        <v>14</v>
      </c>
      <c r="AL34">
        <v>0.82</v>
      </c>
    </row>
    <row r="35" spans="1:38" x14ac:dyDescent="0.3">
      <c r="A35" t="s">
        <v>136</v>
      </c>
      <c r="B35">
        <v>110976</v>
      </c>
      <c r="C35">
        <v>9</v>
      </c>
      <c r="D35" t="s">
        <v>171</v>
      </c>
      <c r="E35" t="s">
        <v>172</v>
      </c>
      <c r="F35">
        <v>17</v>
      </c>
      <c r="G35">
        <v>20.87</v>
      </c>
      <c r="H35">
        <v>69</v>
      </c>
      <c r="I35">
        <v>18.05</v>
      </c>
      <c r="J35">
        <v>59.69</v>
      </c>
      <c r="K35">
        <v>2</v>
      </c>
      <c r="T35">
        <v>3</v>
      </c>
      <c r="U35">
        <v>1</v>
      </c>
      <c r="V35" t="s">
        <v>93</v>
      </c>
      <c r="W35">
        <v>69</v>
      </c>
      <c r="X35">
        <v>7</v>
      </c>
      <c r="Y35">
        <v>5</v>
      </c>
      <c r="Z35" t="s">
        <v>173</v>
      </c>
      <c r="AA35" t="s">
        <v>174</v>
      </c>
      <c r="AB35" t="s">
        <v>96</v>
      </c>
      <c r="AC35" t="s">
        <v>97</v>
      </c>
      <c r="AD35" t="s">
        <v>142</v>
      </c>
      <c r="AG35" t="s">
        <v>175</v>
      </c>
      <c r="AH35">
        <v>0</v>
      </c>
      <c r="AI35">
        <v>0</v>
      </c>
      <c r="AJ35">
        <v>0</v>
      </c>
      <c r="AK35">
        <v>14</v>
      </c>
      <c r="AL35">
        <v>0.82</v>
      </c>
    </row>
    <row r="36" spans="1:38" x14ac:dyDescent="0.3">
      <c r="A36" t="s">
        <v>136</v>
      </c>
      <c r="B36">
        <v>110976</v>
      </c>
      <c r="C36">
        <v>10</v>
      </c>
      <c r="D36" t="s">
        <v>171</v>
      </c>
      <c r="E36" t="s">
        <v>172</v>
      </c>
      <c r="F36">
        <v>17</v>
      </c>
      <c r="G36">
        <v>23.69</v>
      </c>
      <c r="H36">
        <v>78.319999999999993</v>
      </c>
      <c r="I36">
        <v>20.23</v>
      </c>
      <c r="J36">
        <v>66.88</v>
      </c>
      <c r="K36">
        <v>4</v>
      </c>
      <c r="T36">
        <v>3</v>
      </c>
      <c r="U36">
        <v>1</v>
      </c>
      <c r="V36" t="s">
        <v>93</v>
      </c>
      <c r="W36">
        <v>78</v>
      </c>
      <c r="X36">
        <v>7</v>
      </c>
      <c r="Y36">
        <v>5</v>
      </c>
      <c r="Z36" t="s">
        <v>173</v>
      </c>
      <c r="AA36" t="s">
        <v>174</v>
      </c>
      <c r="AB36" t="s">
        <v>96</v>
      </c>
      <c r="AC36" t="s">
        <v>97</v>
      </c>
      <c r="AD36" t="s">
        <v>142</v>
      </c>
      <c r="AG36" t="s">
        <v>175</v>
      </c>
      <c r="AH36">
        <v>0</v>
      </c>
      <c r="AI36">
        <v>0</v>
      </c>
      <c r="AJ36">
        <v>0</v>
      </c>
      <c r="AK36">
        <v>14</v>
      </c>
      <c r="AL36">
        <v>0.82</v>
      </c>
    </row>
    <row r="37" spans="1:38" x14ac:dyDescent="0.3">
      <c r="A37" t="s">
        <v>136</v>
      </c>
      <c r="B37">
        <v>118761</v>
      </c>
      <c r="C37">
        <v>1</v>
      </c>
      <c r="D37" t="s">
        <v>180</v>
      </c>
      <c r="E37" t="s">
        <v>181</v>
      </c>
      <c r="F37">
        <v>1309</v>
      </c>
      <c r="G37">
        <v>30.73</v>
      </c>
      <c r="H37">
        <v>101.59</v>
      </c>
      <c r="I37">
        <v>22.68</v>
      </c>
      <c r="J37">
        <v>74.98</v>
      </c>
      <c r="K37">
        <v>64</v>
      </c>
      <c r="T37">
        <v>3</v>
      </c>
      <c r="U37">
        <v>2</v>
      </c>
      <c r="V37" t="s">
        <v>93</v>
      </c>
      <c r="W37" t="s">
        <v>182</v>
      </c>
      <c r="X37">
        <v>49</v>
      </c>
      <c r="Y37">
        <v>35</v>
      </c>
      <c r="Z37" t="s">
        <v>183</v>
      </c>
      <c r="AA37" t="s">
        <v>184</v>
      </c>
      <c r="AB37" t="s">
        <v>96</v>
      </c>
      <c r="AC37" t="s">
        <v>97</v>
      </c>
      <c r="AD37" t="s">
        <v>142</v>
      </c>
      <c r="AG37" t="s">
        <v>185</v>
      </c>
      <c r="AH37">
        <v>0</v>
      </c>
      <c r="AI37">
        <v>439</v>
      </c>
      <c r="AJ37">
        <v>35</v>
      </c>
      <c r="AK37">
        <v>2082</v>
      </c>
      <c r="AL37">
        <v>1.59</v>
      </c>
    </row>
    <row r="38" spans="1:38" x14ac:dyDescent="0.3">
      <c r="A38" t="s">
        <v>136</v>
      </c>
      <c r="B38">
        <v>118761</v>
      </c>
      <c r="C38">
        <v>2</v>
      </c>
      <c r="D38" t="s">
        <v>180</v>
      </c>
      <c r="E38" t="s">
        <v>181</v>
      </c>
      <c r="F38">
        <v>1309</v>
      </c>
      <c r="G38">
        <v>30.94</v>
      </c>
      <c r="H38">
        <v>102.31</v>
      </c>
      <c r="I38">
        <v>22.67</v>
      </c>
      <c r="J38">
        <v>74.959999999999994</v>
      </c>
      <c r="K38">
        <v>583</v>
      </c>
      <c r="T38">
        <v>3</v>
      </c>
      <c r="U38">
        <v>2</v>
      </c>
      <c r="V38" t="s">
        <v>93</v>
      </c>
      <c r="W38" t="s">
        <v>186</v>
      </c>
      <c r="X38">
        <v>49</v>
      </c>
      <c r="Y38">
        <v>35</v>
      </c>
      <c r="Z38" t="s">
        <v>183</v>
      </c>
      <c r="AA38" t="s">
        <v>184</v>
      </c>
      <c r="AB38" t="s">
        <v>96</v>
      </c>
      <c r="AC38" t="s">
        <v>97</v>
      </c>
      <c r="AD38" t="s">
        <v>142</v>
      </c>
      <c r="AG38" t="s">
        <v>185</v>
      </c>
      <c r="AH38">
        <v>0</v>
      </c>
      <c r="AI38">
        <v>439</v>
      </c>
      <c r="AJ38">
        <v>35</v>
      </c>
      <c r="AK38">
        <v>2082</v>
      </c>
      <c r="AL38">
        <v>1.59</v>
      </c>
    </row>
    <row r="39" spans="1:38" x14ac:dyDescent="0.3">
      <c r="A39" t="s">
        <v>136</v>
      </c>
      <c r="B39">
        <v>118761</v>
      </c>
      <c r="C39">
        <v>3</v>
      </c>
      <c r="D39" t="s">
        <v>180</v>
      </c>
      <c r="E39" t="s">
        <v>181</v>
      </c>
      <c r="F39">
        <v>1309</v>
      </c>
      <c r="G39">
        <v>34.72</v>
      </c>
      <c r="H39">
        <v>114.8</v>
      </c>
      <c r="I39">
        <v>25.69</v>
      </c>
      <c r="J39">
        <v>84.93</v>
      </c>
      <c r="K39">
        <v>530</v>
      </c>
      <c r="T39">
        <v>3</v>
      </c>
      <c r="U39">
        <v>2</v>
      </c>
      <c r="V39" t="s">
        <v>93</v>
      </c>
      <c r="W39" t="s">
        <v>187</v>
      </c>
      <c r="X39">
        <v>49</v>
      </c>
      <c r="Y39">
        <v>35</v>
      </c>
      <c r="Z39" t="s">
        <v>183</v>
      </c>
      <c r="AA39" t="s">
        <v>184</v>
      </c>
      <c r="AB39" t="s">
        <v>96</v>
      </c>
      <c r="AC39" t="s">
        <v>97</v>
      </c>
      <c r="AD39" t="s">
        <v>142</v>
      </c>
      <c r="AG39" t="s">
        <v>185</v>
      </c>
      <c r="AH39">
        <v>0</v>
      </c>
      <c r="AI39">
        <v>439</v>
      </c>
      <c r="AJ39">
        <v>35</v>
      </c>
      <c r="AK39">
        <v>2082</v>
      </c>
      <c r="AL39">
        <v>1.59</v>
      </c>
    </row>
    <row r="40" spans="1:38" x14ac:dyDescent="0.3">
      <c r="A40" t="s">
        <v>136</v>
      </c>
      <c r="B40">
        <v>118761</v>
      </c>
      <c r="C40">
        <v>4</v>
      </c>
      <c r="D40" t="s">
        <v>180</v>
      </c>
      <c r="E40" t="s">
        <v>181</v>
      </c>
      <c r="F40">
        <v>1309</v>
      </c>
      <c r="G40">
        <v>34.57</v>
      </c>
      <c r="H40">
        <v>114.29</v>
      </c>
      <c r="I40">
        <v>25.7</v>
      </c>
      <c r="J40">
        <v>84.98</v>
      </c>
      <c r="K40">
        <v>132</v>
      </c>
      <c r="T40">
        <v>3</v>
      </c>
      <c r="U40">
        <v>2</v>
      </c>
      <c r="V40" t="s">
        <v>93</v>
      </c>
      <c r="W40" t="s">
        <v>188</v>
      </c>
      <c r="X40">
        <v>49</v>
      </c>
      <c r="Y40">
        <v>35</v>
      </c>
      <c r="Z40" t="s">
        <v>183</v>
      </c>
      <c r="AA40" t="s">
        <v>184</v>
      </c>
      <c r="AB40" t="s">
        <v>96</v>
      </c>
      <c r="AC40" t="s">
        <v>97</v>
      </c>
      <c r="AD40" t="s">
        <v>142</v>
      </c>
      <c r="AG40" t="s">
        <v>185</v>
      </c>
      <c r="AH40">
        <v>0</v>
      </c>
      <c r="AI40">
        <v>439</v>
      </c>
      <c r="AJ40">
        <v>35</v>
      </c>
      <c r="AK40">
        <v>2082</v>
      </c>
      <c r="AL40">
        <v>1.59</v>
      </c>
    </row>
    <row r="41" spans="1:38" x14ac:dyDescent="0.3">
      <c r="A41" t="s">
        <v>136</v>
      </c>
      <c r="B41">
        <v>112090</v>
      </c>
      <c r="C41">
        <v>1</v>
      </c>
      <c r="D41" t="s">
        <v>189</v>
      </c>
      <c r="E41" t="s">
        <v>190</v>
      </c>
      <c r="F41">
        <v>35</v>
      </c>
      <c r="G41">
        <v>17.739999999999998</v>
      </c>
      <c r="H41">
        <v>58.65</v>
      </c>
      <c r="I41">
        <v>13.56</v>
      </c>
      <c r="J41">
        <v>44.84</v>
      </c>
      <c r="K41">
        <v>5</v>
      </c>
      <c r="T41">
        <v>2</v>
      </c>
      <c r="U41">
        <v>1</v>
      </c>
      <c r="V41" t="s">
        <v>93</v>
      </c>
      <c r="W41">
        <v>58</v>
      </c>
      <c r="X41">
        <v>15</v>
      </c>
      <c r="Y41">
        <v>10</v>
      </c>
      <c r="Z41" t="s">
        <v>191</v>
      </c>
      <c r="AA41" t="s">
        <v>192</v>
      </c>
      <c r="AB41" t="s">
        <v>96</v>
      </c>
      <c r="AC41" t="s">
        <v>97</v>
      </c>
      <c r="AD41" t="s">
        <v>142</v>
      </c>
      <c r="AG41" t="s">
        <v>193</v>
      </c>
      <c r="AH41">
        <v>0</v>
      </c>
      <c r="AI41">
        <v>657</v>
      </c>
      <c r="AJ41">
        <v>62</v>
      </c>
      <c r="AK41">
        <v>24</v>
      </c>
      <c r="AL41">
        <v>0.69</v>
      </c>
    </row>
    <row r="42" spans="1:38" x14ac:dyDescent="0.3">
      <c r="A42" t="s">
        <v>136</v>
      </c>
      <c r="B42">
        <v>112090</v>
      </c>
      <c r="C42">
        <v>2</v>
      </c>
      <c r="D42" t="s">
        <v>189</v>
      </c>
      <c r="E42" t="s">
        <v>190</v>
      </c>
      <c r="F42">
        <v>35</v>
      </c>
      <c r="G42">
        <v>19.34</v>
      </c>
      <c r="H42">
        <v>63.95</v>
      </c>
      <c r="I42">
        <v>15.03</v>
      </c>
      <c r="J42">
        <v>49.69</v>
      </c>
      <c r="K42">
        <v>10</v>
      </c>
      <c r="T42">
        <v>2</v>
      </c>
      <c r="U42">
        <v>1</v>
      </c>
      <c r="V42" t="s">
        <v>93</v>
      </c>
      <c r="W42" t="s">
        <v>194</v>
      </c>
      <c r="X42">
        <v>15</v>
      </c>
      <c r="Y42">
        <v>10</v>
      </c>
      <c r="Z42" t="s">
        <v>191</v>
      </c>
      <c r="AA42" t="s">
        <v>192</v>
      </c>
      <c r="AB42" t="s">
        <v>96</v>
      </c>
      <c r="AC42" t="s">
        <v>97</v>
      </c>
      <c r="AD42" t="s">
        <v>142</v>
      </c>
      <c r="AG42" t="s">
        <v>193</v>
      </c>
      <c r="AH42">
        <v>0</v>
      </c>
      <c r="AI42">
        <v>657</v>
      </c>
      <c r="AJ42">
        <v>62</v>
      </c>
      <c r="AK42">
        <v>24</v>
      </c>
      <c r="AL42">
        <v>0.69</v>
      </c>
    </row>
    <row r="43" spans="1:38" x14ac:dyDescent="0.3">
      <c r="A43" t="s">
        <v>136</v>
      </c>
      <c r="B43">
        <v>112090</v>
      </c>
      <c r="C43">
        <v>3</v>
      </c>
      <c r="D43" t="s">
        <v>189</v>
      </c>
      <c r="E43" t="s">
        <v>190</v>
      </c>
      <c r="F43">
        <v>35</v>
      </c>
      <c r="G43">
        <v>19.32</v>
      </c>
      <c r="H43">
        <v>63.87</v>
      </c>
      <c r="I43">
        <v>15.11</v>
      </c>
      <c r="J43">
        <v>49.96</v>
      </c>
      <c r="K43">
        <v>10</v>
      </c>
      <c r="T43">
        <v>2</v>
      </c>
      <c r="U43">
        <v>1</v>
      </c>
      <c r="V43" t="s">
        <v>93</v>
      </c>
      <c r="W43" t="s">
        <v>195</v>
      </c>
      <c r="X43">
        <v>15</v>
      </c>
      <c r="Y43">
        <v>10</v>
      </c>
      <c r="Z43" t="s">
        <v>191</v>
      </c>
      <c r="AA43" t="s">
        <v>192</v>
      </c>
      <c r="AB43" t="s">
        <v>96</v>
      </c>
      <c r="AC43" t="s">
        <v>97</v>
      </c>
      <c r="AD43" t="s">
        <v>142</v>
      </c>
      <c r="AG43" t="s">
        <v>193</v>
      </c>
      <c r="AH43">
        <v>0</v>
      </c>
      <c r="AI43">
        <v>657</v>
      </c>
      <c r="AJ43">
        <v>62</v>
      </c>
      <c r="AK43">
        <v>24</v>
      </c>
      <c r="AL43">
        <v>0.69</v>
      </c>
    </row>
    <row r="44" spans="1:38" x14ac:dyDescent="0.3">
      <c r="A44" t="s">
        <v>136</v>
      </c>
      <c r="B44">
        <v>112090</v>
      </c>
      <c r="C44">
        <v>4</v>
      </c>
      <c r="D44" t="s">
        <v>189</v>
      </c>
      <c r="E44" t="s">
        <v>190</v>
      </c>
      <c r="F44">
        <v>35</v>
      </c>
      <c r="G44">
        <v>19.79</v>
      </c>
      <c r="H44">
        <v>65.430000000000007</v>
      </c>
      <c r="I44">
        <v>15.08</v>
      </c>
      <c r="J44">
        <v>49.87</v>
      </c>
      <c r="K44">
        <v>5</v>
      </c>
      <c r="T44">
        <v>3</v>
      </c>
      <c r="U44">
        <v>1</v>
      </c>
      <c r="V44" t="s">
        <v>93</v>
      </c>
      <c r="W44" t="s">
        <v>196</v>
      </c>
      <c r="X44">
        <v>15</v>
      </c>
      <c r="Y44">
        <v>10</v>
      </c>
      <c r="Z44" t="s">
        <v>191</v>
      </c>
      <c r="AA44" t="s">
        <v>192</v>
      </c>
      <c r="AB44" t="s">
        <v>96</v>
      </c>
      <c r="AC44" t="s">
        <v>97</v>
      </c>
      <c r="AD44" t="s">
        <v>142</v>
      </c>
      <c r="AG44" t="s">
        <v>193</v>
      </c>
      <c r="AH44">
        <v>0</v>
      </c>
      <c r="AI44">
        <v>657</v>
      </c>
      <c r="AJ44">
        <v>62</v>
      </c>
      <c r="AK44">
        <v>24</v>
      </c>
      <c r="AL44">
        <v>0.69</v>
      </c>
    </row>
    <row r="45" spans="1:38" x14ac:dyDescent="0.3">
      <c r="A45" t="s">
        <v>136</v>
      </c>
      <c r="B45">
        <v>112090</v>
      </c>
      <c r="C45">
        <v>5</v>
      </c>
      <c r="D45" t="s">
        <v>189</v>
      </c>
      <c r="E45" t="s">
        <v>190</v>
      </c>
      <c r="F45">
        <v>35</v>
      </c>
      <c r="G45">
        <v>19.75</v>
      </c>
      <c r="H45">
        <v>65.319999999999993</v>
      </c>
      <c r="I45">
        <v>15.04</v>
      </c>
      <c r="J45">
        <v>49.74</v>
      </c>
      <c r="K45">
        <v>4</v>
      </c>
      <c r="T45">
        <v>3</v>
      </c>
      <c r="U45">
        <v>1</v>
      </c>
      <c r="V45" t="s">
        <v>93</v>
      </c>
      <c r="W45" t="s">
        <v>197</v>
      </c>
      <c r="X45">
        <v>15</v>
      </c>
      <c r="Y45">
        <v>10</v>
      </c>
      <c r="Z45" t="s">
        <v>191</v>
      </c>
      <c r="AA45" t="s">
        <v>192</v>
      </c>
      <c r="AB45" t="s">
        <v>96</v>
      </c>
      <c r="AC45" t="s">
        <v>97</v>
      </c>
      <c r="AD45" t="s">
        <v>142</v>
      </c>
      <c r="AG45" t="s">
        <v>193</v>
      </c>
      <c r="AH45">
        <v>0</v>
      </c>
      <c r="AI45">
        <v>657</v>
      </c>
      <c r="AJ45">
        <v>62</v>
      </c>
      <c r="AK45">
        <v>24</v>
      </c>
      <c r="AL45">
        <v>0.69</v>
      </c>
    </row>
    <row r="46" spans="1:38" x14ac:dyDescent="0.3">
      <c r="A46" t="s">
        <v>136</v>
      </c>
      <c r="B46">
        <v>112090</v>
      </c>
      <c r="C46">
        <v>6</v>
      </c>
      <c r="D46" t="s">
        <v>189</v>
      </c>
      <c r="E46" t="s">
        <v>190</v>
      </c>
      <c r="F46">
        <v>35</v>
      </c>
      <c r="G46">
        <v>19.82</v>
      </c>
      <c r="H46">
        <v>65.540000000000006</v>
      </c>
      <c r="I46">
        <v>15.09</v>
      </c>
      <c r="J46">
        <v>49.91</v>
      </c>
      <c r="K46">
        <v>1</v>
      </c>
      <c r="T46">
        <v>3</v>
      </c>
      <c r="U46">
        <v>1</v>
      </c>
      <c r="V46" t="s">
        <v>93</v>
      </c>
      <c r="W46" t="s">
        <v>198</v>
      </c>
      <c r="X46">
        <v>15</v>
      </c>
      <c r="Y46">
        <v>10</v>
      </c>
      <c r="Z46" t="s">
        <v>191</v>
      </c>
      <c r="AA46" t="s">
        <v>192</v>
      </c>
      <c r="AB46" t="s">
        <v>96</v>
      </c>
      <c r="AC46" t="s">
        <v>97</v>
      </c>
      <c r="AD46" t="s">
        <v>142</v>
      </c>
      <c r="AG46" t="s">
        <v>193</v>
      </c>
      <c r="AH46">
        <v>0</v>
      </c>
      <c r="AI46">
        <v>657</v>
      </c>
      <c r="AJ46">
        <v>62</v>
      </c>
      <c r="AK46">
        <v>24</v>
      </c>
      <c r="AL46">
        <v>0.69</v>
      </c>
    </row>
    <row r="47" spans="1:38" x14ac:dyDescent="0.3">
      <c r="A47" t="s">
        <v>136</v>
      </c>
      <c r="B47">
        <v>13768</v>
      </c>
      <c r="C47">
        <v>1</v>
      </c>
      <c r="D47" t="s">
        <v>199</v>
      </c>
      <c r="E47" t="s">
        <v>200</v>
      </c>
      <c r="F47">
        <v>16</v>
      </c>
      <c r="G47">
        <v>24.29</v>
      </c>
      <c r="H47">
        <v>80.3</v>
      </c>
      <c r="I47">
        <v>21.39</v>
      </c>
      <c r="J47">
        <v>70.739999999999995</v>
      </c>
      <c r="K47">
        <v>2</v>
      </c>
      <c r="T47">
        <v>3</v>
      </c>
      <c r="U47">
        <v>2</v>
      </c>
      <c r="V47" t="s">
        <v>93</v>
      </c>
      <c r="W47">
        <v>80</v>
      </c>
      <c r="X47">
        <v>10</v>
      </c>
      <c r="Y47">
        <v>10</v>
      </c>
      <c r="Z47" t="s">
        <v>201</v>
      </c>
      <c r="AA47" t="s">
        <v>202</v>
      </c>
      <c r="AB47" t="s">
        <v>96</v>
      </c>
      <c r="AC47" t="s">
        <v>97</v>
      </c>
      <c r="AD47" t="s">
        <v>142</v>
      </c>
      <c r="AG47" t="s">
        <v>203</v>
      </c>
      <c r="AH47">
        <v>0</v>
      </c>
      <c r="AI47">
        <v>307</v>
      </c>
      <c r="AJ47">
        <v>42</v>
      </c>
      <c r="AK47">
        <v>0</v>
      </c>
      <c r="AL47">
        <v>0</v>
      </c>
    </row>
    <row r="48" spans="1:38" x14ac:dyDescent="0.3">
      <c r="A48" t="s">
        <v>136</v>
      </c>
      <c r="B48">
        <v>13768</v>
      </c>
      <c r="C48">
        <v>2</v>
      </c>
      <c r="D48" t="s">
        <v>199</v>
      </c>
      <c r="E48" t="s">
        <v>200</v>
      </c>
      <c r="F48">
        <v>16</v>
      </c>
      <c r="G48">
        <v>25.45</v>
      </c>
      <c r="H48">
        <v>84.15</v>
      </c>
      <c r="I48">
        <v>22.42</v>
      </c>
      <c r="J48">
        <v>74.14</v>
      </c>
      <c r="K48">
        <v>14</v>
      </c>
      <c r="T48">
        <v>3</v>
      </c>
      <c r="U48">
        <v>2</v>
      </c>
      <c r="V48" t="s">
        <v>93</v>
      </c>
      <c r="W48">
        <v>84</v>
      </c>
      <c r="X48">
        <v>10</v>
      </c>
      <c r="Y48">
        <v>10</v>
      </c>
      <c r="Z48" t="s">
        <v>201</v>
      </c>
      <c r="AA48" t="s">
        <v>202</v>
      </c>
      <c r="AB48" t="s">
        <v>96</v>
      </c>
      <c r="AC48" t="s">
        <v>97</v>
      </c>
      <c r="AD48" t="s">
        <v>142</v>
      </c>
      <c r="AG48" t="s">
        <v>203</v>
      </c>
      <c r="AH48">
        <v>0</v>
      </c>
      <c r="AI48">
        <v>307</v>
      </c>
      <c r="AJ48">
        <v>42</v>
      </c>
      <c r="AK48">
        <v>0</v>
      </c>
      <c r="AL48">
        <v>0</v>
      </c>
    </row>
    <row r="49" spans="1:38" x14ac:dyDescent="0.3">
      <c r="A49" t="s">
        <v>136</v>
      </c>
      <c r="B49">
        <v>104002</v>
      </c>
      <c r="C49">
        <v>1</v>
      </c>
      <c r="D49" t="s">
        <v>204</v>
      </c>
      <c r="E49" t="s">
        <v>205</v>
      </c>
      <c r="F49">
        <v>32</v>
      </c>
      <c r="G49">
        <v>23.64</v>
      </c>
      <c r="H49">
        <v>78.150000000000006</v>
      </c>
      <c r="I49">
        <v>18.13</v>
      </c>
      <c r="J49">
        <v>59.96</v>
      </c>
      <c r="K49">
        <v>32</v>
      </c>
      <c r="T49">
        <v>3</v>
      </c>
      <c r="U49">
        <v>1</v>
      </c>
      <c r="V49" t="s">
        <v>93</v>
      </c>
      <c r="W49">
        <v>78</v>
      </c>
      <c r="X49">
        <v>9</v>
      </c>
      <c r="Y49">
        <v>9</v>
      </c>
      <c r="Z49" t="s">
        <v>206</v>
      </c>
      <c r="AA49" t="s">
        <v>207</v>
      </c>
      <c r="AB49" t="s">
        <v>96</v>
      </c>
      <c r="AC49" t="s">
        <v>97</v>
      </c>
      <c r="AD49" t="s">
        <v>142</v>
      </c>
      <c r="AG49" t="s">
        <v>208</v>
      </c>
      <c r="AH49">
        <v>0</v>
      </c>
      <c r="AI49">
        <v>242</v>
      </c>
      <c r="AJ49">
        <v>32</v>
      </c>
      <c r="AK49">
        <v>32</v>
      </c>
      <c r="AL49">
        <v>1</v>
      </c>
    </row>
    <row r="50" spans="1:38" x14ac:dyDescent="0.3">
      <c r="A50" t="s">
        <v>136</v>
      </c>
      <c r="B50">
        <v>121215</v>
      </c>
      <c r="C50">
        <v>1</v>
      </c>
      <c r="D50" t="s">
        <v>209</v>
      </c>
      <c r="E50" t="s">
        <v>210</v>
      </c>
      <c r="F50">
        <v>24</v>
      </c>
      <c r="G50">
        <v>24.28</v>
      </c>
      <c r="H50">
        <v>80.290000000000006</v>
      </c>
      <c r="I50">
        <v>19.579999999999998</v>
      </c>
      <c r="J50">
        <v>64.73</v>
      </c>
      <c r="K50">
        <v>12</v>
      </c>
      <c r="T50">
        <v>3</v>
      </c>
      <c r="U50">
        <v>1</v>
      </c>
      <c r="V50" t="s">
        <v>211</v>
      </c>
      <c r="W50">
        <v>80</v>
      </c>
      <c r="X50">
        <v>15</v>
      </c>
      <c r="Y50">
        <v>15</v>
      </c>
      <c r="Z50" t="s">
        <v>212</v>
      </c>
      <c r="AA50" t="s">
        <v>213</v>
      </c>
      <c r="AB50" t="s">
        <v>96</v>
      </c>
      <c r="AC50" t="s">
        <v>97</v>
      </c>
      <c r="AD50" t="s">
        <v>142</v>
      </c>
      <c r="AG50" t="s">
        <v>214</v>
      </c>
      <c r="AH50">
        <v>0</v>
      </c>
      <c r="AI50">
        <v>899</v>
      </c>
      <c r="AJ50">
        <v>77</v>
      </c>
      <c r="AK50">
        <v>25</v>
      </c>
      <c r="AL50">
        <v>1.04</v>
      </c>
    </row>
    <row r="51" spans="1:38" x14ac:dyDescent="0.3">
      <c r="A51" t="s">
        <v>136</v>
      </c>
      <c r="B51">
        <v>121215</v>
      </c>
      <c r="C51">
        <v>2</v>
      </c>
      <c r="D51" t="s">
        <v>209</v>
      </c>
      <c r="E51" t="s">
        <v>210</v>
      </c>
      <c r="F51">
        <v>24</v>
      </c>
      <c r="G51">
        <v>25.32</v>
      </c>
      <c r="H51">
        <v>83.71</v>
      </c>
      <c r="I51">
        <v>20.16</v>
      </c>
      <c r="J51">
        <v>66.66</v>
      </c>
      <c r="K51">
        <v>12</v>
      </c>
      <c r="T51">
        <v>3</v>
      </c>
      <c r="U51">
        <v>2</v>
      </c>
      <c r="V51" t="s">
        <v>211</v>
      </c>
      <c r="W51">
        <v>83</v>
      </c>
      <c r="X51">
        <v>15</v>
      </c>
      <c r="Y51">
        <v>15</v>
      </c>
      <c r="Z51" t="s">
        <v>212</v>
      </c>
      <c r="AA51" t="s">
        <v>213</v>
      </c>
      <c r="AB51" t="s">
        <v>96</v>
      </c>
      <c r="AC51" t="s">
        <v>97</v>
      </c>
      <c r="AD51" t="s">
        <v>142</v>
      </c>
      <c r="AG51" t="s">
        <v>214</v>
      </c>
      <c r="AH51">
        <v>0</v>
      </c>
      <c r="AI51">
        <v>899</v>
      </c>
      <c r="AJ51">
        <v>77</v>
      </c>
      <c r="AK51">
        <v>25</v>
      </c>
      <c r="AL51">
        <v>1.04</v>
      </c>
    </row>
    <row r="52" spans="1:38" x14ac:dyDescent="0.3">
      <c r="A52" t="s">
        <v>136</v>
      </c>
      <c r="B52">
        <v>125607</v>
      </c>
      <c r="C52">
        <v>1</v>
      </c>
      <c r="D52" t="s">
        <v>215</v>
      </c>
      <c r="E52" t="s">
        <v>216</v>
      </c>
      <c r="F52">
        <v>27</v>
      </c>
      <c r="G52">
        <v>22.13</v>
      </c>
      <c r="H52">
        <v>73.180000000000007</v>
      </c>
      <c r="I52">
        <v>17.14</v>
      </c>
      <c r="J52">
        <v>56.68</v>
      </c>
      <c r="K52">
        <v>3</v>
      </c>
      <c r="T52">
        <v>3</v>
      </c>
      <c r="U52">
        <v>1</v>
      </c>
      <c r="V52" t="s">
        <v>93</v>
      </c>
      <c r="W52">
        <v>73</v>
      </c>
      <c r="X52">
        <v>14</v>
      </c>
      <c r="Y52">
        <v>14</v>
      </c>
      <c r="Z52" t="s">
        <v>217</v>
      </c>
      <c r="AA52" t="s">
        <v>218</v>
      </c>
      <c r="AB52" t="s">
        <v>96</v>
      </c>
      <c r="AC52" t="s">
        <v>97</v>
      </c>
      <c r="AD52" t="s">
        <v>142</v>
      </c>
      <c r="AG52" t="s">
        <v>219</v>
      </c>
      <c r="AH52">
        <v>0</v>
      </c>
      <c r="AI52">
        <v>878</v>
      </c>
      <c r="AJ52">
        <v>78</v>
      </c>
      <c r="AK52">
        <v>27</v>
      </c>
      <c r="AL52">
        <v>1</v>
      </c>
    </row>
    <row r="53" spans="1:38" x14ac:dyDescent="0.3">
      <c r="A53" t="s">
        <v>136</v>
      </c>
      <c r="B53">
        <v>125607</v>
      </c>
      <c r="C53">
        <v>2</v>
      </c>
      <c r="D53" t="s">
        <v>215</v>
      </c>
      <c r="E53" t="s">
        <v>216</v>
      </c>
      <c r="F53">
        <v>27</v>
      </c>
      <c r="G53">
        <v>23.97</v>
      </c>
      <c r="H53">
        <v>79.260000000000005</v>
      </c>
      <c r="I53">
        <v>18.690000000000001</v>
      </c>
      <c r="J53">
        <v>61.81</v>
      </c>
      <c r="K53">
        <v>3</v>
      </c>
      <c r="T53">
        <v>3</v>
      </c>
      <c r="U53">
        <v>1</v>
      </c>
      <c r="V53" t="s">
        <v>93</v>
      </c>
      <c r="W53">
        <v>79</v>
      </c>
      <c r="X53">
        <v>14</v>
      </c>
      <c r="Y53">
        <v>14</v>
      </c>
      <c r="Z53" t="s">
        <v>217</v>
      </c>
      <c r="AA53" t="s">
        <v>218</v>
      </c>
      <c r="AB53" t="s">
        <v>96</v>
      </c>
      <c r="AC53" t="s">
        <v>97</v>
      </c>
      <c r="AD53" t="s">
        <v>142</v>
      </c>
      <c r="AG53" t="s">
        <v>219</v>
      </c>
      <c r="AH53">
        <v>0</v>
      </c>
      <c r="AI53">
        <v>878</v>
      </c>
      <c r="AJ53">
        <v>78</v>
      </c>
      <c r="AK53">
        <v>27</v>
      </c>
      <c r="AL53">
        <v>1</v>
      </c>
    </row>
    <row r="54" spans="1:38" x14ac:dyDescent="0.3">
      <c r="A54" t="s">
        <v>136</v>
      </c>
      <c r="B54">
        <v>125607</v>
      </c>
      <c r="C54">
        <v>3</v>
      </c>
      <c r="D54" t="s">
        <v>215</v>
      </c>
      <c r="E54" t="s">
        <v>216</v>
      </c>
      <c r="F54">
        <v>27</v>
      </c>
      <c r="G54">
        <v>25.33</v>
      </c>
      <c r="H54">
        <v>83.74</v>
      </c>
      <c r="I54">
        <v>19.71</v>
      </c>
      <c r="J54">
        <v>65.19</v>
      </c>
      <c r="K54">
        <v>3</v>
      </c>
      <c r="T54">
        <v>3</v>
      </c>
      <c r="U54">
        <v>2</v>
      </c>
      <c r="V54" t="s">
        <v>93</v>
      </c>
      <c r="W54" t="s">
        <v>220</v>
      </c>
      <c r="X54">
        <v>14</v>
      </c>
      <c r="Y54">
        <v>14</v>
      </c>
      <c r="Z54" t="s">
        <v>217</v>
      </c>
      <c r="AA54" t="s">
        <v>218</v>
      </c>
      <c r="AB54" t="s">
        <v>96</v>
      </c>
      <c r="AC54" t="s">
        <v>97</v>
      </c>
      <c r="AD54" t="s">
        <v>142</v>
      </c>
      <c r="AG54" t="s">
        <v>219</v>
      </c>
      <c r="AH54">
        <v>0</v>
      </c>
      <c r="AI54">
        <v>878</v>
      </c>
      <c r="AJ54">
        <v>78</v>
      </c>
      <c r="AK54">
        <v>27</v>
      </c>
      <c r="AL54">
        <v>1</v>
      </c>
    </row>
    <row r="55" spans="1:38" x14ac:dyDescent="0.3">
      <c r="A55" t="s">
        <v>136</v>
      </c>
      <c r="B55">
        <v>125607</v>
      </c>
      <c r="C55">
        <v>4</v>
      </c>
      <c r="D55" t="s">
        <v>215</v>
      </c>
      <c r="E55" t="s">
        <v>216</v>
      </c>
      <c r="F55">
        <v>27</v>
      </c>
      <c r="G55">
        <v>25.46</v>
      </c>
      <c r="H55">
        <v>84.18</v>
      </c>
      <c r="I55">
        <v>20.010000000000002</v>
      </c>
      <c r="J55">
        <v>66.17</v>
      </c>
      <c r="K55">
        <v>3</v>
      </c>
      <c r="T55">
        <v>3</v>
      </c>
      <c r="U55">
        <v>2</v>
      </c>
      <c r="V55" t="s">
        <v>93</v>
      </c>
      <c r="W55" t="s">
        <v>221</v>
      </c>
      <c r="X55">
        <v>14</v>
      </c>
      <c r="Y55">
        <v>14</v>
      </c>
      <c r="Z55" t="s">
        <v>217</v>
      </c>
      <c r="AA55" t="s">
        <v>218</v>
      </c>
      <c r="AB55" t="s">
        <v>96</v>
      </c>
      <c r="AC55" t="s">
        <v>97</v>
      </c>
      <c r="AD55" t="s">
        <v>142</v>
      </c>
      <c r="AG55" t="s">
        <v>219</v>
      </c>
      <c r="AH55">
        <v>0</v>
      </c>
      <c r="AI55">
        <v>878</v>
      </c>
      <c r="AJ55">
        <v>78</v>
      </c>
      <c r="AK55">
        <v>27</v>
      </c>
      <c r="AL55">
        <v>1</v>
      </c>
    </row>
    <row r="56" spans="1:38" x14ac:dyDescent="0.3">
      <c r="A56" t="s">
        <v>136</v>
      </c>
      <c r="B56">
        <v>125607</v>
      </c>
      <c r="C56">
        <v>5</v>
      </c>
      <c r="D56" t="s">
        <v>215</v>
      </c>
      <c r="E56" t="s">
        <v>216</v>
      </c>
      <c r="F56">
        <v>27</v>
      </c>
      <c r="G56">
        <v>25.85</v>
      </c>
      <c r="H56">
        <v>85.47</v>
      </c>
      <c r="I56">
        <v>20.16</v>
      </c>
      <c r="J56">
        <v>66.66</v>
      </c>
      <c r="K56">
        <v>3</v>
      </c>
      <c r="T56">
        <v>3</v>
      </c>
      <c r="U56">
        <v>2</v>
      </c>
      <c r="V56" t="s">
        <v>93</v>
      </c>
      <c r="W56" t="s">
        <v>222</v>
      </c>
      <c r="X56">
        <v>14</v>
      </c>
      <c r="Y56">
        <v>14</v>
      </c>
      <c r="Z56" t="s">
        <v>217</v>
      </c>
      <c r="AA56" t="s">
        <v>218</v>
      </c>
      <c r="AB56" t="s">
        <v>96</v>
      </c>
      <c r="AC56" t="s">
        <v>97</v>
      </c>
      <c r="AD56" t="s">
        <v>142</v>
      </c>
      <c r="AG56" t="s">
        <v>219</v>
      </c>
      <c r="AH56">
        <v>0</v>
      </c>
      <c r="AI56">
        <v>878</v>
      </c>
      <c r="AJ56">
        <v>78</v>
      </c>
      <c r="AK56">
        <v>27</v>
      </c>
      <c r="AL56">
        <v>1</v>
      </c>
    </row>
    <row r="57" spans="1:38" x14ac:dyDescent="0.3">
      <c r="A57" t="s">
        <v>136</v>
      </c>
      <c r="B57">
        <v>125607</v>
      </c>
      <c r="C57">
        <v>6</v>
      </c>
      <c r="D57" t="s">
        <v>215</v>
      </c>
      <c r="E57" t="s">
        <v>216</v>
      </c>
      <c r="F57">
        <v>27</v>
      </c>
      <c r="G57">
        <v>26.39</v>
      </c>
      <c r="H57">
        <v>87.26</v>
      </c>
      <c r="I57">
        <v>20.76</v>
      </c>
      <c r="J57">
        <v>68.66</v>
      </c>
      <c r="K57">
        <v>3</v>
      </c>
      <c r="T57">
        <v>3</v>
      </c>
      <c r="U57">
        <v>2</v>
      </c>
      <c r="V57" t="s">
        <v>93</v>
      </c>
      <c r="W57" t="s">
        <v>223</v>
      </c>
      <c r="X57">
        <v>14</v>
      </c>
      <c r="Y57">
        <v>14</v>
      </c>
      <c r="Z57" t="s">
        <v>217</v>
      </c>
      <c r="AA57" t="s">
        <v>218</v>
      </c>
      <c r="AB57" t="s">
        <v>96</v>
      </c>
      <c r="AC57" t="s">
        <v>97</v>
      </c>
      <c r="AD57" t="s">
        <v>142</v>
      </c>
      <c r="AG57" t="s">
        <v>219</v>
      </c>
      <c r="AH57">
        <v>0</v>
      </c>
      <c r="AI57">
        <v>878</v>
      </c>
      <c r="AJ57">
        <v>78</v>
      </c>
      <c r="AK57">
        <v>27</v>
      </c>
      <c r="AL57">
        <v>1</v>
      </c>
    </row>
    <row r="58" spans="1:38" x14ac:dyDescent="0.3">
      <c r="A58" t="s">
        <v>136</v>
      </c>
      <c r="B58">
        <v>125607</v>
      </c>
      <c r="C58">
        <v>7</v>
      </c>
      <c r="D58" t="s">
        <v>215</v>
      </c>
      <c r="E58" t="s">
        <v>216</v>
      </c>
      <c r="F58">
        <v>27</v>
      </c>
      <c r="G58">
        <v>26.49</v>
      </c>
      <c r="H58">
        <v>87.6</v>
      </c>
      <c r="I58">
        <v>20.99</v>
      </c>
      <c r="J58">
        <v>69.39</v>
      </c>
      <c r="K58">
        <v>3</v>
      </c>
      <c r="T58">
        <v>3</v>
      </c>
      <c r="U58">
        <v>2</v>
      </c>
      <c r="V58" t="s">
        <v>93</v>
      </c>
      <c r="W58" t="s">
        <v>223</v>
      </c>
      <c r="X58">
        <v>14</v>
      </c>
      <c r="Y58">
        <v>14</v>
      </c>
      <c r="Z58" t="s">
        <v>217</v>
      </c>
      <c r="AA58" t="s">
        <v>218</v>
      </c>
      <c r="AB58" t="s">
        <v>96</v>
      </c>
      <c r="AC58" t="s">
        <v>97</v>
      </c>
      <c r="AD58" t="s">
        <v>142</v>
      </c>
      <c r="AG58" t="s">
        <v>219</v>
      </c>
      <c r="AH58">
        <v>0</v>
      </c>
      <c r="AI58">
        <v>878</v>
      </c>
      <c r="AJ58">
        <v>78</v>
      </c>
      <c r="AK58">
        <v>27</v>
      </c>
      <c r="AL58">
        <v>1</v>
      </c>
    </row>
    <row r="59" spans="1:38" x14ac:dyDescent="0.3">
      <c r="A59" t="s">
        <v>136</v>
      </c>
      <c r="B59">
        <v>125607</v>
      </c>
      <c r="C59">
        <v>8</v>
      </c>
      <c r="D59" t="s">
        <v>215</v>
      </c>
      <c r="E59" t="s">
        <v>216</v>
      </c>
      <c r="F59">
        <v>27</v>
      </c>
      <c r="G59">
        <v>26.92</v>
      </c>
      <c r="H59">
        <v>89</v>
      </c>
      <c r="I59">
        <v>20.89</v>
      </c>
      <c r="J59">
        <v>69.08</v>
      </c>
      <c r="K59">
        <v>3</v>
      </c>
      <c r="T59">
        <v>3</v>
      </c>
      <c r="U59">
        <v>2</v>
      </c>
      <c r="V59" t="s">
        <v>93</v>
      </c>
      <c r="W59" t="s">
        <v>139</v>
      </c>
      <c r="X59">
        <v>14</v>
      </c>
      <c r="Y59">
        <v>14</v>
      </c>
      <c r="Z59" t="s">
        <v>217</v>
      </c>
      <c r="AA59" t="s">
        <v>218</v>
      </c>
      <c r="AB59" t="s">
        <v>96</v>
      </c>
      <c r="AC59" t="s">
        <v>97</v>
      </c>
      <c r="AD59" t="s">
        <v>142</v>
      </c>
      <c r="AG59" t="s">
        <v>219</v>
      </c>
      <c r="AH59">
        <v>0</v>
      </c>
      <c r="AI59">
        <v>878</v>
      </c>
      <c r="AJ59">
        <v>78</v>
      </c>
      <c r="AK59">
        <v>27</v>
      </c>
      <c r="AL59">
        <v>1</v>
      </c>
    </row>
    <row r="60" spans="1:38" x14ac:dyDescent="0.3">
      <c r="A60" t="s">
        <v>136</v>
      </c>
      <c r="B60">
        <v>125607</v>
      </c>
      <c r="C60">
        <v>9</v>
      </c>
      <c r="D60" t="s">
        <v>215</v>
      </c>
      <c r="E60" t="s">
        <v>216</v>
      </c>
      <c r="F60">
        <v>27</v>
      </c>
      <c r="G60">
        <v>28.74</v>
      </c>
      <c r="H60">
        <v>95.04</v>
      </c>
      <c r="I60">
        <v>22.79</v>
      </c>
      <c r="J60">
        <v>75.349999999999994</v>
      </c>
      <c r="K60">
        <v>3</v>
      </c>
      <c r="T60">
        <v>3</v>
      </c>
      <c r="U60">
        <v>2</v>
      </c>
      <c r="V60" t="s">
        <v>93</v>
      </c>
      <c r="W60">
        <v>95</v>
      </c>
      <c r="X60">
        <v>14</v>
      </c>
      <c r="Y60">
        <v>14</v>
      </c>
      <c r="Z60" t="s">
        <v>217</v>
      </c>
      <c r="AA60" t="s">
        <v>218</v>
      </c>
      <c r="AB60" t="s">
        <v>96</v>
      </c>
      <c r="AC60" t="s">
        <v>97</v>
      </c>
      <c r="AD60" t="s">
        <v>142</v>
      </c>
      <c r="AG60" t="s">
        <v>219</v>
      </c>
      <c r="AH60">
        <v>0</v>
      </c>
      <c r="AI60">
        <v>878</v>
      </c>
      <c r="AJ60">
        <v>78</v>
      </c>
      <c r="AK60">
        <v>27</v>
      </c>
      <c r="AL60">
        <v>1</v>
      </c>
    </row>
    <row r="61" spans="1:38" x14ac:dyDescent="0.3">
      <c r="A61" t="s">
        <v>136</v>
      </c>
      <c r="B61">
        <v>139403</v>
      </c>
      <c r="C61">
        <v>1</v>
      </c>
      <c r="D61" t="s">
        <v>224</v>
      </c>
      <c r="E61" t="s">
        <v>225</v>
      </c>
      <c r="F61">
        <v>12</v>
      </c>
      <c r="G61">
        <v>20.64</v>
      </c>
      <c r="H61">
        <v>68.260000000000005</v>
      </c>
      <c r="I61">
        <v>16.91</v>
      </c>
      <c r="J61">
        <v>55.91</v>
      </c>
      <c r="K61">
        <v>4</v>
      </c>
      <c r="T61">
        <v>3</v>
      </c>
      <c r="U61">
        <v>2</v>
      </c>
      <c r="V61" t="s">
        <v>93</v>
      </c>
      <c r="W61" t="s">
        <v>226</v>
      </c>
      <c r="X61">
        <v>11</v>
      </c>
      <c r="Y61">
        <v>11</v>
      </c>
      <c r="Z61" t="s">
        <v>227</v>
      </c>
      <c r="AA61" t="s">
        <v>228</v>
      </c>
      <c r="AB61" t="s">
        <v>96</v>
      </c>
      <c r="AC61" t="s">
        <v>97</v>
      </c>
      <c r="AD61" t="s">
        <v>142</v>
      </c>
      <c r="AG61" t="s">
        <v>229</v>
      </c>
      <c r="AH61">
        <v>0</v>
      </c>
      <c r="AI61">
        <v>546</v>
      </c>
      <c r="AJ61">
        <v>58</v>
      </c>
      <c r="AK61">
        <v>12</v>
      </c>
      <c r="AL61">
        <v>1</v>
      </c>
    </row>
    <row r="62" spans="1:38" x14ac:dyDescent="0.3">
      <c r="A62" t="s">
        <v>136</v>
      </c>
      <c r="B62">
        <v>139403</v>
      </c>
      <c r="C62">
        <v>2</v>
      </c>
      <c r="D62" t="s">
        <v>224</v>
      </c>
      <c r="E62" t="s">
        <v>225</v>
      </c>
      <c r="F62">
        <v>12</v>
      </c>
      <c r="G62">
        <v>20.76</v>
      </c>
      <c r="H62">
        <v>68.63</v>
      </c>
      <c r="I62">
        <v>16.989999999999998</v>
      </c>
      <c r="J62">
        <v>56.17</v>
      </c>
      <c r="K62">
        <v>4</v>
      </c>
      <c r="T62">
        <v>3</v>
      </c>
      <c r="U62">
        <v>2</v>
      </c>
      <c r="V62" t="s">
        <v>93</v>
      </c>
      <c r="W62" t="s">
        <v>230</v>
      </c>
      <c r="X62">
        <v>11</v>
      </c>
      <c r="Y62">
        <v>11</v>
      </c>
      <c r="Z62" t="s">
        <v>227</v>
      </c>
      <c r="AA62" t="s">
        <v>228</v>
      </c>
      <c r="AB62" t="s">
        <v>96</v>
      </c>
      <c r="AC62" t="s">
        <v>97</v>
      </c>
      <c r="AD62" t="s">
        <v>142</v>
      </c>
      <c r="AG62" t="s">
        <v>229</v>
      </c>
      <c r="AH62">
        <v>0</v>
      </c>
      <c r="AI62">
        <v>546</v>
      </c>
      <c r="AJ62">
        <v>58</v>
      </c>
      <c r="AK62">
        <v>12</v>
      </c>
      <c r="AL62">
        <v>1</v>
      </c>
    </row>
    <row r="63" spans="1:38" x14ac:dyDescent="0.3">
      <c r="A63" t="s">
        <v>136</v>
      </c>
      <c r="B63">
        <v>139403</v>
      </c>
      <c r="C63">
        <v>3</v>
      </c>
      <c r="D63" t="s">
        <v>224</v>
      </c>
      <c r="E63" t="s">
        <v>225</v>
      </c>
      <c r="F63">
        <v>12</v>
      </c>
      <c r="G63">
        <v>22.81</v>
      </c>
      <c r="H63">
        <v>75.42</v>
      </c>
      <c r="I63">
        <v>18.62</v>
      </c>
      <c r="J63">
        <v>61.58</v>
      </c>
      <c r="K63">
        <v>4</v>
      </c>
      <c r="T63">
        <v>3</v>
      </c>
      <c r="U63">
        <v>2</v>
      </c>
      <c r="V63" t="s">
        <v>93</v>
      </c>
      <c r="W63">
        <v>75</v>
      </c>
      <c r="X63">
        <v>11</v>
      </c>
      <c r="Y63">
        <v>11</v>
      </c>
      <c r="Z63" t="s">
        <v>227</v>
      </c>
      <c r="AA63" t="s">
        <v>228</v>
      </c>
      <c r="AB63" t="s">
        <v>96</v>
      </c>
      <c r="AC63" t="s">
        <v>97</v>
      </c>
      <c r="AD63" t="s">
        <v>142</v>
      </c>
      <c r="AG63" t="s">
        <v>229</v>
      </c>
      <c r="AH63">
        <v>0</v>
      </c>
      <c r="AI63">
        <v>546</v>
      </c>
      <c r="AJ63">
        <v>58</v>
      </c>
      <c r="AK63">
        <v>12</v>
      </c>
      <c r="AL63">
        <v>1</v>
      </c>
    </row>
    <row r="64" spans="1:38" x14ac:dyDescent="0.3">
      <c r="A64" t="s">
        <v>136</v>
      </c>
      <c r="B64">
        <v>27511</v>
      </c>
      <c r="C64">
        <v>1</v>
      </c>
      <c r="D64" t="s">
        <v>231</v>
      </c>
      <c r="E64" t="s">
        <v>138</v>
      </c>
      <c r="F64">
        <v>396</v>
      </c>
      <c r="G64">
        <v>33.049999999999997</v>
      </c>
      <c r="H64">
        <v>109.27</v>
      </c>
      <c r="I64">
        <v>25.62</v>
      </c>
      <c r="J64">
        <v>84.72</v>
      </c>
      <c r="K64">
        <v>116</v>
      </c>
      <c r="T64">
        <v>3</v>
      </c>
      <c r="U64">
        <v>2</v>
      </c>
      <c r="V64" t="s">
        <v>211</v>
      </c>
      <c r="W64" t="s">
        <v>232</v>
      </c>
      <c r="X64">
        <v>33</v>
      </c>
      <c r="Y64">
        <v>15</v>
      </c>
      <c r="Z64" t="s">
        <v>233</v>
      </c>
      <c r="AA64" t="s">
        <v>234</v>
      </c>
      <c r="AB64" t="s">
        <v>96</v>
      </c>
      <c r="AC64" t="s">
        <v>97</v>
      </c>
      <c r="AD64" t="s">
        <v>142</v>
      </c>
      <c r="AG64" t="s">
        <v>235</v>
      </c>
      <c r="AH64">
        <v>0</v>
      </c>
      <c r="AI64">
        <v>258</v>
      </c>
      <c r="AJ64">
        <v>13</v>
      </c>
      <c r="AK64">
        <v>508</v>
      </c>
      <c r="AL64">
        <v>1.28</v>
      </c>
    </row>
    <row r="65" spans="1:38" x14ac:dyDescent="0.3">
      <c r="A65" t="s">
        <v>136</v>
      </c>
      <c r="B65">
        <v>27511</v>
      </c>
      <c r="C65">
        <v>2</v>
      </c>
      <c r="D65" t="s">
        <v>231</v>
      </c>
      <c r="E65" t="s">
        <v>138</v>
      </c>
      <c r="F65">
        <v>396</v>
      </c>
      <c r="G65">
        <v>33.049999999999997</v>
      </c>
      <c r="H65">
        <v>109.26</v>
      </c>
      <c r="I65">
        <v>25.68</v>
      </c>
      <c r="J65">
        <v>84.92</v>
      </c>
      <c r="K65">
        <v>85</v>
      </c>
      <c r="T65">
        <v>3</v>
      </c>
      <c r="U65">
        <v>2</v>
      </c>
      <c r="V65" t="s">
        <v>211</v>
      </c>
      <c r="W65" t="s">
        <v>156</v>
      </c>
      <c r="X65">
        <v>33</v>
      </c>
      <c r="Y65">
        <v>15</v>
      </c>
      <c r="Z65" t="s">
        <v>233</v>
      </c>
      <c r="AA65" t="s">
        <v>234</v>
      </c>
      <c r="AB65" t="s">
        <v>96</v>
      </c>
      <c r="AC65" t="s">
        <v>97</v>
      </c>
      <c r="AD65" t="s">
        <v>142</v>
      </c>
      <c r="AG65" t="s">
        <v>235</v>
      </c>
      <c r="AH65">
        <v>0</v>
      </c>
      <c r="AI65">
        <v>258</v>
      </c>
      <c r="AJ65">
        <v>13</v>
      </c>
      <c r="AK65">
        <v>508</v>
      </c>
      <c r="AL65">
        <v>1.28</v>
      </c>
    </row>
    <row r="66" spans="1:38" x14ac:dyDescent="0.3">
      <c r="A66" t="s">
        <v>136</v>
      </c>
      <c r="B66">
        <v>27511</v>
      </c>
      <c r="C66">
        <v>3</v>
      </c>
      <c r="D66" t="s">
        <v>231</v>
      </c>
      <c r="E66" t="s">
        <v>138</v>
      </c>
      <c r="F66">
        <v>396</v>
      </c>
      <c r="G66">
        <v>33.119999999999997</v>
      </c>
      <c r="H66">
        <v>109.5</v>
      </c>
      <c r="I66">
        <v>25.7</v>
      </c>
      <c r="J66">
        <v>84.96</v>
      </c>
      <c r="K66">
        <v>28</v>
      </c>
      <c r="T66">
        <v>3</v>
      </c>
      <c r="U66">
        <v>2</v>
      </c>
      <c r="V66" t="s">
        <v>93</v>
      </c>
      <c r="W66" t="s">
        <v>236</v>
      </c>
      <c r="X66">
        <v>33</v>
      </c>
      <c r="Y66">
        <v>15</v>
      </c>
      <c r="Z66" t="s">
        <v>233</v>
      </c>
      <c r="AA66" t="s">
        <v>234</v>
      </c>
      <c r="AB66" t="s">
        <v>96</v>
      </c>
      <c r="AC66" t="s">
        <v>97</v>
      </c>
      <c r="AD66" t="s">
        <v>142</v>
      </c>
      <c r="AG66" t="s">
        <v>235</v>
      </c>
      <c r="AH66">
        <v>0</v>
      </c>
      <c r="AI66">
        <v>258</v>
      </c>
      <c r="AJ66">
        <v>13</v>
      </c>
      <c r="AK66">
        <v>508</v>
      </c>
      <c r="AL66">
        <v>1.28</v>
      </c>
    </row>
    <row r="67" spans="1:38" x14ac:dyDescent="0.3">
      <c r="A67" t="s">
        <v>136</v>
      </c>
      <c r="B67">
        <v>27511</v>
      </c>
      <c r="C67">
        <v>4</v>
      </c>
      <c r="D67" t="s">
        <v>231</v>
      </c>
      <c r="E67" t="s">
        <v>138</v>
      </c>
      <c r="F67">
        <v>396</v>
      </c>
      <c r="G67">
        <v>33.270000000000003</v>
      </c>
      <c r="H67">
        <v>110.01</v>
      </c>
      <c r="I67">
        <v>25.61</v>
      </c>
      <c r="J67">
        <v>84.68</v>
      </c>
      <c r="K67">
        <v>165</v>
      </c>
      <c r="T67">
        <v>3</v>
      </c>
      <c r="U67">
        <v>2</v>
      </c>
      <c r="V67" t="s">
        <v>211</v>
      </c>
      <c r="W67" t="s">
        <v>157</v>
      </c>
      <c r="X67">
        <v>33</v>
      </c>
      <c r="Y67">
        <v>15</v>
      </c>
      <c r="Z67" t="s">
        <v>233</v>
      </c>
      <c r="AA67" t="s">
        <v>234</v>
      </c>
      <c r="AB67" t="s">
        <v>96</v>
      </c>
      <c r="AC67" t="s">
        <v>97</v>
      </c>
      <c r="AD67" t="s">
        <v>142</v>
      </c>
      <c r="AG67" t="s">
        <v>235</v>
      </c>
      <c r="AH67">
        <v>0</v>
      </c>
      <c r="AI67">
        <v>258</v>
      </c>
      <c r="AJ67">
        <v>13</v>
      </c>
      <c r="AK67">
        <v>508</v>
      </c>
      <c r="AL67">
        <v>1.28</v>
      </c>
    </row>
    <row r="68" spans="1:38" x14ac:dyDescent="0.3">
      <c r="A68" t="s">
        <v>136</v>
      </c>
      <c r="B68">
        <v>27511</v>
      </c>
      <c r="C68">
        <v>5</v>
      </c>
      <c r="D68" t="s">
        <v>231</v>
      </c>
      <c r="E68" t="s">
        <v>138</v>
      </c>
      <c r="F68">
        <v>396</v>
      </c>
      <c r="G68">
        <v>42.3</v>
      </c>
      <c r="H68">
        <v>139.84</v>
      </c>
      <c r="I68">
        <v>32.17</v>
      </c>
      <c r="J68">
        <v>106.38</v>
      </c>
      <c r="K68">
        <v>2</v>
      </c>
      <c r="T68">
        <v>3</v>
      </c>
      <c r="U68">
        <v>2</v>
      </c>
      <c r="V68" t="s">
        <v>211</v>
      </c>
      <c r="W68">
        <v>139</v>
      </c>
      <c r="X68">
        <v>33</v>
      </c>
      <c r="Y68">
        <v>15</v>
      </c>
      <c r="Z68" t="s">
        <v>233</v>
      </c>
      <c r="AA68" t="s">
        <v>234</v>
      </c>
      <c r="AB68" t="s">
        <v>96</v>
      </c>
      <c r="AC68" t="s">
        <v>97</v>
      </c>
      <c r="AD68" t="s">
        <v>142</v>
      </c>
      <c r="AG68" t="s">
        <v>235</v>
      </c>
      <c r="AH68">
        <v>0</v>
      </c>
      <c r="AI68">
        <v>258</v>
      </c>
      <c r="AJ68">
        <v>13</v>
      </c>
      <c r="AK68">
        <v>508</v>
      </c>
      <c r="AL68">
        <v>1.28</v>
      </c>
    </row>
    <row r="69" spans="1:38" x14ac:dyDescent="0.3">
      <c r="A69" t="s">
        <v>136</v>
      </c>
      <c r="B69">
        <v>104203</v>
      </c>
      <c r="C69">
        <v>1</v>
      </c>
      <c r="D69" t="s">
        <v>237</v>
      </c>
      <c r="E69" t="s">
        <v>238</v>
      </c>
      <c r="F69">
        <v>19</v>
      </c>
      <c r="G69">
        <v>28.19</v>
      </c>
      <c r="H69">
        <v>93.22</v>
      </c>
      <c r="I69">
        <v>25.18</v>
      </c>
      <c r="J69">
        <v>83.25</v>
      </c>
      <c r="K69">
        <v>5</v>
      </c>
      <c r="T69">
        <v>3</v>
      </c>
      <c r="U69">
        <v>2</v>
      </c>
      <c r="V69" t="s">
        <v>132</v>
      </c>
      <c r="W69">
        <v>93</v>
      </c>
      <c r="X69">
        <v>10</v>
      </c>
      <c r="Y69">
        <v>8</v>
      </c>
      <c r="Z69" t="s">
        <v>239</v>
      </c>
      <c r="AA69" t="s">
        <v>240</v>
      </c>
      <c r="AB69" t="s">
        <v>96</v>
      </c>
      <c r="AC69" t="s">
        <v>97</v>
      </c>
      <c r="AD69" t="s">
        <v>142</v>
      </c>
      <c r="AG69" t="s">
        <v>241</v>
      </c>
      <c r="AH69">
        <v>0</v>
      </c>
      <c r="AI69">
        <v>359</v>
      </c>
      <c r="AJ69">
        <v>63</v>
      </c>
      <c r="AK69">
        <v>19</v>
      </c>
      <c r="AL69">
        <v>1</v>
      </c>
    </row>
    <row r="70" spans="1:38" x14ac:dyDescent="0.3">
      <c r="A70" t="s">
        <v>136</v>
      </c>
      <c r="B70">
        <v>104203</v>
      </c>
      <c r="C70">
        <v>2</v>
      </c>
      <c r="D70" t="s">
        <v>237</v>
      </c>
      <c r="E70" t="s">
        <v>238</v>
      </c>
      <c r="F70">
        <v>19</v>
      </c>
      <c r="G70">
        <v>28.67</v>
      </c>
      <c r="H70">
        <v>94.78</v>
      </c>
      <c r="I70">
        <v>25.6</v>
      </c>
      <c r="J70">
        <v>84.64</v>
      </c>
      <c r="K70">
        <v>9</v>
      </c>
      <c r="T70">
        <v>3</v>
      </c>
      <c r="U70">
        <v>2</v>
      </c>
      <c r="V70" t="s">
        <v>132</v>
      </c>
      <c r="W70" t="s">
        <v>242</v>
      </c>
      <c r="X70">
        <v>10</v>
      </c>
      <c r="Y70">
        <v>8</v>
      </c>
      <c r="Z70" t="s">
        <v>239</v>
      </c>
      <c r="AA70" t="s">
        <v>240</v>
      </c>
      <c r="AB70" t="s">
        <v>96</v>
      </c>
      <c r="AC70" t="s">
        <v>97</v>
      </c>
      <c r="AD70" t="s">
        <v>142</v>
      </c>
      <c r="AG70" t="s">
        <v>241</v>
      </c>
      <c r="AH70">
        <v>0</v>
      </c>
      <c r="AI70">
        <v>359</v>
      </c>
      <c r="AJ70">
        <v>63</v>
      </c>
      <c r="AK70">
        <v>19</v>
      </c>
      <c r="AL70">
        <v>1</v>
      </c>
    </row>
    <row r="71" spans="1:38" x14ac:dyDescent="0.3">
      <c r="A71" t="s">
        <v>136</v>
      </c>
      <c r="B71">
        <v>104203</v>
      </c>
      <c r="C71">
        <v>3</v>
      </c>
      <c r="D71" t="s">
        <v>237</v>
      </c>
      <c r="E71" t="s">
        <v>238</v>
      </c>
      <c r="F71">
        <v>19</v>
      </c>
      <c r="G71">
        <v>28.76</v>
      </c>
      <c r="H71">
        <v>95.09</v>
      </c>
      <c r="I71">
        <v>25.68</v>
      </c>
      <c r="J71">
        <v>84.91</v>
      </c>
      <c r="K71">
        <v>5</v>
      </c>
      <c r="T71">
        <v>3</v>
      </c>
      <c r="U71">
        <v>2</v>
      </c>
      <c r="V71" t="s">
        <v>132</v>
      </c>
      <c r="W71" t="s">
        <v>243</v>
      </c>
      <c r="X71">
        <v>10</v>
      </c>
      <c r="Y71">
        <v>8</v>
      </c>
      <c r="Z71" t="s">
        <v>239</v>
      </c>
      <c r="AA71" t="s">
        <v>240</v>
      </c>
      <c r="AB71" t="s">
        <v>96</v>
      </c>
      <c r="AC71" t="s">
        <v>97</v>
      </c>
      <c r="AD71" t="s">
        <v>142</v>
      </c>
      <c r="AG71" t="s">
        <v>241</v>
      </c>
      <c r="AH71">
        <v>0</v>
      </c>
      <c r="AI71">
        <v>359</v>
      </c>
      <c r="AJ71">
        <v>63</v>
      </c>
      <c r="AK71">
        <v>19</v>
      </c>
      <c r="AL71">
        <v>1</v>
      </c>
    </row>
    <row r="72" spans="1:38" x14ac:dyDescent="0.3">
      <c r="A72" t="s">
        <v>136</v>
      </c>
      <c r="B72">
        <v>101990</v>
      </c>
      <c r="C72">
        <v>1</v>
      </c>
      <c r="D72" t="s">
        <v>244</v>
      </c>
      <c r="E72" t="s">
        <v>245</v>
      </c>
      <c r="F72">
        <v>153</v>
      </c>
      <c r="G72">
        <v>11.48</v>
      </c>
      <c r="H72">
        <v>37.97</v>
      </c>
      <c r="I72">
        <v>9.8699999999999992</v>
      </c>
      <c r="J72">
        <v>32.630000000000003</v>
      </c>
      <c r="K72">
        <v>2</v>
      </c>
      <c r="T72">
        <v>2</v>
      </c>
      <c r="U72">
        <v>1</v>
      </c>
      <c r="V72" t="s">
        <v>93</v>
      </c>
      <c r="W72">
        <v>37</v>
      </c>
      <c r="X72">
        <v>6</v>
      </c>
      <c r="Y72">
        <v>5</v>
      </c>
      <c r="Z72" t="s">
        <v>246</v>
      </c>
      <c r="AA72" t="s">
        <v>247</v>
      </c>
      <c r="AB72" t="s">
        <v>96</v>
      </c>
      <c r="AC72" t="s">
        <v>97</v>
      </c>
      <c r="AD72" t="s">
        <v>142</v>
      </c>
      <c r="AG72" t="s">
        <v>248</v>
      </c>
      <c r="AH72">
        <v>0</v>
      </c>
      <c r="AI72">
        <v>0</v>
      </c>
      <c r="AJ72">
        <v>0</v>
      </c>
      <c r="AK72">
        <v>44</v>
      </c>
      <c r="AL72">
        <v>0.28999999999999998</v>
      </c>
    </row>
    <row r="73" spans="1:38" x14ac:dyDescent="0.3">
      <c r="A73" t="s">
        <v>136</v>
      </c>
      <c r="B73">
        <v>101990</v>
      </c>
      <c r="C73">
        <v>2</v>
      </c>
      <c r="D73" t="s">
        <v>244</v>
      </c>
      <c r="E73" t="s">
        <v>245</v>
      </c>
      <c r="F73">
        <v>153</v>
      </c>
      <c r="G73">
        <v>11.9</v>
      </c>
      <c r="H73">
        <v>39.369999999999997</v>
      </c>
      <c r="I73">
        <v>10.25</v>
      </c>
      <c r="J73">
        <v>33.89</v>
      </c>
      <c r="K73">
        <v>1</v>
      </c>
      <c r="T73">
        <v>2</v>
      </c>
      <c r="U73">
        <v>1</v>
      </c>
      <c r="V73" t="s">
        <v>93</v>
      </c>
      <c r="W73">
        <v>39</v>
      </c>
      <c r="X73">
        <v>6</v>
      </c>
      <c r="Y73">
        <v>5</v>
      </c>
      <c r="Z73" t="s">
        <v>246</v>
      </c>
      <c r="AA73" t="s">
        <v>247</v>
      </c>
      <c r="AB73" t="s">
        <v>96</v>
      </c>
      <c r="AC73" t="s">
        <v>97</v>
      </c>
      <c r="AD73" t="s">
        <v>142</v>
      </c>
      <c r="AG73" t="s">
        <v>248</v>
      </c>
      <c r="AH73">
        <v>0</v>
      </c>
      <c r="AI73">
        <v>0</v>
      </c>
      <c r="AJ73">
        <v>0</v>
      </c>
      <c r="AK73">
        <v>44</v>
      </c>
      <c r="AL73">
        <v>0.28999999999999998</v>
      </c>
    </row>
    <row r="74" spans="1:38" x14ac:dyDescent="0.3">
      <c r="A74" t="s">
        <v>136</v>
      </c>
      <c r="B74">
        <v>101990</v>
      </c>
      <c r="C74">
        <v>3</v>
      </c>
      <c r="D74" t="s">
        <v>244</v>
      </c>
      <c r="E74" t="s">
        <v>245</v>
      </c>
      <c r="F74">
        <v>153</v>
      </c>
      <c r="G74">
        <v>12.81</v>
      </c>
      <c r="H74">
        <v>42.36</v>
      </c>
      <c r="I74">
        <v>11.02</v>
      </c>
      <c r="J74">
        <v>36.46</v>
      </c>
      <c r="K74">
        <v>1</v>
      </c>
      <c r="T74">
        <v>2</v>
      </c>
      <c r="U74">
        <v>1</v>
      </c>
      <c r="V74" t="s">
        <v>93</v>
      </c>
      <c r="W74">
        <v>42</v>
      </c>
      <c r="X74">
        <v>6</v>
      </c>
      <c r="Y74">
        <v>5</v>
      </c>
      <c r="Z74" t="s">
        <v>246</v>
      </c>
      <c r="AA74" t="s">
        <v>247</v>
      </c>
      <c r="AB74" t="s">
        <v>96</v>
      </c>
      <c r="AC74" t="s">
        <v>97</v>
      </c>
      <c r="AD74" t="s">
        <v>142</v>
      </c>
      <c r="AG74" t="s">
        <v>248</v>
      </c>
      <c r="AH74">
        <v>0</v>
      </c>
      <c r="AI74">
        <v>0</v>
      </c>
      <c r="AJ74">
        <v>0</v>
      </c>
      <c r="AK74">
        <v>44</v>
      </c>
      <c r="AL74">
        <v>0.28999999999999998</v>
      </c>
    </row>
    <row r="75" spans="1:38" x14ac:dyDescent="0.3">
      <c r="A75" t="s">
        <v>136</v>
      </c>
      <c r="B75">
        <v>101990</v>
      </c>
      <c r="C75">
        <v>4</v>
      </c>
      <c r="D75" t="s">
        <v>244</v>
      </c>
      <c r="E75" t="s">
        <v>245</v>
      </c>
      <c r="F75">
        <v>153</v>
      </c>
      <c r="G75">
        <v>15.04</v>
      </c>
      <c r="H75">
        <v>49.75</v>
      </c>
      <c r="I75">
        <v>13.02</v>
      </c>
      <c r="J75">
        <v>43.07</v>
      </c>
      <c r="K75">
        <v>2</v>
      </c>
      <c r="T75">
        <v>2</v>
      </c>
      <c r="U75">
        <v>1</v>
      </c>
      <c r="V75" t="s">
        <v>93</v>
      </c>
      <c r="W75" t="s">
        <v>249</v>
      </c>
      <c r="X75">
        <v>6</v>
      </c>
      <c r="Y75">
        <v>5</v>
      </c>
      <c r="Z75" t="s">
        <v>246</v>
      </c>
      <c r="AA75" t="s">
        <v>247</v>
      </c>
      <c r="AB75" t="s">
        <v>96</v>
      </c>
      <c r="AC75" t="s">
        <v>97</v>
      </c>
      <c r="AD75" t="s">
        <v>142</v>
      </c>
      <c r="AG75" t="s">
        <v>248</v>
      </c>
      <c r="AH75">
        <v>0</v>
      </c>
      <c r="AI75">
        <v>0</v>
      </c>
      <c r="AJ75">
        <v>0</v>
      </c>
      <c r="AK75">
        <v>44</v>
      </c>
      <c r="AL75">
        <v>0.28999999999999998</v>
      </c>
    </row>
    <row r="76" spans="1:38" x14ac:dyDescent="0.3">
      <c r="A76" t="s">
        <v>136</v>
      </c>
      <c r="B76">
        <v>101990</v>
      </c>
      <c r="C76">
        <v>5</v>
      </c>
      <c r="D76" t="s">
        <v>244</v>
      </c>
      <c r="E76" t="s">
        <v>245</v>
      </c>
      <c r="F76">
        <v>153</v>
      </c>
      <c r="G76">
        <v>15.4</v>
      </c>
      <c r="H76">
        <v>50.93</v>
      </c>
      <c r="I76">
        <v>13.39</v>
      </c>
      <c r="J76">
        <v>44.27</v>
      </c>
      <c r="K76">
        <v>43</v>
      </c>
      <c r="T76">
        <v>3</v>
      </c>
      <c r="U76">
        <v>1</v>
      </c>
      <c r="V76" t="s">
        <v>93</v>
      </c>
      <c r="W76" t="s">
        <v>250</v>
      </c>
      <c r="X76">
        <v>6</v>
      </c>
      <c r="Y76">
        <v>5</v>
      </c>
      <c r="Z76" t="s">
        <v>246</v>
      </c>
      <c r="AA76" t="s">
        <v>247</v>
      </c>
      <c r="AB76" t="s">
        <v>96</v>
      </c>
      <c r="AC76" t="s">
        <v>97</v>
      </c>
      <c r="AD76" t="s">
        <v>142</v>
      </c>
      <c r="AG76" t="s">
        <v>248</v>
      </c>
      <c r="AH76">
        <v>0</v>
      </c>
      <c r="AI76">
        <v>0</v>
      </c>
      <c r="AJ76">
        <v>0</v>
      </c>
      <c r="AK76">
        <v>44</v>
      </c>
      <c r="AL76">
        <v>0.28999999999999998</v>
      </c>
    </row>
    <row r="77" spans="1:38" x14ac:dyDescent="0.3">
      <c r="A77" t="s">
        <v>136</v>
      </c>
      <c r="B77">
        <v>101990</v>
      </c>
      <c r="C77">
        <v>6</v>
      </c>
      <c r="D77" t="s">
        <v>244</v>
      </c>
      <c r="E77" t="s">
        <v>245</v>
      </c>
      <c r="F77">
        <v>153</v>
      </c>
      <c r="G77">
        <v>15.57</v>
      </c>
      <c r="H77">
        <v>51.49</v>
      </c>
      <c r="I77">
        <v>13.4</v>
      </c>
      <c r="J77">
        <v>44.33</v>
      </c>
      <c r="K77">
        <v>3</v>
      </c>
      <c r="T77">
        <v>2</v>
      </c>
      <c r="U77">
        <v>1</v>
      </c>
      <c r="V77" t="s">
        <v>93</v>
      </c>
      <c r="W77" t="s">
        <v>251</v>
      </c>
      <c r="X77">
        <v>6</v>
      </c>
      <c r="Y77">
        <v>5</v>
      </c>
      <c r="Z77" t="s">
        <v>246</v>
      </c>
      <c r="AA77" t="s">
        <v>247</v>
      </c>
      <c r="AB77" t="s">
        <v>96</v>
      </c>
      <c r="AC77" t="s">
        <v>97</v>
      </c>
      <c r="AD77" t="s">
        <v>142</v>
      </c>
      <c r="AG77" t="s">
        <v>248</v>
      </c>
      <c r="AH77">
        <v>0</v>
      </c>
      <c r="AI77">
        <v>0</v>
      </c>
      <c r="AJ77">
        <v>0</v>
      </c>
      <c r="AK77">
        <v>44</v>
      </c>
      <c r="AL77">
        <v>0.28999999999999998</v>
      </c>
    </row>
    <row r="78" spans="1:38" x14ac:dyDescent="0.3">
      <c r="A78" t="s">
        <v>136</v>
      </c>
      <c r="B78">
        <v>101990</v>
      </c>
      <c r="C78">
        <v>7</v>
      </c>
      <c r="D78" t="s">
        <v>244</v>
      </c>
      <c r="E78" t="s">
        <v>245</v>
      </c>
      <c r="F78">
        <v>153</v>
      </c>
      <c r="G78">
        <v>15.63</v>
      </c>
      <c r="H78">
        <v>51.67</v>
      </c>
      <c r="I78">
        <v>13.43</v>
      </c>
      <c r="J78">
        <v>44.41</v>
      </c>
      <c r="K78">
        <v>2</v>
      </c>
      <c r="T78">
        <v>2</v>
      </c>
      <c r="U78">
        <v>1</v>
      </c>
      <c r="V78" t="s">
        <v>93</v>
      </c>
      <c r="W78" t="s">
        <v>252</v>
      </c>
      <c r="X78">
        <v>6</v>
      </c>
      <c r="Y78">
        <v>5</v>
      </c>
      <c r="Z78" t="s">
        <v>246</v>
      </c>
      <c r="AA78" t="s">
        <v>247</v>
      </c>
      <c r="AB78" t="s">
        <v>96</v>
      </c>
      <c r="AC78" t="s">
        <v>97</v>
      </c>
      <c r="AD78" t="s">
        <v>142</v>
      </c>
      <c r="AG78" t="s">
        <v>248</v>
      </c>
      <c r="AH78">
        <v>0</v>
      </c>
      <c r="AI78">
        <v>0</v>
      </c>
      <c r="AJ78">
        <v>0</v>
      </c>
      <c r="AK78">
        <v>44</v>
      </c>
      <c r="AL78">
        <v>0.28999999999999998</v>
      </c>
    </row>
    <row r="79" spans="1:38" x14ac:dyDescent="0.3">
      <c r="A79" t="s">
        <v>136</v>
      </c>
      <c r="B79">
        <v>101990</v>
      </c>
      <c r="C79">
        <v>8</v>
      </c>
      <c r="D79" t="s">
        <v>244</v>
      </c>
      <c r="E79" t="s">
        <v>245</v>
      </c>
      <c r="F79">
        <v>153</v>
      </c>
      <c r="G79">
        <v>15.59</v>
      </c>
      <c r="H79">
        <v>51.54</v>
      </c>
      <c r="I79">
        <v>13.42</v>
      </c>
      <c r="J79">
        <v>44.37</v>
      </c>
      <c r="K79">
        <v>1</v>
      </c>
      <c r="T79">
        <v>2</v>
      </c>
      <c r="U79">
        <v>1</v>
      </c>
      <c r="V79" t="s">
        <v>93</v>
      </c>
      <c r="W79" t="s">
        <v>253</v>
      </c>
      <c r="X79">
        <v>6</v>
      </c>
      <c r="Y79">
        <v>5</v>
      </c>
      <c r="Z79" t="s">
        <v>246</v>
      </c>
      <c r="AA79" t="s">
        <v>247</v>
      </c>
      <c r="AB79" t="s">
        <v>96</v>
      </c>
      <c r="AC79" t="s">
        <v>97</v>
      </c>
      <c r="AD79" t="s">
        <v>142</v>
      </c>
      <c r="AG79" t="s">
        <v>248</v>
      </c>
      <c r="AH79">
        <v>0</v>
      </c>
      <c r="AI79">
        <v>0</v>
      </c>
      <c r="AJ79">
        <v>0</v>
      </c>
      <c r="AK79">
        <v>44</v>
      </c>
      <c r="AL79">
        <v>0.28999999999999998</v>
      </c>
    </row>
    <row r="80" spans="1:38" x14ac:dyDescent="0.3">
      <c r="A80" t="s">
        <v>136</v>
      </c>
      <c r="B80">
        <v>101990</v>
      </c>
      <c r="C80">
        <v>9</v>
      </c>
      <c r="D80" t="s">
        <v>244</v>
      </c>
      <c r="E80" t="s">
        <v>245</v>
      </c>
      <c r="F80">
        <v>153</v>
      </c>
      <c r="G80">
        <v>18.309999999999999</v>
      </c>
      <c r="H80">
        <v>60.56</v>
      </c>
      <c r="I80">
        <v>16.18</v>
      </c>
      <c r="J80">
        <v>53.49</v>
      </c>
      <c r="K80">
        <v>19</v>
      </c>
      <c r="T80">
        <v>2</v>
      </c>
      <c r="U80">
        <v>1</v>
      </c>
      <c r="V80" t="s">
        <v>93</v>
      </c>
      <c r="W80" t="s">
        <v>254</v>
      </c>
      <c r="X80">
        <v>6</v>
      </c>
      <c r="Y80">
        <v>5</v>
      </c>
      <c r="Z80" t="s">
        <v>246</v>
      </c>
      <c r="AA80" t="s">
        <v>247</v>
      </c>
      <c r="AB80" t="s">
        <v>96</v>
      </c>
      <c r="AC80" t="s">
        <v>97</v>
      </c>
      <c r="AD80" t="s">
        <v>142</v>
      </c>
      <c r="AG80" t="s">
        <v>248</v>
      </c>
      <c r="AH80">
        <v>0</v>
      </c>
      <c r="AI80">
        <v>0</v>
      </c>
      <c r="AJ80">
        <v>0</v>
      </c>
      <c r="AK80">
        <v>44</v>
      </c>
      <c r="AL80">
        <v>0.28999999999999998</v>
      </c>
    </row>
    <row r="81" spans="1:38" x14ac:dyDescent="0.3">
      <c r="A81" t="s">
        <v>136</v>
      </c>
      <c r="B81">
        <v>101990</v>
      </c>
      <c r="C81">
        <v>10</v>
      </c>
      <c r="D81" t="s">
        <v>244</v>
      </c>
      <c r="E81" t="s">
        <v>245</v>
      </c>
      <c r="F81">
        <v>153</v>
      </c>
      <c r="G81">
        <v>18.41</v>
      </c>
      <c r="H81">
        <v>60.86</v>
      </c>
      <c r="I81">
        <v>16.27</v>
      </c>
      <c r="J81">
        <v>53.79</v>
      </c>
      <c r="K81">
        <v>19</v>
      </c>
      <c r="T81">
        <v>2</v>
      </c>
      <c r="U81">
        <v>1</v>
      </c>
      <c r="V81" t="s">
        <v>93</v>
      </c>
      <c r="W81" t="s">
        <v>254</v>
      </c>
      <c r="X81">
        <v>6</v>
      </c>
      <c r="Y81">
        <v>5</v>
      </c>
      <c r="Z81" t="s">
        <v>246</v>
      </c>
      <c r="AA81" t="s">
        <v>247</v>
      </c>
      <c r="AB81" t="s">
        <v>96</v>
      </c>
      <c r="AC81" t="s">
        <v>97</v>
      </c>
      <c r="AD81" t="s">
        <v>142</v>
      </c>
      <c r="AG81" t="s">
        <v>248</v>
      </c>
      <c r="AH81">
        <v>0</v>
      </c>
      <c r="AI81">
        <v>0</v>
      </c>
      <c r="AJ81">
        <v>0</v>
      </c>
      <c r="AK81">
        <v>44</v>
      </c>
      <c r="AL81">
        <v>0.28999999999999998</v>
      </c>
    </row>
    <row r="82" spans="1:38" x14ac:dyDescent="0.3">
      <c r="A82" t="s">
        <v>136</v>
      </c>
      <c r="B82">
        <v>101990</v>
      </c>
      <c r="C82">
        <v>11</v>
      </c>
      <c r="D82" t="s">
        <v>244</v>
      </c>
      <c r="E82" t="s">
        <v>245</v>
      </c>
      <c r="F82">
        <v>153</v>
      </c>
      <c r="G82">
        <v>18.93</v>
      </c>
      <c r="H82">
        <v>62.61</v>
      </c>
      <c r="I82">
        <v>16.78</v>
      </c>
      <c r="J82">
        <v>55.49</v>
      </c>
      <c r="K82">
        <v>19</v>
      </c>
      <c r="T82">
        <v>2</v>
      </c>
      <c r="U82">
        <v>1</v>
      </c>
      <c r="V82" t="s">
        <v>93</v>
      </c>
      <c r="W82" t="s">
        <v>255</v>
      </c>
      <c r="X82">
        <v>6</v>
      </c>
      <c r="Y82">
        <v>5</v>
      </c>
      <c r="Z82" t="s">
        <v>246</v>
      </c>
      <c r="AA82" t="s">
        <v>247</v>
      </c>
      <c r="AB82" t="s">
        <v>96</v>
      </c>
      <c r="AC82" t="s">
        <v>97</v>
      </c>
      <c r="AD82" t="s">
        <v>142</v>
      </c>
      <c r="AG82" t="s">
        <v>248</v>
      </c>
      <c r="AH82">
        <v>0</v>
      </c>
      <c r="AI82">
        <v>0</v>
      </c>
      <c r="AJ82">
        <v>0</v>
      </c>
      <c r="AK82">
        <v>44</v>
      </c>
      <c r="AL82">
        <v>0.28999999999999998</v>
      </c>
    </row>
    <row r="83" spans="1:38" x14ac:dyDescent="0.3">
      <c r="A83" t="s">
        <v>136</v>
      </c>
      <c r="B83">
        <v>101990</v>
      </c>
      <c r="C83">
        <v>12</v>
      </c>
      <c r="D83" t="s">
        <v>244</v>
      </c>
      <c r="E83" t="s">
        <v>245</v>
      </c>
      <c r="F83">
        <v>153</v>
      </c>
      <c r="G83">
        <v>19.22</v>
      </c>
      <c r="H83">
        <v>63.55</v>
      </c>
      <c r="I83">
        <v>17.03</v>
      </c>
      <c r="J83">
        <v>56.32</v>
      </c>
      <c r="K83">
        <v>20</v>
      </c>
      <c r="T83">
        <v>3</v>
      </c>
      <c r="U83">
        <v>2</v>
      </c>
      <c r="V83" t="s">
        <v>93</v>
      </c>
      <c r="W83" t="s">
        <v>195</v>
      </c>
      <c r="X83">
        <v>6</v>
      </c>
      <c r="Y83">
        <v>5</v>
      </c>
      <c r="Z83" t="s">
        <v>246</v>
      </c>
      <c r="AA83" t="s">
        <v>247</v>
      </c>
      <c r="AB83" t="s">
        <v>96</v>
      </c>
      <c r="AC83" t="s">
        <v>97</v>
      </c>
      <c r="AD83" t="s">
        <v>142</v>
      </c>
      <c r="AG83" t="s">
        <v>248</v>
      </c>
      <c r="AH83">
        <v>0</v>
      </c>
      <c r="AI83">
        <v>0</v>
      </c>
      <c r="AJ83">
        <v>0</v>
      </c>
      <c r="AK83">
        <v>44</v>
      </c>
      <c r="AL83">
        <v>0.28999999999999998</v>
      </c>
    </row>
    <row r="84" spans="1:38" x14ac:dyDescent="0.3">
      <c r="A84" t="s">
        <v>136</v>
      </c>
      <c r="B84">
        <v>101990</v>
      </c>
      <c r="C84">
        <v>13</v>
      </c>
      <c r="D84" t="s">
        <v>244</v>
      </c>
      <c r="E84" t="s">
        <v>245</v>
      </c>
      <c r="F84">
        <v>153</v>
      </c>
      <c r="G84">
        <v>20.170000000000002</v>
      </c>
      <c r="H84">
        <v>66.680000000000007</v>
      </c>
      <c r="I84">
        <v>18.02</v>
      </c>
      <c r="J84">
        <v>59.6</v>
      </c>
      <c r="K84">
        <v>19</v>
      </c>
      <c r="T84">
        <v>3</v>
      </c>
      <c r="U84">
        <v>2</v>
      </c>
      <c r="V84" t="s">
        <v>93</v>
      </c>
      <c r="W84" t="s">
        <v>256</v>
      </c>
      <c r="X84">
        <v>6</v>
      </c>
      <c r="Y84">
        <v>5</v>
      </c>
      <c r="Z84" t="s">
        <v>246</v>
      </c>
      <c r="AA84" t="s">
        <v>247</v>
      </c>
      <c r="AB84" t="s">
        <v>96</v>
      </c>
      <c r="AC84" t="s">
        <v>97</v>
      </c>
      <c r="AD84" t="s">
        <v>142</v>
      </c>
      <c r="AG84" t="s">
        <v>248</v>
      </c>
      <c r="AH84">
        <v>0</v>
      </c>
      <c r="AI84">
        <v>0</v>
      </c>
      <c r="AJ84">
        <v>0</v>
      </c>
      <c r="AK84">
        <v>44</v>
      </c>
      <c r="AL84">
        <v>0.28999999999999998</v>
      </c>
    </row>
    <row r="85" spans="1:38" x14ac:dyDescent="0.3">
      <c r="A85" t="s">
        <v>136</v>
      </c>
      <c r="B85">
        <v>101990</v>
      </c>
      <c r="C85">
        <v>14</v>
      </c>
      <c r="D85" t="s">
        <v>244</v>
      </c>
      <c r="E85" t="s">
        <v>245</v>
      </c>
      <c r="F85">
        <v>153</v>
      </c>
      <c r="G85">
        <v>19.989999999999998</v>
      </c>
      <c r="H85">
        <v>66.11</v>
      </c>
      <c r="I85">
        <v>17.309999999999999</v>
      </c>
      <c r="J85">
        <v>57.24</v>
      </c>
      <c r="K85">
        <v>2</v>
      </c>
      <c r="T85">
        <v>3</v>
      </c>
      <c r="U85">
        <v>2</v>
      </c>
      <c r="V85" t="s">
        <v>93</v>
      </c>
      <c r="W85" t="s">
        <v>257</v>
      </c>
      <c r="X85">
        <v>6</v>
      </c>
      <c r="Y85">
        <v>5</v>
      </c>
      <c r="Z85" t="s">
        <v>246</v>
      </c>
      <c r="AA85" t="s">
        <v>247</v>
      </c>
      <c r="AB85" t="s">
        <v>96</v>
      </c>
      <c r="AC85" t="s">
        <v>97</v>
      </c>
      <c r="AD85" t="s">
        <v>142</v>
      </c>
      <c r="AG85" t="s">
        <v>248</v>
      </c>
      <c r="AH85">
        <v>0</v>
      </c>
      <c r="AI85">
        <v>0</v>
      </c>
      <c r="AJ85">
        <v>0</v>
      </c>
      <c r="AK85">
        <v>44</v>
      </c>
      <c r="AL85">
        <v>0.28999999999999998</v>
      </c>
    </row>
    <row r="86" spans="1:38" x14ac:dyDescent="0.3">
      <c r="A86" t="s">
        <v>136</v>
      </c>
      <c r="B86">
        <v>12896</v>
      </c>
      <c r="C86">
        <v>1</v>
      </c>
      <c r="D86" t="s">
        <v>258</v>
      </c>
      <c r="E86" t="s">
        <v>259</v>
      </c>
      <c r="F86">
        <v>48</v>
      </c>
      <c r="G86">
        <v>20.55</v>
      </c>
      <c r="H86">
        <v>67.959999999999994</v>
      </c>
      <c r="I86">
        <v>18.350000000000001</v>
      </c>
      <c r="J86">
        <v>60.69</v>
      </c>
      <c r="K86">
        <v>48</v>
      </c>
      <c r="T86">
        <v>3</v>
      </c>
      <c r="U86">
        <v>1</v>
      </c>
      <c r="V86" t="s">
        <v>93</v>
      </c>
      <c r="W86">
        <v>67</v>
      </c>
      <c r="X86">
        <v>3</v>
      </c>
      <c r="Y86">
        <v>3</v>
      </c>
      <c r="Z86" t="s">
        <v>260</v>
      </c>
      <c r="AA86" t="s">
        <v>261</v>
      </c>
      <c r="AB86" t="s">
        <v>96</v>
      </c>
      <c r="AC86" t="s">
        <v>97</v>
      </c>
      <c r="AD86" t="s">
        <v>142</v>
      </c>
      <c r="AG86" t="s">
        <v>262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136</v>
      </c>
      <c r="B87">
        <v>8948</v>
      </c>
      <c r="C87">
        <v>1</v>
      </c>
      <c r="D87" t="s">
        <v>263</v>
      </c>
      <c r="E87" t="s">
        <v>264</v>
      </c>
      <c r="F87">
        <v>40</v>
      </c>
      <c r="G87">
        <v>25.57</v>
      </c>
      <c r="H87">
        <v>84.55</v>
      </c>
      <c r="I87">
        <v>21.04</v>
      </c>
      <c r="J87">
        <v>69.56</v>
      </c>
      <c r="K87">
        <v>40</v>
      </c>
      <c r="T87">
        <v>3</v>
      </c>
      <c r="U87">
        <v>1</v>
      </c>
      <c r="V87" t="s">
        <v>93</v>
      </c>
      <c r="W87">
        <v>84</v>
      </c>
      <c r="X87">
        <v>5</v>
      </c>
      <c r="Y87">
        <v>5</v>
      </c>
      <c r="Z87" t="s">
        <v>265</v>
      </c>
      <c r="AA87" t="s">
        <v>266</v>
      </c>
      <c r="AB87" t="s">
        <v>96</v>
      </c>
      <c r="AC87" t="s">
        <v>97</v>
      </c>
      <c r="AD87" t="s">
        <v>142</v>
      </c>
      <c r="AG87" t="s">
        <v>267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136</v>
      </c>
      <c r="B88">
        <v>11680</v>
      </c>
      <c r="C88">
        <v>1</v>
      </c>
      <c r="D88" t="s">
        <v>268</v>
      </c>
      <c r="E88" t="s">
        <v>269</v>
      </c>
      <c r="F88">
        <v>147</v>
      </c>
      <c r="G88">
        <v>17.079999999999998</v>
      </c>
      <c r="H88">
        <v>56.49</v>
      </c>
      <c r="I88">
        <v>12.68</v>
      </c>
      <c r="J88">
        <v>41.94</v>
      </c>
      <c r="K88">
        <v>2</v>
      </c>
      <c r="T88">
        <v>2</v>
      </c>
      <c r="U88">
        <v>1</v>
      </c>
      <c r="V88" t="s">
        <v>93</v>
      </c>
      <c r="W88">
        <v>56</v>
      </c>
      <c r="X88">
        <v>17</v>
      </c>
      <c r="Y88">
        <v>11</v>
      </c>
      <c r="Z88" t="s">
        <v>270</v>
      </c>
      <c r="AA88" t="s">
        <v>271</v>
      </c>
      <c r="AB88" t="s">
        <v>96</v>
      </c>
      <c r="AC88" t="s">
        <v>97</v>
      </c>
      <c r="AD88" t="s">
        <v>142</v>
      </c>
      <c r="AG88" t="s">
        <v>272</v>
      </c>
      <c r="AH88">
        <v>0</v>
      </c>
      <c r="AI88">
        <v>313</v>
      </c>
      <c r="AJ88">
        <v>25</v>
      </c>
      <c r="AK88">
        <v>134</v>
      </c>
      <c r="AL88">
        <v>0.91</v>
      </c>
    </row>
    <row r="89" spans="1:38" x14ac:dyDescent="0.3">
      <c r="A89" t="s">
        <v>136</v>
      </c>
      <c r="B89">
        <v>11680</v>
      </c>
      <c r="C89">
        <v>2</v>
      </c>
      <c r="D89" t="s">
        <v>268</v>
      </c>
      <c r="E89" t="s">
        <v>269</v>
      </c>
      <c r="F89">
        <v>147</v>
      </c>
      <c r="G89">
        <v>24.34</v>
      </c>
      <c r="H89">
        <v>80.47</v>
      </c>
      <c r="I89">
        <v>18.03</v>
      </c>
      <c r="J89">
        <v>59.62</v>
      </c>
      <c r="K89">
        <v>44</v>
      </c>
      <c r="T89">
        <v>3</v>
      </c>
      <c r="U89">
        <v>1</v>
      </c>
      <c r="V89" t="s">
        <v>93</v>
      </c>
      <c r="W89">
        <v>80</v>
      </c>
      <c r="X89">
        <v>17</v>
      </c>
      <c r="Y89">
        <v>11</v>
      </c>
      <c r="Z89" t="s">
        <v>270</v>
      </c>
      <c r="AA89" t="s">
        <v>271</v>
      </c>
      <c r="AB89" t="s">
        <v>96</v>
      </c>
      <c r="AC89" t="s">
        <v>97</v>
      </c>
      <c r="AD89" t="s">
        <v>142</v>
      </c>
      <c r="AG89" t="s">
        <v>272</v>
      </c>
      <c r="AH89">
        <v>0</v>
      </c>
      <c r="AI89">
        <v>313</v>
      </c>
      <c r="AJ89">
        <v>25</v>
      </c>
      <c r="AK89">
        <v>134</v>
      </c>
      <c r="AL89">
        <v>0.91</v>
      </c>
    </row>
    <row r="90" spans="1:38" x14ac:dyDescent="0.3">
      <c r="A90" t="s">
        <v>136</v>
      </c>
      <c r="B90">
        <v>11680</v>
      </c>
      <c r="C90">
        <v>3</v>
      </c>
      <c r="D90" t="s">
        <v>268</v>
      </c>
      <c r="E90" t="s">
        <v>269</v>
      </c>
      <c r="F90">
        <v>147</v>
      </c>
      <c r="G90">
        <v>30.23</v>
      </c>
      <c r="H90">
        <v>99.95</v>
      </c>
      <c r="I90">
        <v>25.49</v>
      </c>
      <c r="J90">
        <v>84.27</v>
      </c>
      <c r="K90">
        <v>101</v>
      </c>
      <c r="T90">
        <v>3</v>
      </c>
      <c r="U90">
        <v>2</v>
      </c>
      <c r="V90" t="s">
        <v>93</v>
      </c>
      <c r="W90">
        <v>99</v>
      </c>
      <c r="X90">
        <v>17</v>
      </c>
      <c r="Y90">
        <v>11</v>
      </c>
      <c r="Z90" t="s">
        <v>270</v>
      </c>
      <c r="AA90" t="s">
        <v>271</v>
      </c>
      <c r="AB90" t="s">
        <v>96</v>
      </c>
      <c r="AC90" t="s">
        <v>97</v>
      </c>
      <c r="AD90" t="s">
        <v>142</v>
      </c>
      <c r="AG90" t="s">
        <v>272</v>
      </c>
      <c r="AH90">
        <v>0</v>
      </c>
      <c r="AI90">
        <v>313</v>
      </c>
      <c r="AJ90">
        <v>25</v>
      </c>
      <c r="AK90">
        <v>134</v>
      </c>
      <c r="AL90">
        <v>0.91</v>
      </c>
    </row>
    <row r="91" spans="1:38" x14ac:dyDescent="0.3">
      <c r="A91" t="s">
        <v>136</v>
      </c>
      <c r="B91">
        <v>123880</v>
      </c>
      <c r="C91">
        <v>1</v>
      </c>
      <c r="D91" t="s">
        <v>273</v>
      </c>
      <c r="E91" t="s">
        <v>274</v>
      </c>
      <c r="F91">
        <v>60</v>
      </c>
      <c r="G91">
        <v>19.47</v>
      </c>
      <c r="H91">
        <v>64.38</v>
      </c>
      <c r="I91">
        <v>15</v>
      </c>
      <c r="J91">
        <v>49.61</v>
      </c>
      <c r="K91">
        <v>30</v>
      </c>
      <c r="T91">
        <v>2</v>
      </c>
      <c r="U91">
        <v>1</v>
      </c>
      <c r="V91" t="s">
        <v>132</v>
      </c>
      <c r="W91" t="s">
        <v>275</v>
      </c>
      <c r="X91">
        <v>14</v>
      </c>
      <c r="Y91">
        <v>14</v>
      </c>
      <c r="Z91" t="s">
        <v>276</v>
      </c>
      <c r="AA91" t="s">
        <v>277</v>
      </c>
      <c r="AB91" t="s">
        <v>96</v>
      </c>
      <c r="AC91" t="s">
        <v>97</v>
      </c>
      <c r="AD91" t="s">
        <v>142</v>
      </c>
      <c r="AG91" t="s">
        <v>278</v>
      </c>
      <c r="AH91">
        <v>0</v>
      </c>
      <c r="AI91">
        <v>797</v>
      </c>
      <c r="AJ91">
        <v>75</v>
      </c>
      <c r="AK91">
        <v>45</v>
      </c>
      <c r="AL91">
        <v>0.75</v>
      </c>
    </row>
    <row r="92" spans="1:38" x14ac:dyDescent="0.3">
      <c r="A92" t="s">
        <v>136</v>
      </c>
      <c r="B92">
        <v>123880</v>
      </c>
      <c r="C92">
        <v>2</v>
      </c>
      <c r="D92" t="s">
        <v>273</v>
      </c>
      <c r="E92" t="s">
        <v>274</v>
      </c>
      <c r="F92">
        <v>60</v>
      </c>
      <c r="G92">
        <v>19.57</v>
      </c>
      <c r="H92">
        <v>64.709999999999994</v>
      </c>
      <c r="I92">
        <v>15.05</v>
      </c>
      <c r="J92">
        <v>49.78</v>
      </c>
      <c r="K92">
        <v>10</v>
      </c>
      <c r="T92">
        <v>2</v>
      </c>
      <c r="U92">
        <v>1</v>
      </c>
      <c r="V92" t="s">
        <v>132</v>
      </c>
      <c r="W92" t="s">
        <v>279</v>
      </c>
      <c r="X92">
        <v>14</v>
      </c>
      <c r="Y92">
        <v>14</v>
      </c>
      <c r="Z92" t="s">
        <v>276</v>
      </c>
      <c r="AA92" t="s">
        <v>277</v>
      </c>
      <c r="AB92" t="s">
        <v>96</v>
      </c>
      <c r="AC92" t="s">
        <v>97</v>
      </c>
      <c r="AD92" t="s">
        <v>142</v>
      </c>
      <c r="AG92" t="s">
        <v>278</v>
      </c>
      <c r="AH92">
        <v>0</v>
      </c>
      <c r="AI92">
        <v>797</v>
      </c>
      <c r="AJ92">
        <v>75</v>
      </c>
      <c r="AK92">
        <v>45</v>
      </c>
      <c r="AL92">
        <v>0.75</v>
      </c>
    </row>
    <row r="93" spans="1:38" x14ac:dyDescent="0.3">
      <c r="A93" t="s">
        <v>136</v>
      </c>
      <c r="B93">
        <v>123880</v>
      </c>
      <c r="C93">
        <v>3</v>
      </c>
      <c r="D93" t="s">
        <v>273</v>
      </c>
      <c r="E93" t="s">
        <v>274</v>
      </c>
      <c r="F93">
        <v>60</v>
      </c>
      <c r="G93">
        <v>19.420000000000002</v>
      </c>
      <c r="H93">
        <v>64.2</v>
      </c>
      <c r="I93">
        <v>14.98</v>
      </c>
      <c r="J93">
        <v>49.55</v>
      </c>
      <c r="K93">
        <v>10</v>
      </c>
      <c r="T93">
        <v>2</v>
      </c>
      <c r="U93">
        <v>1</v>
      </c>
      <c r="V93" t="s">
        <v>132</v>
      </c>
      <c r="W93" t="s">
        <v>279</v>
      </c>
      <c r="X93">
        <v>14</v>
      </c>
      <c r="Y93">
        <v>14</v>
      </c>
      <c r="Z93" t="s">
        <v>276</v>
      </c>
      <c r="AA93" t="s">
        <v>277</v>
      </c>
      <c r="AB93" t="s">
        <v>96</v>
      </c>
      <c r="AC93" t="s">
        <v>97</v>
      </c>
      <c r="AD93" t="s">
        <v>142</v>
      </c>
      <c r="AG93" t="s">
        <v>278</v>
      </c>
      <c r="AH93">
        <v>0</v>
      </c>
      <c r="AI93">
        <v>797</v>
      </c>
      <c r="AJ93">
        <v>75</v>
      </c>
      <c r="AK93">
        <v>45</v>
      </c>
      <c r="AL93">
        <v>0.75</v>
      </c>
    </row>
    <row r="94" spans="1:38" x14ac:dyDescent="0.3">
      <c r="A94" t="s">
        <v>136</v>
      </c>
      <c r="B94">
        <v>123880</v>
      </c>
      <c r="C94">
        <v>4</v>
      </c>
      <c r="D94" t="s">
        <v>273</v>
      </c>
      <c r="E94" t="s">
        <v>274</v>
      </c>
      <c r="F94">
        <v>60</v>
      </c>
      <c r="G94">
        <v>19.649999999999999</v>
      </c>
      <c r="H94">
        <v>64.98</v>
      </c>
      <c r="I94">
        <v>15.12</v>
      </c>
      <c r="J94">
        <v>49.99</v>
      </c>
      <c r="K94">
        <v>10</v>
      </c>
      <c r="T94">
        <v>2</v>
      </c>
      <c r="U94">
        <v>1</v>
      </c>
      <c r="V94" t="s">
        <v>132</v>
      </c>
      <c r="W94" t="s">
        <v>275</v>
      </c>
      <c r="X94">
        <v>14</v>
      </c>
      <c r="Y94">
        <v>14</v>
      </c>
      <c r="Z94" t="s">
        <v>276</v>
      </c>
      <c r="AA94" t="s">
        <v>277</v>
      </c>
      <c r="AB94" t="s">
        <v>96</v>
      </c>
      <c r="AC94" t="s">
        <v>97</v>
      </c>
      <c r="AD94" t="s">
        <v>142</v>
      </c>
      <c r="AG94" t="s">
        <v>278</v>
      </c>
      <c r="AH94">
        <v>0</v>
      </c>
      <c r="AI94">
        <v>797</v>
      </c>
      <c r="AJ94">
        <v>75</v>
      </c>
      <c r="AK94">
        <v>45</v>
      </c>
      <c r="AL94">
        <v>0.75</v>
      </c>
    </row>
    <row r="95" spans="1:38" x14ac:dyDescent="0.3">
      <c r="A95" t="s">
        <v>136</v>
      </c>
      <c r="B95">
        <v>100680</v>
      </c>
      <c r="C95">
        <v>1</v>
      </c>
      <c r="D95" t="s">
        <v>280</v>
      </c>
      <c r="E95" t="s">
        <v>281</v>
      </c>
      <c r="F95">
        <v>115</v>
      </c>
      <c r="G95">
        <v>22.05</v>
      </c>
      <c r="H95">
        <v>72.900000000000006</v>
      </c>
      <c r="I95">
        <v>18.399999999999999</v>
      </c>
      <c r="J95">
        <v>60.85</v>
      </c>
      <c r="K95">
        <v>50</v>
      </c>
      <c r="T95">
        <v>3</v>
      </c>
      <c r="U95">
        <v>1</v>
      </c>
      <c r="V95" t="s">
        <v>93</v>
      </c>
      <c r="W95" t="s">
        <v>282</v>
      </c>
      <c r="X95">
        <v>5</v>
      </c>
      <c r="Y95">
        <v>5</v>
      </c>
      <c r="Z95" t="s">
        <v>283</v>
      </c>
      <c r="AA95" t="s">
        <v>284</v>
      </c>
      <c r="AB95" t="s">
        <v>96</v>
      </c>
      <c r="AC95" t="s">
        <v>97</v>
      </c>
      <c r="AD95" t="s">
        <v>142</v>
      </c>
      <c r="AG95" t="s">
        <v>285</v>
      </c>
      <c r="AH95">
        <v>0</v>
      </c>
      <c r="AI95">
        <v>119</v>
      </c>
      <c r="AJ95">
        <v>23</v>
      </c>
      <c r="AK95">
        <v>0</v>
      </c>
      <c r="AL95">
        <v>0</v>
      </c>
    </row>
    <row r="96" spans="1:38" x14ac:dyDescent="0.3">
      <c r="A96" t="s">
        <v>136</v>
      </c>
      <c r="B96">
        <v>100680</v>
      </c>
      <c r="C96">
        <v>2</v>
      </c>
      <c r="D96" t="s">
        <v>280</v>
      </c>
      <c r="E96" t="s">
        <v>281</v>
      </c>
      <c r="F96">
        <v>115</v>
      </c>
      <c r="G96">
        <v>22.33</v>
      </c>
      <c r="H96">
        <v>73.83</v>
      </c>
      <c r="I96">
        <v>18.64</v>
      </c>
      <c r="J96">
        <v>61.62</v>
      </c>
      <c r="K96">
        <v>60</v>
      </c>
      <c r="T96">
        <v>3</v>
      </c>
      <c r="U96">
        <v>1</v>
      </c>
      <c r="V96" t="s">
        <v>93</v>
      </c>
      <c r="W96" t="s">
        <v>286</v>
      </c>
      <c r="X96">
        <v>5</v>
      </c>
      <c r="Y96">
        <v>5</v>
      </c>
      <c r="Z96" t="s">
        <v>283</v>
      </c>
      <c r="AA96" t="s">
        <v>284</v>
      </c>
      <c r="AB96" t="s">
        <v>96</v>
      </c>
      <c r="AC96" t="s">
        <v>97</v>
      </c>
      <c r="AD96" t="s">
        <v>142</v>
      </c>
      <c r="AG96" t="s">
        <v>285</v>
      </c>
      <c r="AH96">
        <v>0</v>
      </c>
      <c r="AI96">
        <v>119</v>
      </c>
      <c r="AJ96">
        <v>23</v>
      </c>
      <c r="AK96">
        <v>0</v>
      </c>
      <c r="AL96">
        <v>0</v>
      </c>
    </row>
    <row r="97" spans="1:38" x14ac:dyDescent="0.3">
      <c r="A97" t="s">
        <v>136</v>
      </c>
      <c r="B97">
        <v>100680</v>
      </c>
      <c r="C97">
        <v>3</v>
      </c>
      <c r="D97" t="s">
        <v>280</v>
      </c>
      <c r="E97" t="s">
        <v>281</v>
      </c>
      <c r="F97">
        <v>115</v>
      </c>
      <c r="G97">
        <v>24.28</v>
      </c>
      <c r="H97">
        <v>80.27</v>
      </c>
      <c r="I97">
        <v>20.58</v>
      </c>
      <c r="J97">
        <v>68.06</v>
      </c>
      <c r="K97">
        <v>5</v>
      </c>
      <c r="T97">
        <v>3</v>
      </c>
      <c r="U97">
        <v>2</v>
      </c>
      <c r="V97" t="s">
        <v>93</v>
      </c>
      <c r="W97">
        <v>80</v>
      </c>
      <c r="X97">
        <v>5</v>
      </c>
      <c r="Y97">
        <v>5</v>
      </c>
      <c r="Z97" t="s">
        <v>283</v>
      </c>
      <c r="AA97" t="s">
        <v>284</v>
      </c>
      <c r="AB97" t="s">
        <v>96</v>
      </c>
      <c r="AC97" t="s">
        <v>97</v>
      </c>
      <c r="AD97" t="s">
        <v>142</v>
      </c>
      <c r="AG97" t="s">
        <v>285</v>
      </c>
      <c r="AH97">
        <v>0</v>
      </c>
      <c r="AI97">
        <v>119</v>
      </c>
      <c r="AJ97">
        <v>23</v>
      </c>
      <c r="AK97">
        <v>0</v>
      </c>
      <c r="AL97">
        <v>0</v>
      </c>
    </row>
    <row r="98" spans="1:38" x14ac:dyDescent="0.3">
      <c r="A98" t="s">
        <v>136</v>
      </c>
      <c r="B98">
        <v>122163</v>
      </c>
      <c r="C98">
        <v>1</v>
      </c>
      <c r="D98" t="s">
        <v>287</v>
      </c>
      <c r="E98" t="s">
        <v>181</v>
      </c>
      <c r="F98">
        <v>479</v>
      </c>
      <c r="G98">
        <v>23.81</v>
      </c>
      <c r="H98">
        <v>78.72</v>
      </c>
      <c r="I98">
        <v>17.989999999999998</v>
      </c>
      <c r="J98">
        <v>59.5</v>
      </c>
      <c r="K98">
        <v>327</v>
      </c>
      <c r="T98">
        <v>3</v>
      </c>
      <c r="U98">
        <v>2</v>
      </c>
      <c r="V98" t="s">
        <v>93</v>
      </c>
      <c r="W98">
        <v>78</v>
      </c>
      <c r="X98">
        <v>29</v>
      </c>
      <c r="Y98">
        <v>23</v>
      </c>
      <c r="Z98" t="s">
        <v>288</v>
      </c>
      <c r="AA98" t="s">
        <v>289</v>
      </c>
      <c r="AB98" t="s">
        <v>96</v>
      </c>
      <c r="AC98" t="s">
        <v>97</v>
      </c>
      <c r="AD98" t="s">
        <v>142</v>
      </c>
      <c r="AG98" t="s">
        <v>290</v>
      </c>
      <c r="AH98">
        <v>0</v>
      </c>
      <c r="AI98">
        <v>249</v>
      </c>
      <c r="AJ98">
        <v>18</v>
      </c>
      <c r="AK98">
        <v>575</v>
      </c>
      <c r="AL98">
        <v>1.2</v>
      </c>
    </row>
    <row r="99" spans="1:38" x14ac:dyDescent="0.3">
      <c r="A99" t="s">
        <v>136</v>
      </c>
      <c r="B99">
        <v>122163</v>
      </c>
      <c r="C99">
        <v>2</v>
      </c>
      <c r="D99" t="s">
        <v>287</v>
      </c>
      <c r="E99" t="s">
        <v>181</v>
      </c>
      <c r="F99">
        <v>479</v>
      </c>
      <c r="G99">
        <v>29.36</v>
      </c>
      <c r="H99">
        <v>97.08</v>
      </c>
      <c r="I99">
        <v>22.49</v>
      </c>
      <c r="J99">
        <v>74.349999999999994</v>
      </c>
      <c r="K99">
        <v>94</v>
      </c>
      <c r="T99">
        <v>3</v>
      </c>
      <c r="U99">
        <v>2</v>
      </c>
      <c r="V99" t="s">
        <v>93</v>
      </c>
      <c r="W99">
        <v>97</v>
      </c>
      <c r="X99">
        <v>29</v>
      </c>
      <c r="Y99">
        <v>23</v>
      </c>
      <c r="Z99" t="s">
        <v>288</v>
      </c>
      <c r="AA99" t="s">
        <v>289</v>
      </c>
      <c r="AB99" t="s">
        <v>96</v>
      </c>
      <c r="AC99" t="s">
        <v>97</v>
      </c>
      <c r="AD99" t="s">
        <v>142</v>
      </c>
      <c r="AG99" t="s">
        <v>290</v>
      </c>
      <c r="AH99">
        <v>0</v>
      </c>
      <c r="AI99">
        <v>249</v>
      </c>
      <c r="AJ99">
        <v>18</v>
      </c>
      <c r="AK99">
        <v>575</v>
      </c>
      <c r="AL99">
        <v>1.2</v>
      </c>
    </row>
    <row r="100" spans="1:38" x14ac:dyDescent="0.3">
      <c r="A100" t="s">
        <v>136</v>
      </c>
      <c r="B100">
        <v>122163</v>
      </c>
      <c r="C100">
        <v>3</v>
      </c>
      <c r="D100" t="s">
        <v>287</v>
      </c>
      <c r="E100" t="s">
        <v>181</v>
      </c>
      <c r="F100">
        <v>479</v>
      </c>
      <c r="G100">
        <v>33.29</v>
      </c>
      <c r="H100">
        <v>110.08</v>
      </c>
      <c r="I100">
        <v>25.57</v>
      </c>
      <c r="J100">
        <v>84.54</v>
      </c>
      <c r="K100">
        <v>58</v>
      </c>
      <c r="T100">
        <v>3</v>
      </c>
      <c r="U100">
        <v>2</v>
      </c>
      <c r="V100" t="s">
        <v>93</v>
      </c>
      <c r="W100">
        <v>110</v>
      </c>
      <c r="X100">
        <v>29</v>
      </c>
      <c r="Y100">
        <v>23</v>
      </c>
      <c r="Z100" t="s">
        <v>288</v>
      </c>
      <c r="AA100" t="s">
        <v>289</v>
      </c>
      <c r="AB100" t="s">
        <v>96</v>
      </c>
      <c r="AC100" t="s">
        <v>97</v>
      </c>
      <c r="AD100" t="s">
        <v>142</v>
      </c>
      <c r="AG100" t="s">
        <v>290</v>
      </c>
      <c r="AH100">
        <v>0</v>
      </c>
      <c r="AI100">
        <v>249</v>
      </c>
      <c r="AJ100">
        <v>18</v>
      </c>
      <c r="AK100">
        <v>575</v>
      </c>
      <c r="AL100">
        <v>1.2</v>
      </c>
    </row>
    <row r="101" spans="1:38" x14ac:dyDescent="0.3">
      <c r="A101" t="s">
        <v>136</v>
      </c>
      <c r="B101">
        <v>118030</v>
      </c>
      <c r="C101">
        <v>1</v>
      </c>
      <c r="D101" t="s">
        <v>291</v>
      </c>
      <c r="E101" t="s">
        <v>292</v>
      </c>
      <c r="F101">
        <v>52</v>
      </c>
      <c r="G101">
        <v>21.35</v>
      </c>
      <c r="H101">
        <v>70.58</v>
      </c>
      <c r="I101">
        <v>16.8</v>
      </c>
      <c r="J101">
        <v>55.55</v>
      </c>
      <c r="K101">
        <v>13</v>
      </c>
      <c r="T101">
        <v>3</v>
      </c>
      <c r="U101">
        <v>2</v>
      </c>
      <c r="V101" t="s">
        <v>93</v>
      </c>
      <c r="W101">
        <v>70</v>
      </c>
      <c r="X101">
        <v>14</v>
      </c>
      <c r="Y101">
        <v>14</v>
      </c>
      <c r="Z101" t="s">
        <v>293</v>
      </c>
      <c r="AA101" t="s">
        <v>294</v>
      </c>
      <c r="AB101" t="s">
        <v>96</v>
      </c>
      <c r="AC101" t="s">
        <v>97</v>
      </c>
      <c r="AD101" t="s">
        <v>142</v>
      </c>
      <c r="AG101" t="s">
        <v>295</v>
      </c>
      <c r="AH101">
        <v>0</v>
      </c>
      <c r="AI101">
        <v>749</v>
      </c>
      <c r="AJ101">
        <v>68</v>
      </c>
      <c r="AK101">
        <v>40</v>
      </c>
      <c r="AL101">
        <v>0.77</v>
      </c>
    </row>
    <row r="102" spans="1:38" x14ac:dyDescent="0.3">
      <c r="A102" t="s">
        <v>136</v>
      </c>
      <c r="B102">
        <v>118030</v>
      </c>
      <c r="C102">
        <v>2</v>
      </c>
      <c r="D102" t="s">
        <v>291</v>
      </c>
      <c r="E102" t="s">
        <v>292</v>
      </c>
      <c r="F102">
        <v>52</v>
      </c>
      <c r="G102">
        <v>21.98</v>
      </c>
      <c r="H102">
        <v>72.67</v>
      </c>
      <c r="I102">
        <v>17.14</v>
      </c>
      <c r="J102">
        <v>56.68</v>
      </c>
      <c r="K102">
        <v>12</v>
      </c>
      <c r="T102">
        <v>3</v>
      </c>
      <c r="U102">
        <v>2</v>
      </c>
      <c r="V102" t="s">
        <v>93</v>
      </c>
      <c r="W102" t="s">
        <v>282</v>
      </c>
      <c r="X102">
        <v>14</v>
      </c>
      <c r="Y102">
        <v>14</v>
      </c>
      <c r="Z102" t="s">
        <v>293</v>
      </c>
      <c r="AA102" t="s">
        <v>294</v>
      </c>
      <c r="AB102" t="s">
        <v>96</v>
      </c>
      <c r="AC102" t="s">
        <v>97</v>
      </c>
      <c r="AD102" t="s">
        <v>142</v>
      </c>
      <c r="AG102" t="s">
        <v>295</v>
      </c>
      <c r="AH102">
        <v>0</v>
      </c>
      <c r="AI102">
        <v>749</v>
      </c>
      <c r="AJ102">
        <v>68</v>
      </c>
      <c r="AK102">
        <v>40</v>
      </c>
      <c r="AL102">
        <v>0.77</v>
      </c>
    </row>
    <row r="103" spans="1:38" x14ac:dyDescent="0.3">
      <c r="A103" t="s">
        <v>136</v>
      </c>
      <c r="B103">
        <v>118030</v>
      </c>
      <c r="C103">
        <v>3</v>
      </c>
      <c r="D103" t="s">
        <v>291</v>
      </c>
      <c r="E103" t="s">
        <v>292</v>
      </c>
      <c r="F103">
        <v>52</v>
      </c>
      <c r="G103">
        <v>21.98</v>
      </c>
      <c r="H103">
        <v>72.680000000000007</v>
      </c>
      <c r="I103">
        <v>17.14</v>
      </c>
      <c r="J103">
        <v>56.68</v>
      </c>
      <c r="K103">
        <v>1</v>
      </c>
      <c r="T103">
        <v>3</v>
      </c>
      <c r="U103">
        <v>2</v>
      </c>
      <c r="V103" t="s">
        <v>93</v>
      </c>
      <c r="W103" t="s">
        <v>296</v>
      </c>
      <c r="X103">
        <v>14</v>
      </c>
      <c r="Y103">
        <v>14</v>
      </c>
      <c r="Z103" t="s">
        <v>293</v>
      </c>
      <c r="AA103" t="s">
        <v>294</v>
      </c>
      <c r="AB103" t="s">
        <v>96</v>
      </c>
      <c r="AC103" t="s">
        <v>97</v>
      </c>
      <c r="AD103" t="s">
        <v>142</v>
      </c>
      <c r="AG103" t="s">
        <v>295</v>
      </c>
      <c r="AH103">
        <v>0</v>
      </c>
      <c r="AI103">
        <v>749</v>
      </c>
      <c r="AJ103">
        <v>68</v>
      </c>
      <c r="AK103">
        <v>40</v>
      </c>
      <c r="AL103">
        <v>0.77</v>
      </c>
    </row>
    <row r="104" spans="1:38" x14ac:dyDescent="0.3">
      <c r="A104" t="s">
        <v>136</v>
      </c>
      <c r="B104">
        <v>118030</v>
      </c>
      <c r="C104">
        <v>4</v>
      </c>
      <c r="D104" t="s">
        <v>291</v>
      </c>
      <c r="E104" t="s">
        <v>292</v>
      </c>
      <c r="F104">
        <v>52</v>
      </c>
      <c r="G104">
        <v>26.83</v>
      </c>
      <c r="H104">
        <v>88.71</v>
      </c>
      <c r="I104">
        <v>21.01</v>
      </c>
      <c r="J104">
        <v>69.459999999999994</v>
      </c>
      <c r="K104">
        <v>13</v>
      </c>
      <c r="T104">
        <v>3</v>
      </c>
      <c r="U104">
        <v>2</v>
      </c>
      <c r="V104" t="s">
        <v>93</v>
      </c>
      <c r="W104" t="s">
        <v>297</v>
      </c>
      <c r="X104">
        <v>14</v>
      </c>
      <c r="Y104">
        <v>14</v>
      </c>
      <c r="Z104" t="s">
        <v>293</v>
      </c>
      <c r="AA104" t="s">
        <v>294</v>
      </c>
      <c r="AB104" t="s">
        <v>96</v>
      </c>
      <c r="AC104" t="s">
        <v>97</v>
      </c>
      <c r="AD104" t="s">
        <v>142</v>
      </c>
      <c r="AG104" t="s">
        <v>295</v>
      </c>
      <c r="AH104">
        <v>0</v>
      </c>
      <c r="AI104">
        <v>749</v>
      </c>
      <c r="AJ104">
        <v>68</v>
      </c>
      <c r="AK104">
        <v>40</v>
      </c>
      <c r="AL104">
        <v>0.77</v>
      </c>
    </row>
    <row r="105" spans="1:38" x14ac:dyDescent="0.3">
      <c r="A105" t="s">
        <v>136</v>
      </c>
      <c r="B105">
        <v>118030</v>
      </c>
      <c r="C105">
        <v>5</v>
      </c>
      <c r="D105" t="s">
        <v>291</v>
      </c>
      <c r="E105" t="s">
        <v>292</v>
      </c>
      <c r="F105">
        <v>52</v>
      </c>
      <c r="G105">
        <v>26.65</v>
      </c>
      <c r="H105">
        <v>88.12</v>
      </c>
      <c r="I105">
        <v>21.09</v>
      </c>
      <c r="J105">
        <v>69.739999999999995</v>
      </c>
      <c r="K105">
        <v>12</v>
      </c>
      <c r="T105">
        <v>3</v>
      </c>
      <c r="U105">
        <v>2</v>
      </c>
      <c r="V105" t="s">
        <v>93</v>
      </c>
      <c r="W105" t="s">
        <v>298</v>
      </c>
      <c r="X105">
        <v>14</v>
      </c>
      <c r="Y105">
        <v>14</v>
      </c>
      <c r="Z105" t="s">
        <v>293</v>
      </c>
      <c r="AA105" t="s">
        <v>294</v>
      </c>
      <c r="AB105" t="s">
        <v>96</v>
      </c>
      <c r="AC105" t="s">
        <v>97</v>
      </c>
      <c r="AD105" t="s">
        <v>142</v>
      </c>
      <c r="AG105" t="s">
        <v>295</v>
      </c>
      <c r="AH105">
        <v>0</v>
      </c>
      <c r="AI105">
        <v>749</v>
      </c>
      <c r="AJ105">
        <v>68</v>
      </c>
      <c r="AK105">
        <v>40</v>
      </c>
      <c r="AL105">
        <v>0.77</v>
      </c>
    </row>
    <row r="106" spans="1:38" x14ac:dyDescent="0.3">
      <c r="A106" t="s">
        <v>136</v>
      </c>
      <c r="B106">
        <v>118030</v>
      </c>
      <c r="C106">
        <v>6</v>
      </c>
      <c r="D106" t="s">
        <v>291</v>
      </c>
      <c r="E106" t="s">
        <v>292</v>
      </c>
      <c r="F106">
        <v>52</v>
      </c>
      <c r="G106">
        <v>26.65</v>
      </c>
      <c r="H106">
        <v>88.13</v>
      </c>
      <c r="I106">
        <v>21.09</v>
      </c>
      <c r="J106">
        <v>69.739999999999995</v>
      </c>
      <c r="K106">
        <v>1</v>
      </c>
      <c r="T106">
        <v>3</v>
      </c>
      <c r="U106">
        <v>2</v>
      </c>
      <c r="V106" t="s">
        <v>93</v>
      </c>
      <c r="W106" t="s">
        <v>299</v>
      </c>
      <c r="X106">
        <v>14</v>
      </c>
      <c r="Y106">
        <v>14</v>
      </c>
      <c r="Z106" t="s">
        <v>293</v>
      </c>
      <c r="AA106" t="s">
        <v>294</v>
      </c>
      <c r="AB106" t="s">
        <v>96</v>
      </c>
      <c r="AC106" t="s">
        <v>97</v>
      </c>
      <c r="AD106" t="s">
        <v>142</v>
      </c>
      <c r="AG106" t="s">
        <v>295</v>
      </c>
      <c r="AH106">
        <v>0</v>
      </c>
      <c r="AI106">
        <v>749</v>
      </c>
      <c r="AJ106">
        <v>68</v>
      </c>
      <c r="AK106">
        <v>40</v>
      </c>
      <c r="AL106">
        <v>0.77</v>
      </c>
    </row>
    <row r="107" spans="1:38" x14ac:dyDescent="0.3">
      <c r="A107" t="s">
        <v>136</v>
      </c>
      <c r="B107">
        <v>22414</v>
      </c>
      <c r="C107">
        <v>1</v>
      </c>
      <c r="D107" t="s">
        <v>300</v>
      </c>
      <c r="E107" t="s">
        <v>301</v>
      </c>
      <c r="F107">
        <v>93</v>
      </c>
      <c r="G107">
        <v>27.05</v>
      </c>
      <c r="H107">
        <v>89.44</v>
      </c>
      <c r="I107">
        <v>20.38</v>
      </c>
      <c r="J107">
        <v>67.38</v>
      </c>
      <c r="K107">
        <v>63</v>
      </c>
      <c r="T107">
        <v>3</v>
      </c>
      <c r="U107">
        <v>2</v>
      </c>
      <c r="V107" t="s">
        <v>132</v>
      </c>
      <c r="W107" t="s">
        <v>139</v>
      </c>
      <c r="X107">
        <v>15</v>
      </c>
      <c r="Y107">
        <v>6</v>
      </c>
      <c r="Z107" t="s">
        <v>302</v>
      </c>
      <c r="AA107" t="s">
        <v>303</v>
      </c>
      <c r="AB107" t="s">
        <v>96</v>
      </c>
      <c r="AC107" t="s">
        <v>97</v>
      </c>
      <c r="AD107" t="s">
        <v>142</v>
      </c>
      <c r="AG107" t="s">
        <v>304</v>
      </c>
      <c r="AH107">
        <v>0</v>
      </c>
      <c r="AI107">
        <v>0</v>
      </c>
      <c r="AJ107">
        <v>0</v>
      </c>
      <c r="AK107">
        <v>152</v>
      </c>
      <c r="AL107">
        <v>1.63</v>
      </c>
    </row>
    <row r="108" spans="1:38" x14ac:dyDescent="0.3">
      <c r="A108" t="s">
        <v>136</v>
      </c>
      <c r="B108">
        <v>22414</v>
      </c>
      <c r="C108">
        <v>2</v>
      </c>
      <c r="D108" t="s">
        <v>300</v>
      </c>
      <c r="E108" t="s">
        <v>301</v>
      </c>
      <c r="F108">
        <v>93</v>
      </c>
      <c r="G108">
        <v>27.18</v>
      </c>
      <c r="H108">
        <v>89.86</v>
      </c>
      <c r="I108">
        <v>20.47</v>
      </c>
      <c r="J108">
        <v>67.7</v>
      </c>
      <c r="K108">
        <v>18</v>
      </c>
      <c r="T108">
        <v>3</v>
      </c>
      <c r="U108">
        <v>2</v>
      </c>
      <c r="V108" t="s">
        <v>132</v>
      </c>
      <c r="W108" t="s">
        <v>305</v>
      </c>
      <c r="X108">
        <v>15</v>
      </c>
      <c r="Y108">
        <v>6</v>
      </c>
      <c r="Z108" t="s">
        <v>302</v>
      </c>
      <c r="AA108" t="s">
        <v>303</v>
      </c>
      <c r="AB108" t="s">
        <v>96</v>
      </c>
      <c r="AC108" t="s">
        <v>97</v>
      </c>
      <c r="AD108" t="s">
        <v>142</v>
      </c>
      <c r="AG108" t="s">
        <v>304</v>
      </c>
      <c r="AH108">
        <v>0</v>
      </c>
      <c r="AI108">
        <v>0</v>
      </c>
      <c r="AJ108">
        <v>0</v>
      </c>
      <c r="AK108">
        <v>152</v>
      </c>
      <c r="AL108">
        <v>1.63</v>
      </c>
    </row>
    <row r="109" spans="1:38" x14ac:dyDescent="0.3">
      <c r="A109" t="s">
        <v>136</v>
      </c>
      <c r="B109">
        <v>22414</v>
      </c>
      <c r="C109">
        <v>3</v>
      </c>
      <c r="D109" t="s">
        <v>300</v>
      </c>
      <c r="E109" t="s">
        <v>301</v>
      </c>
      <c r="F109">
        <v>93</v>
      </c>
      <c r="G109">
        <v>29.07</v>
      </c>
      <c r="H109">
        <v>96.11</v>
      </c>
      <c r="I109">
        <v>21.9</v>
      </c>
      <c r="J109">
        <v>72.41</v>
      </c>
      <c r="K109">
        <v>12</v>
      </c>
      <c r="T109">
        <v>3</v>
      </c>
      <c r="U109">
        <v>2</v>
      </c>
      <c r="V109" t="s">
        <v>132</v>
      </c>
      <c r="W109">
        <v>96</v>
      </c>
      <c r="X109">
        <v>15</v>
      </c>
      <c r="Y109">
        <v>6</v>
      </c>
      <c r="Z109" t="s">
        <v>302</v>
      </c>
      <c r="AA109" t="s">
        <v>303</v>
      </c>
      <c r="AB109" t="s">
        <v>96</v>
      </c>
      <c r="AC109" t="s">
        <v>97</v>
      </c>
      <c r="AD109" t="s">
        <v>142</v>
      </c>
      <c r="AG109" t="s">
        <v>304</v>
      </c>
      <c r="AH109">
        <v>0</v>
      </c>
      <c r="AI109">
        <v>0</v>
      </c>
      <c r="AJ109">
        <v>0</v>
      </c>
      <c r="AK109">
        <v>152</v>
      </c>
      <c r="AL109">
        <v>1.63</v>
      </c>
    </row>
    <row r="110" spans="1:38" x14ac:dyDescent="0.3">
      <c r="A110" t="s">
        <v>136</v>
      </c>
      <c r="B110">
        <v>13246</v>
      </c>
      <c r="C110">
        <v>1</v>
      </c>
      <c r="D110" t="s">
        <v>306</v>
      </c>
      <c r="E110" t="s">
        <v>307</v>
      </c>
      <c r="F110">
        <v>19</v>
      </c>
      <c r="G110">
        <v>24.95</v>
      </c>
      <c r="H110">
        <v>82.51</v>
      </c>
      <c r="I110">
        <v>20.329999999999998</v>
      </c>
      <c r="J110">
        <v>67.209999999999994</v>
      </c>
      <c r="K110">
        <v>1</v>
      </c>
      <c r="T110">
        <v>3</v>
      </c>
      <c r="U110">
        <v>2</v>
      </c>
      <c r="V110" t="s">
        <v>93</v>
      </c>
      <c r="W110">
        <v>82</v>
      </c>
      <c r="X110">
        <v>11</v>
      </c>
      <c r="Y110">
        <v>10</v>
      </c>
      <c r="Z110" t="s">
        <v>308</v>
      </c>
      <c r="AA110" t="s">
        <v>309</v>
      </c>
      <c r="AB110" t="s">
        <v>96</v>
      </c>
      <c r="AC110" t="s">
        <v>97</v>
      </c>
      <c r="AD110" t="s">
        <v>142</v>
      </c>
      <c r="AG110" t="s">
        <v>310</v>
      </c>
      <c r="AH110">
        <v>0</v>
      </c>
      <c r="AI110">
        <v>295</v>
      </c>
      <c r="AJ110">
        <v>50</v>
      </c>
      <c r="AK110">
        <v>18</v>
      </c>
      <c r="AL110">
        <v>0.95</v>
      </c>
    </row>
    <row r="111" spans="1:38" x14ac:dyDescent="0.3">
      <c r="A111" t="s">
        <v>136</v>
      </c>
      <c r="B111">
        <v>13246</v>
      </c>
      <c r="C111">
        <v>2</v>
      </c>
      <c r="D111" t="s">
        <v>306</v>
      </c>
      <c r="E111" t="s">
        <v>307</v>
      </c>
      <c r="F111">
        <v>19</v>
      </c>
      <c r="G111">
        <v>25.87</v>
      </c>
      <c r="H111">
        <v>85.54</v>
      </c>
      <c r="I111">
        <v>21.07</v>
      </c>
      <c r="J111">
        <v>69.680000000000007</v>
      </c>
      <c r="K111">
        <v>2</v>
      </c>
      <c r="T111">
        <v>3</v>
      </c>
      <c r="U111">
        <v>2</v>
      </c>
      <c r="V111" t="s">
        <v>93</v>
      </c>
      <c r="W111">
        <v>85</v>
      </c>
      <c r="X111">
        <v>11</v>
      </c>
      <c r="Y111">
        <v>10</v>
      </c>
      <c r="Z111" t="s">
        <v>308</v>
      </c>
      <c r="AA111" t="s">
        <v>309</v>
      </c>
      <c r="AB111" t="s">
        <v>96</v>
      </c>
      <c r="AC111" t="s">
        <v>97</v>
      </c>
      <c r="AD111" t="s">
        <v>142</v>
      </c>
      <c r="AG111" t="s">
        <v>310</v>
      </c>
      <c r="AH111">
        <v>0</v>
      </c>
      <c r="AI111">
        <v>295</v>
      </c>
      <c r="AJ111">
        <v>50</v>
      </c>
      <c r="AK111">
        <v>18</v>
      </c>
      <c r="AL111">
        <v>0.95</v>
      </c>
    </row>
    <row r="112" spans="1:38" x14ac:dyDescent="0.3">
      <c r="A112" t="s">
        <v>136</v>
      </c>
      <c r="B112">
        <v>13246</v>
      </c>
      <c r="C112">
        <v>3</v>
      </c>
      <c r="D112" t="s">
        <v>306</v>
      </c>
      <c r="E112" t="s">
        <v>307</v>
      </c>
      <c r="F112">
        <v>19</v>
      </c>
      <c r="G112">
        <v>27.27</v>
      </c>
      <c r="H112">
        <v>90.15</v>
      </c>
      <c r="I112">
        <v>22.21</v>
      </c>
      <c r="J112">
        <v>73.430000000000007</v>
      </c>
      <c r="K112">
        <v>2</v>
      </c>
      <c r="T112">
        <v>3</v>
      </c>
      <c r="U112">
        <v>2</v>
      </c>
      <c r="V112" t="s">
        <v>93</v>
      </c>
      <c r="W112">
        <v>90</v>
      </c>
      <c r="X112">
        <v>11</v>
      </c>
      <c r="Y112">
        <v>10</v>
      </c>
      <c r="Z112" t="s">
        <v>308</v>
      </c>
      <c r="AA112" t="s">
        <v>309</v>
      </c>
      <c r="AB112" t="s">
        <v>96</v>
      </c>
      <c r="AC112" t="s">
        <v>97</v>
      </c>
      <c r="AD112" t="s">
        <v>142</v>
      </c>
      <c r="AG112" t="s">
        <v>310</v>
      </c>
      <c r="AH112">
        <v>0</v>
      </c>
      <c r="AI112">
        <v>295</v>
      </c>
      <c r="AJ112">
        <v>50</v>
      </c>
      <c r="AK112">
        <v>18</v>
      </c>
      <c r="AL112">
        <v>0.95</v>
      </c>
    </row>
    <row r="113" spans="1:38" x14ac:dyDescent="0.3">
      <c r="A113" t="s">
        <v>136</v>
      </c>
      <c r="B113">
        <v>13246</v>
      </c>
      <c r="C113">
        <v>4</v>
      </c>
      <c r="D113" t="s">
        <v>306</v>
      </c>
      <c r="E113" t="s">
        <v>307</v>
      </c>
      <c r="F113">
        <v>19</v>
      </c>
      <c r="G113">
        <v>28.75</v>
      </c>
      <c r="H113">
        <v>95.06</v>
      </c>
      <c r="I113">
        <v>23.42</v>
      </c>
      <c r="J113">
        <v>77.430000000000007</v>
      </c>
      <c r="K113">
        <v>2</v>
      </c>
      <c r="T113">
        <v>3</v>
      </c>
      <c r="U113">
        <v>2</v>
      </c>
      <c r="V113" t="s">
        <v>93</v>
      </c>
      <c r="W113">
        <v>95</v>
      </c>
      <c r="X113">
        <v>11</v>
      </c>
      <c r="Y113">
        <v>10</v>
      </c>
      <c r="Z113" t="s">
        <v>308</v>
      </c>
      <c r="AA113" t="s">
        <v>309</v>
      </c>
      <c r="AB113" t="s">
        <v>96</v>
      </c>
      <c r="AC113" t="s">
        <v>97</v>
      </c>
      <c r="AD113" t="s">
        <v>142</v>
      </c>
      <c r="AG113" t="s">
        <v>310</v>
      </c>
      <c r="AH113">
        <v>0</v>
      </c>
      <c r="AI113">
        <v>295</v>
      </c>
      <c r="AJ113">
        <v>50</v>
      </c>
      <c r="AK113">
        <v>18</v>
      </c>
      <c r="AL113">
        <v>0.95</v>
      </c>
    </row>
    <row r="114" spans="1:38" x14ac:dyDescent="0.3">
      <c r="A114" t="s">
        <v>136</v>
      </c>
      <c r="B114">
        <v>13246</v>
      </c>
      <c r="C114">
        <v>5</v>
      </c>
      <c r="D114" t="s">
        <v>306</v>
      </c>
      <c r="E114" t="s">
        <v>307</v>
      </c>
      <c r="F114">
        <v>19</v>
      </c>
      <c r="G114">
        <v>31.56</v>
      </c>
      <c r="H114">
        <v>104.35</v>
      </c>
      <c r="I114">
        <v>25.7</v>
      </c>
      <c r="J114">
        <v>84.99</v>
      </c>
      <c r="K114">
        <v>12</v>
      </c>
      <c r="T114">
        <v>3</v>
      </c>
      <c r="U114">
        <v>2</v>
      </c>
      <c r="V114" t="s">
        <v>93</v>
      </c>
      <c r="W114">
        <v>104</v>
      </c>
      <c r="X114">
        <v>11</v>
      </c>
      <c r="Y114">
        <v>10</v>
      </c>
      <c r="Z114" t="s">
        <v>308</v>
      </c>
      <c r="AA114" t="s">
        <v>309</v>
      </c>
      <c r="AB114" t="s">
        <v>96</v>
      </c>
      <c r="AC114" t="s">
        <v>97</v>
      </c>
      <c r="AD114" t="s">
        <v>142</v>
      </c>
      <c r="AG114" t="s">
        <v>310</v>
      </c>
      <c r="AH114">
        <v>0</v>
      </c>
      <c r="AI114">
        <v>295</v>
      </c>
      <c r="AJ114">
        <v>50</v>
      </c>
      <c r="AK114">
        <v>18</v>
      </c>
      <c r="AL114">
        <v>0.95</v>
      </c>
    </row>
    <row r="115" spans="1:38" x14ac:dyDescent="0.3">
      <c r="A115" t="s">
        <v>136</v>
      </c>
      <c r="B115">
        <v>109199</v>
      </c>
      <c r="C115">
        <v>1</v>
      </c>
      <c r="D115" t="s">
        <v>311</v>
      </c>
      <c r="E115" t="s">
        <v>312</v>
      </c>
      <c r="F115">
        <v>56</v>
      </c>
      <c r="G115">
        <v>21.26</v>
      </c>
      <c r="H115">
        <v>70.3</v>
      </c>
      <c r="I115">
        <v>17</v>
      </c>
      <c r="J115">
        <v>56.22</v>
      </c>
      <c r="K115">
        <v>14</v>
      </c>
      <c r="T115">
        <v>3</v>
      </c>
      <c r="U115">
        <v>2</v>
      </c>
      <c r="V115" t="s">
        <v>93</v>
      </c>
      <c r="W115">
        <v>70</v>
      </c>
      <c r="X115">
        <v>15</v>
      </c>
      <c r="Y115">
        <v>15</v>
      </c>
      <c r="Z115" t="s">
        <v>313</v>
      </c>
      <c r="AA115" t="s">
        <v>314</v>
      </c>
      <c r="AB115" t="s">
        <v>96</v>
      </c>
      <c r="AC115" t="s">
        <v>97</v>
      </c>
      <c r="AD115" t="s">
        <v>142</v>
      </c>
      <c r="AG115" t="s">
        <v>315</v>
      </c>
      <c r="AH115">
        <v>0</v>
      </c>
      <c r="AI115">
        <v>699</v>
      </c>
      <c r="AJ115">
        <v>75</v>
      </c>
      <c r="AK115">
        <v>58</v>
      </c>
      <c r="AL115">
        <v>1.04</v>
      </c>
    </row>
    <row r="116" spans="1:38" x14ac:dyDescent="0.3">
      <c r="A116" t="s">
        <v>136</v>
      </c>
      <c r="B116">
        <v>109199</v>
      </c>
      <c r="C116">
        <v>2</v>
      </c>
      <c r="D116" t="s">
        <v>311</v>
      </c>
      <c r="E116" t="s">
        <v>312</v>
      </c>
      <c r="F116">
        <v>56</v>
      </c>
      <c r="G116">
        <v>24.26</v>
      </c>
      <c r="H116">
        <v>80.2</v>
      </c>
      <c r="I116">
        <v>19.46</v>
      </c>
      <c r="J116">
        <v>64.36</v>
      </c>
      <c r="K116">
        <v>14</v>
      </c>
      <c r="T116">
        <v>3</v>
      </c>
      <c r="U116">
        <v>2</v>
      </c>
      <c r="V116" t="s">
        <v>93</v>
      </c>
      <c r="W116">
        <v>80</v>
      </c>
      <c r="X116">
        <v>15</v>
      </c>
      <c r="Y116">
        <v>15</v>
      </c>
      <c r="Z116" t="s">
        <v>313</v>
      </c>
      <c r="AA116" t="s">
        <v>314</v>
      </c>
      <c r="AB116" t="s">
        <v>96</v>
      </c>
      <c r="AC116" t="s">
        <v>97</v>
      </c>
      <c r="AD116" t="s">
        <v>142</v>
      </c>
      <c r="AG116" t="s">
        <v>315</v>
      </c>
      <c r="AH116">
        <v>0</v>
      </c>
      <c r="AI116">
        <v>699</v>
      </c>
      <c r="AJ116">
        <v>75</v>
      </c>
      <c r="AK116">
        <v>58</v>
      </c>
      <c r="AL116">
        <v>1.04</v>
      </c>
    </row>
    <row r="117" spans="1:38" x14ac:dyDescent="0.3">
      <c r="A117" t="s">
        <v>136</v>
      </c>
      <c r="B117">
        <v>109199</v>
      </c>
      <c r="C117">
        <v>3</v>
      </c>
      <c r="D117" t="s">
        <v>311</v>
      </c>
      <c r="E117" t="s">
        <v>312</v>
      </c>
      <c r="F117">
        <v>56</v>
      </c>
      <c r="G117">
        <v>24.87</v>
      </c>
      <c r="H117">
        <v>82.24</v>
      </c>
      <c r="I117">
        <v>19.93</v>
      </c>
      <c r="J117">
        <v>65.900000000000006</v>
      </c>
      <c r="K117">
        <v>14</v>
      </c>
      <c r="T117">
        <v>3</v>
      </c>
      <c r="U117">
        <v>2</v>
      </c>
      <c r="V117" t="s">
        <v>93</v>
      </c>
      <c r="W117">
        <v>82</v>
      </c>
      <c r="X117">
        <v>15</v>
      </c>
      <c r="Y117">
        <v>15</v>
      </c>
      <c r="Z117" t="s">
        <v>313</v>
      </c>
      <c r="AA117" t="s">
        <v>314</v>
      </c>
      <c r="AB117" t="s">
        <v>96</v>
      </c>
      <c r="AC117" t="s">
        <v>97</v>
      </c>
      <c r="AD117" t="s">
        <v>142</v>
      </c>
      <c r="AG117" t="s">
        <v>315</v>
      </c>
      <c r="AH117">
        <v>0</v>
      </c>
      <c r="AI117">
        <v>699</v>
      </c>
      <c r="AJ117">
        <v>75</v>
      </c>
      <c r="AK117">
        <v>58</v>
      </c>
      <c r="AL117">
        <v>1.04</v>
      </c>
    </row>
    <row r="118" spans="1:38" x14ac:dyDescent="0.3">
      <c r="A118" t="s">
        <v>136</v>
      </c>
      <c r="B118">
        <v>109199</v>
      </c>
      <c r="C118">
        <v>4</v>
      </c>
      <c r="D118" t="s">
        <v>311</v>
      </c>
      <c r="E118" t="s">
        <v>312</v>
      </c>
      <c r="F118">
        <v>56</v>
      </c>
      <c r="G118">
        <v>27.51</v>
      </c>
      <c r="H118">
        <v>90.95</v>
      </c>
      <c r="I118">
        <v>22.21</v>
      </c>
      <c r="J118">
        <v>73.430000000000007</v>
      </c>
      <c r="K118">
        <v>14</v>
      </c>
      <c r="T118">
        <v>3</v>
      </c>
      <c r="U118">
        <v>2</v>
      </c>
      <c r="V118" t="s">
        <v>93</v>
      </c>
      <c r="W118">
        <v>90</v>
      </c>
      <c r="X118">
        <v>15</v>
      </c>
      <c r="Y118">
        <v>15</v>
      </c>
      <c r="Z118" t="s">
        <v>313</v>
      </c>
      <c r="AA118" t="s">
        <v>314</v>
      </c>
      <c r="AB118" t="s">
        <v>96</v>
      </c>
      <c r="AC118" t="s">
        <v>97</v>
      </c>
      <c r="AD118" t="s">
        <v>142</v>
      </c>
      <c r="AG118" t="s">
        <v>315</v>
      </c>
      <c r="AH118">
        <v>0</v>
      </c>
      <c r="AI118">
        <v>699</v>
      </c>
      <c r="AJ118">
        <v>75</v>
      </c>
      <c r="AK118">
        <v>58</v>
      </c>
      <c r="AL118">
        <v>1.04</v>
      </c>
    </row>
    <row r="119" spans="1:38" x14ac:dyDescent="0.3">
      <c r="A119" t="s">
        <v>136</v>
      </c>
      <c r="B119">
        <v>13312</v>
      </c>
      <c r="C119">
        <v>1</v>
      </c>
      <c r="D119" t="s">
        <v>316</v>
      </c>
      <c r="E119" t="s">
        <v>317</v>
      </c>
      <c r="F119">
        <v>16</v>
      </c>
      <c r="G119">
        <v>23.64</v>
      </c>
      <c r="H119">
        <v>78.150000000000006</v>
      </c>
      <c r="I119">
        <v>19.010000000000002</v>
      </c>
      <c r="J119">
        <v>62.85</v>
      </c>
      <c r="K119">
        <v>8</v>
      </c>
      <c r="T119">
        <v>3</v>
      </c>
      <c r="U119">
        <v>2</v>
      </c>
      <c r="V119" t="s">
        <v>93</v>
      </c>
      <c r="W119" t="s">
        <v>318</v>
      </c>
      <c r="X119">
        <v>7</v>
      </c>
      <c r="Y119">
        <v>7</v>
      </c>
      <c r="Z119" t="s">
        <v>319</v>
      </c>
      <c r="AA119" t="s">
        <v>320</v>
      </c>
      <c r="AB119" t="s">
        <v>96</v>
      </c>
      <c r="AC119" t="s">
        <v>97</v>
      </c>
      <c r="AD119" t="s">
        <v>142</v>
      </c>
      <c r="AG119" t="s">
        <v>321</v>
      </c>
      <c r="AH119">
        <v>0</v>
      </c>
      <c r="AI119">
        <v>516</v>
      </c>
      <c r="AJ119">
        <v>79</v>
      </c>
      <c r="AK119">
        <v>8</v>
      </c>
      <c r="AL119">
        <v>0.5</v>
      </c>
    </row>
    <row r="120" spans="1:38" x14ac:dyDescent="0.3">
      <c r="A120" t="s">
        <v>136</v>
      </c>
      <c r="B120">
        <v>13312</v>
      </c>
      <c r="C120">
        <v>2</v>
      </c>
      <c r="D120" t="s">
        <v>316</v>
      </c>
      <c r="E120" t="s">
        <v>317</v>
      </c>
      <c r="F120">
        <v>16</v>
      </c>
      <c r="G120">
        <v>24.43</v>
      </c>
      <c r="H120">
        <v>80.790000000000006</v>
      </c>
      <c r="I120">
        <v>19.649999999999999</v>
      </c>
      <c r="J120">
        <v>64.97</v>
      </c>
      <c r="K120">
        <v>8</v>
      </c>
      <c r="T120">
        <v>3</v>
      </c>
      <c r="U120">
        <v>2</v>
      </c>
      <c r="V120" t="s">
        <v>93</v>
      </c>
      <c r="W120" t="s">
        <v>322</v>
      </c>
      <c r="X120">
        <v>7</v>
      </c>
      <c r="Y120">
        <v>7</v>
      </c>
      <c r="Z120" t="s">
        <v>319</v>
      </c>
      <c r="AA120" t="s">
        <v>320</v>
      </c>
      <c r="AB120" t="s">
        <v>96</v>
      </c>
      <c r="AC120" t="s">
        <v>97</v>
      </c>
      <c r="AD120" t="s">
        <v>142</v>
      </c>
      <c r="AG120" t="s">
        <v>321</v>
      </c>
      <c r="AH120">
        <v>0</v>
      </c>
      <c r="AI120">
        <v>516</v>
      </c>
      <c r="AJ120">
        <v>79</v>
      </c>
      <c r="AK120">
        <v>8</v>
      </c>
      <c r="AL120">
        <v>0.5</v>
      </c>
    </row>
    <row r="121" spans="1:38" x14ac:dyDescent="0.3">
      <c r="A121" t="s">
        <v>136</v>
      </c>
      <c r="B121">
        <v>23655</v>
      </c>
      <c r="C121">
        <v>1</v>
      </c>
      <c r="D121" t="s">
        <v>323</v>
      </c>
      <c r="E121" t="s">
        <v>264</v>
      </c>
      <c r="F121">
        <v>30</v>
      </c>
      <c r="G121">
        <v>24.95</v>
      </c>
      <c r="H121">
        <v>82.51</v>
      </c>
      <c r="I121">
        <v>21.12</v>
      </c>
      <c r="J121">
        <v>69.84</v>
      </c>
      <c r="K121">
        <v>30</v>
      </c>
      <c r="T121">
        <v>3</v>
      </c>
      <c r="U121">
        <v>1</v>
      </c>
      <c r="V121" t="s">
        <v>93</v>
      </c>
      <c r="W121">
        <v>82</v>
      </c>
      <c r="X121">
        <v>5</v>
      </c>
      <c r="Y121">
        <v>5</v>
      </c>
      <c r="Z121" t="s">
        <v>324</v>
      </c>
      <c r="AA121" t="s">
        <v>325</v>
      </c>
      <c r="AB121" t="s">
        <v>96</v>
      </c>
      <c r="AC121" t="s">
        <v>97</v>
      </c>
      <c r="AD121" t="s">
        <v>142</v>
      </c>
      <c r="AG121" t="s">
        <v>326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136</v>
      </c>
      <c r="B122">
        <v>142900</v>
      </c>
      <c r="C122">
        <v>1</v>
      </c>
      <c r="D122" t="s">
        <v>327</v>
      </c>
      <c r="E122" t="s">
        <v>328</v>
      </c>
      <c r="F122">
        <v>9</v>
      </c>
      <c r="G122">
        <v>19.170000000000002</v>
      </c>
      <c r="H122">
        <v>63.38</v>
      </c>
      <c r="I122">
        <v>15.4</v>
      </c>
      <c r="J122">
        <v>50.93</v>
      </c>
      <c r="K122">
        <v>3</v>
      </c>
      <c r="T122">
        <v>2</v>
      </c>
      <c r="U122">
        <v>1</v>
      </c>
      <c r="V122" t="s">
        <v>93</v>
      </c>
      <c r="W122">
        <v>63</v>
      </c>
      <c r="X122">
        <v>4</v>
      </c>
      <c r="Y122">
        <v>4</v>
      </c>
      <c r="Z122" t="s">
        <v>329</v>
      </c>
      <c r="AA122" t="s">
        <v>330</v>
      </c>
      <c r="AB122" t="s">
        <v>96</v>
      </c>
      <c r="AC122" t="s">
        <v>97</v>
      </c>
      <c r="AD122" t="s">
        <v>142</v>
      </c>
      <c r="AG122" t="s">
        <v>331</v>
      </c>
      <c r="AH122">
        <v>0</v>
      </c>
      <c r="AI122">
        <v>459</v>
      </c>
      <c r="AJ122">
        <v>59</v>
      </c>
      <c r="AK122">
        <v>9</v>
      </c>
      <c r="AL122">
        <v>1</v>
      </c>
    </row>
    <row r="123" spans="1:38" x14ac:dyDescent="0.3">
      <c r="A123" t="s">
        <v>136</v>
      </c>
      <c r="B123">
        <v>142900</v>
      </c>
      <c r="C123">
        <v>2</v>
      </c>
      <c r="D123" t="s">
        <v>327</v>
      </c>
      <c r="E123" t="s">
        <v>328</v>
      </c>
      <c r="F123">
        <v>9</v>
      </c>
      <c r="G123">
        <v>19.61</v>
      </c>
      <c r="H123">
        <v>64.83</v>
      </c>
      <c r="I123">
        <v>15.6</v>
      </c>
      <c r="J123">
        <v>51.58</v>
      </c>
      <c r="K123">
        <v>3</v>
      </c>
      <c r="T123">
        <v>3</v>
      </c>
      <c r="U123">
        <v>1</v>
      </c>
      <c r="V123" t="s">
        <v>93</v>
      </c>
      <c r="W123" t="s">
        <v>279</v>
      </c>
      <c r="X123">
        <v>4</v>
      </c>
      <c r="Y123">
        <v>4</v>
      </c>
      <c r="Z123" t="s">
        <v>329</v>
      </c>
      <c r="AA123" t="s">
        <v>330</v>
      </c>
      <c r="AB123" t="s">
        <v>96</v>
      </c>
      <c r="AC123" t="s">
        <v>97</v>
      </c>
      <c r="AD123" t="s">
        <v>142</v>
      </c>
      <c r="AG123" t="s">
        <v>331</v>
      </c>
      <c r="AH123">
        <v>0</v>
      </c>
      <c r="AI123">
        <v>459</v>
      </c>
      <c r="AJ123">
        <v>59</v>
      </c>
      <c r="AK123">
        <v>9</v>
      </c>
      <c r="AL123">
        <v>1</v>
      </c>
    </row>
    <row r="124" spans="1:38" x14ac:dyDescent="0.3">
      <c r="A124" t="s">
        <v>136</v>
      </c>
      <c r="B124">
        <v>142900</v>
      </c>
      <c r="C124">
        <v>3</v>
      </c>
      <c r="D124" t="s">
        <v>327</v>
      </c>
      <c r="E124" t="s">
        <v>328</v>
      </c>
      <c r="F124">
        <v>9</v>
      </c>
      <c r="G124">
        <v>19.91</v>
      </c>
      <c r="H124">
        <v>65.84</v>
      </c>
      <c r="I124">
        <v>16.079999999999998</v>
      </c>
      <c r="J124">
        <v>53.19</v>
      </c>
      <c r="K124">
        <v>3</v>
      </c>
      <c r="T124">
        <v>3</v>
      </c>
      <c r="U124">
        <v>1</v>
      </c>
      <c r="V124" t="s">
        <v>93</v>
      </c>
      <c r="W124" t="s">
        <v>196</v>
      </c>
      <c r="X124">
        <v>4</v>
      </c>
      <c r="Y124">
        <v>4</v>
      </c>
      <c r="Z124" t="s">
        <v>329</v>
      </c>
      <c r="AA124" t="s">
        <v>330</v>
      </c>
      <c r="AB124" t="s">
        <v>96</v>
      </c>
      <c r="AC124" t="s">
        <v>97</v>
      </c>
      <c r="AD124" t="s">
        <v>142</v>
      </c>
      <c r="AG124" t="s">
        <v>331</v>
      </c>
      <c r="AH124">
        <v>0</v>
      </c>
      <c r="AI124">
        <v>459</v>
      </c>
      <c r="AJ124">
        <v>59</v>
      </c>
      <c r="AK124">
        <v>9</v>
      </c>
      <c r="AL124">
        <v>1</v>
      </c>
    </row>
    <row r="125" spans="1:38" x14ac:dyDescent="0.3">
      <c r="A125" t="s">
        <v>136</v>
      </c>
      <c r="B125">
        <v>126169</v>
      </c>
      <c r="C125">
        <v>1</v>
      </c>
      <c r="D125" t="s">
        <v>332</v>
      </c>
      <c r="E125" t="s">
        <v>333</v>
      </c>
      <c r="F125">
        <v>32</v>
      </c>
      <c r="G125">
        <v>22.4</v>
      </c>
      <c r="H125">
        <v>74.069999999999993</v>
      </c>
      <c r="I125">
        <v>17.489999999999998</v>
      </c>
      <c r="J125">
        <v>57.84</v>
      </c>
      <c r="K125">
        <v>16</v>
      </c>
      <c r="T125">
        <v>3</v>
      </c>
      <c r="U125">
        <v>2</v>
      </c>
      <c r="V125" t="s">
        <v>93</v>
      </c>
      <c r="W125">
        <v>74</v>
      </c>
      <c r="X125">
        <v>18</v>
      </c>
      <c r="Y125">
        <v>18</v>
      </c>
      <c r="Z125" t="s">
        <v>334</v>
      </c>
      <c r="AA125" t="s">
        <v>335</v>
      </c>
      <c r="AB125" t="s">
        <v>96</v>
      </c>
      <c r="AC125" t="s">
        <v>97</v>
      </c>
      <c r="AD125" t="s">
        <v>142</v>
      </c>
      <c r="AG125" t="s">
        <v>336</v>
      </c>
      <c r="AH125">
        <v>0</v>
      </c>
      <c r="AI125">
        <v>849</v>
      </c>
      <c r="AJ125">
        <v>77</v>
      </c>
      <c r="AK125">
        <v>31</v>
      </c>
      <c r="AL125">
        <v>0.97</v>
      </c>
    </row>
    <row r="126" spans="1:38" x14ac:dyDescent="0.3">
      <c r="A126" t="s">
        <v>136</v>
      </c>
      <c r="B126">
        <v>126169</v>
      </c>
      <c r="C126">
        <v>2</v>
      </c>
      <c r="D126" t="s">
        <v>332</v>
      </c>
      <c r="E126" t="s">
        <v>333</v>
      </c>
      <c r="F126">
        <v>32</v>
      </c>
      <c r="G126">
        <v>25.42</v>
      </c>
      <c r="H126">
        <v>84.04</v>
      </c>
      <c r="I126">
        <v>20.02</v>
      </c>
      <c r="J126">
        <v>66.2</v>
      </c>
      <c r="K126">
        <v>16</v>
      </c>
      <c r="T126">
        <v>3</v>
      </c>
      <c r="U126">
        <v>2</v>
      </c>
      <c r="V126" t="s">
        <v>93</v>
      </c>
      <c r="W126">
        <v>84</v>
      </c>
      <c r="X126">
        <v>18</v>
      </c>
      <c r="Y126">
        <v>18</v>
      </c>
      <c r="Z126" t="s">
        <v>334</v>
      </c>
      <c r="AA126" t="s">
        <v>335</v>
      </c>
      <c r="AB126" t="s">
        <v>96</v>
      </c>
      <c r="AC126" t="s">
        <v>97</v>
      </c>
      <c r="AD126" t="s">
        <v>142</v>
      </c>
      <c r="AG126" t="s">
        <v>336</v>
      </c>
      <c r="AH126">
        <v>0</v>
      </c>
      <c r="AI126">
        <v>849</v>
      </c>
      <c r="AJ126">
        <v>77</v>
      </c>
      <c r="AK126">
        <v>31</v>
      </c>
      <c r="AL126">
        <v>0.97</v>
      </c>
    </row>
    <row r="127" spans="1:38" x14ac:dyDescent="0.3">
      <c r="A127" t="s">
        <v>136</v>
      </c>
      <c r="B127">
        <v>112088</v>
      </c>
      <c r="C127">
        <v>1</v>
      </c>
      <c r="D127" t="s">
        <v>337</v>
      </c>
      <c r="E127" t="s">
        <v>338</v>
      </c>
      <c r="F127">
        <v>26</v>
      </c>
      <c r="G127">
        <v>22.55</v>
      </c>
      <c r="H127">
        <v>74.569999999999993</v>
      </c>
      <c r="I127">
        <v>17.59</v>
      </c>
      <c r="J127">
        <v>58.18</v>
      </c>
      <c r="K127">
        <v>13</v>
      </c>
      <c r="T127">
        <v>3</v>
      </c>
      <c r="U127">
        <v>1</v>
      </c>
      <c r="V127" t="s">
        <v>93</v>
      </c>
      <c r="W127">
        <v>74</v>
      </c>
      <c r="X127">
        <v>14</v>
      </c>
      <c r="Y127">
        <v>14</v>
      </c>
      <c r="Z127" t="s">
        <v>339</v>
      </c>
      <c r="AA127" t="s">
        <v>340</v>
      </c>
      <c r="AB127" t="s">
        <v>96</v>
      </c>
      <c r="AC127" t="s">
        <v>97</v>
      </c>
      <c r="AD127" t="s">
        <v>142</v>
      </c>
      <c r="AG127" t="s">
        <v>341</v>
      </c>
      <c r="AH127">
        <v>0</v>
      </c>
      <c r="AI127">
        <v>837</v>
      </c>
      <c r="AJ127">
        <v>78</v>
      </c>
      <c r="AK127">
        <v>24</v>
      </c>
      <c r="AL127">
        <v>0.92</v>
      </c>
    </row>
    <row r="128" spans="1:38" x14ac:dyDescent="0.3">
      <c r="A128" t="s">
        <v>136</v>
      </c>
      <c r="B128">
        <v>112088</v>
      </c>
      <c r="C128">
        <v>2</v>
      </c>
      <c r="D128" t="s">
        <v>337</v>
      </c>
      <c r="E128" t="s">
        <v>338</v>
      </c>
      <c r="F128">
        <v>26</v>
      </c>
      <c r="G128">
        <v>24.44</v>
      </c>
      <c r="H128">
        <v>80.819999999999993</v>
      </c>
      <c r="I128">
        <v>19.3</v>
      </c>
      <c r="J128">
        <v>63.82</v>
      </c>
      <c r="K128">
        <v>13</v>
      </c>
      <c r="T128">
        <v>3</v>
      </c>
      <c r="U128">
        <v>1</v>
      </c>
      <c r="V128" t="s">
        <v>93</v>
      </c>
      <c r="W128">
        <v>80</v>
      </c>
      <c r="X128">
        <v>14</v>
      </c>
      <c r="Y128">
        <v>14</v>
      </c>
      <c r="Z128" t="s">
        <v>339</v>
      </c>
      <c r="AA128" t="s">
        <v>340</v>
      </c>
      <c r="AB128" t="s">
        <v>96</v>
      </c>
      <c r="AC128" t="s">
        <v>97</v>
      </c>
      <c r="AD128" t="s">
        <v>142</v>
      </c>
      <c r="AG128" t="s">
        <v>341</v>
      </c>
      <c r="AH128">
        <v>0</v>
      </c>
      <c r="AI128">
        <v>837</v>
      </c>
      <c r="AJ128">
        <v>78</v>
      </c>
      <c r="AK128">
        <v>24</v>
      </c>
      <c r="AL128">
        <v>0.92</v>
      </c>
    </row>
    <row r="129" spans="1:38" x14ac:dyDescent="0.3">
      <c r="A129" t="s">
        <v>136</v>
      </c>
      <c r="B129">
        <v>130612</v>
      </c>
      <c r="C129">
        <v>1</v>
      </c>
      <c r="D129" t="s">
        <v>342</v>
      </c>
      <c r="E129" t="s">
        <v>343</v>
      </c>
      <c r="F129">
        <v>16</v>
      </c>
      <c r="G129">
        <v>15.39</v>
      </c>
      <c r="H129">
        <v>50.88</v>
      </c>
      <c r="I129">
        <v>13.47</v>
      </c>
      <c r="J129">
        <v>44.55</v>
      </c>
      <c r="K129">
        <v>8</v>
      </c>
      <c r="T129">
        <v>2</v>
      </c>
      <c r="U129">
        <v>1</v>
      </c>
      <c r="V129" t="s">
        <v>93</v>
      </c>
      <c r="W129">
        <v>50</v>
      </c>
      <c r="X129">
        <v>5</v>
      </c>
      <c r="Y129">
        <v>5</v>
      </c>
      <c r="Z129" t="s">
        <v>344</v>
      </c>
      <c r="AA129" t="s">
        <v>345</v>
      </c>
      <c r="AB129" t="s">
        <v>96</v>
      </c>
      <c r="AC129" t="s">
        <v>97</v>
      </c>
      <c r="AD129" t="s">
        <v>142</v>
      </c>
      <c r="AG129" t="s">
        <v>346</v>
      </c>
      <c r="AH129">
        <v>0</v>
      </c>
      <c r="AI129">
        <v>242</v>
      </c>
      <c r="AJ129">
        <v>57</v>
      </c>
      <c r="AK129">
        <v>6</v>
      </c>
      <c r="AL129">
        <v>0.38</v>
      </c>
    </row>
    <row r="130" spans="1:38" x14ac:dyDescent="0.3">
      <c r="A130" t="s">
        <v>136</v>
      </c>
      <c r="B130">
        <v>130612</v>
      </c>
      <c r="C130">
        <v>2</v>
      </c>
      <c r="D130" t="s">
        <v>342</v>
      </c>
      <c r="E130" t="s">
        <v>343</v>
      </c>
      <c r="F130">
        <v>16</v>
      </c>
      <c r="G130">
        <v>19.93</v>
      </c>
      <c r="H130">
        <v>65.91</v>
      </c>
      <c r="I130">
        <v>18.02</v>
      </c>
      <c r="J130">
        <v>59.59</v>
      </c>
      <c r="K130">
        <v>4</v>
      </c>
      <c r="T130">
        <v>2</v>
      </c>
      <c r="U130">
        <v>1</v>
      </c>
      <c r="V130" t="s">
        <v>93</v>
      </c>
      <c r="W130" t="s">
        <v>197</v>
      </c>
      <c r="X130">
        <v>5</v>
      </c>
      <c r="Y130">
        <v>5</v>
      </c>
      <c r="Z130" t="s">
        <v>344</v>
      </c>
      <c r="AA130" t="s">
        <v>345</v>
      </c>
      <c r="AB130" t="s">
        <v>96</v>
      </c>
      <c r="AC130" t="s">
        <v>97</v>
      </c>
      <c r="AD130" t="s">
        <v>142</v>
      </c>
      <c r="AG130" t="s">
        <v>346</v>
      </c>
      <c r="AH130">
        <v>0</v>
      </c>
      <c r="AI130">
        <v>242</v>
      </c>
      <c r="AJ130">
        <v>57</v>
      </c>
      <c r="AK130">
        <v>6</v>
      </c>
      <c r="AL130">
        <v>0.38</v>
      </c>
    </row>
    <row r="131" spans="1:38" x14ac:dyDescent="0.3">
      <c r="A131" t="s">
        <v>136</v>
      </c>
      <c r="B131">
        <v>130612</v>
      </c>
      <c r="C131">
        <v>3</v>
      </c>
      <c r="D131" t="s">
        <v>342</v>
      </c>
      <c r="E131" t="s">
        <v>343</v>
      </c>
      <c r="F131">
        <v>16</v>
      </c>
      <c r="G131">
        <v>20.010000000000002</v>
      </c>
      <c r="H131">
        <v>66.180000000000007</v>
      </c>
      <c r="I131">
        <v>18.09</v>
      </c>
      <c r="J131">
        <v>59.83</v>
      </c>
      <c r="K131">
        <v>4</v>
      </c>
      <c r="T131">
        <v>3</v>
      </c>
      <c r="U131">
        <v>1</v>
      </c>
      <c r="V131" t="s">
        <v>93</v>
      </c>
      <c r="W131" t="s">
        <v>256</v>
      </c>
      <c r="X131">
        <v>5</v>
      </c>
      <c r="Y131">
        <v>5</v>
      </c>
      <c r="Z131" t="s">
        <v>344</v>
      </c>
      <c r="AA131" t="s">
        <v>345</v>
      </c>
      <c r="AB131" t="s">
        <v>96</v>
      </c>
      <c r="AC131" t="s">
        <v>97</v>
      </c>
      <c r="AD131" t="s">
        <v>142</v>
      </c>
      <c r="AG131" t="s">
        <v>346</v>
      </c>
      <c r="AH131">
        <v>0</v>
      </c>
      <c r="AI131">
        <v>242</v>
      </c>
      <c r="AJ131">
        <v>57</v>
      </c>
      <c r="AK131">
        <v>6</v>
      </c>
      <c r="AL131">
        <v>0.38</v>
      </c>
    </row>
    <row r="132" spans="1:38" x14ac:dyDescent="0.3">
      <c r="A132" t="s">
        <v>136</v>
      </c>
      <c r="B132">
        <v>116574</v>
      </c>
      <c r="C132">
        <v>1</v>
      </c>
      <c r="D132" t="s">
        <v>347</v>
      </c>
      <c r="E132" t="s">
        <v>348</v>
      </c>
      <c r="F132">
        <v>19</v>
      </c>
      <c r="G132">
        <v>17.37</v>
      </c>
      <c r="H132">
        <v>57.43</v>
      </c>
      <c r="I132">
        <v>13.14</v>
      </c>
      <c r="J132">
        <v>43.44</v>
      </c>
      <c r="K132">
        <v>5</v>
      </c>
      <c r="T132">
        <v>2</v>
      </c>
      <c r="U132">
        <v>1</v>
      </c>
      <c r="V132" t="s">
        <v>93</v>
      </c>
      <c r="W132" t="s">
        <v>349</v>
      </c>
      <c r="X132">
        <v>14</v>
      </c>
      <c r="Y132">
        <v>14</v>
      </c>
      <c r="Z132" t="s">
        <v>350</v>
      </c>
      <c r="AA132" t="s">
        <v>351</v>
      </c>
      <c r="AB132" t="s">
        <v>96</v>
      </c>
      <c r="AC132" t="s">
        <v>97</v>
      </c>
      <c r="AD132" t="s">
        <v>142</v>
      </c>
      <c r="AG132" t="s">
        <v>352</v>
      </c>
      <c r="AH132">
        <v>0</v>
      </c>
      <c r="AI132">
        <v>797</v>
      </c>
      <c r="AJ132">
        <v>73</v>
      </c>
      <c r="AK132">
        <v>15</v>
      </c>
      <c r="AL132">
        <v>0.79</v>
      </c>
    </row>
    <row r="133" spans="1:38" x14ac:dyDescent="0.3">
      <c r="A133" t="s">
        <v>136</v>
      </c>
      <c r="B133">
        <v>116574</v>
      </c>
      <c r="C133">
        <v>2</v>
      </c>
      <c r="D133" t="s">
        <v>347</v>
      </c>
      <c r="E133" t="s">
        <v>348</v>
      </c>
      <c r="F133">
        <v>19</v>
      </c>
      <c r="G133">
        <v>17.36</v>
      </c>
      <c r="H133">
        <v>57.42</v>
      </c>
      <c r="I133">
        <v>13.14</v>
      </c>
      <c r="J133">
        <v>43.44</v>
      </c>
      <c r="K133">
        <v>1</v>
      </c>
      <c r="T133">
        <v>2</v>
      </c>
      <c r="U133">
        <v>1</v>
      </c>
      <c r="V133" t="s">
        <v>93</v>
      </c>
      <c r="W133" t="s">
        <v>353</v>
      </c>
      <c r="X133">
        <v>14</v>
      </c>
      <c r="Y133">
        <v>14</v>
      </c>
      <c r="Z133" t="s">
        <v>350</v>
      </c>
      <c r="AA133" t="s">
        <v>351</v>
      </c>
      <c r="AB133" t="s">
        <v>96</v>
      </c>
      <c r="AC133" t="s">
        <v>97</v>
      </c>
      <c r="AD133" t="s">
        <v>142</v>
      </c>
      <c r="AG133" t="s">
        <v>352</v>
      </c>
      <c r="AH133">
        <v>0</v>
      </c>
      <c r="AI133">
        <v>797</v>
      </c>
      <c r="AJ133">
        <v>73</v>
      </c>
      <c r="AK133">
        <v>15</v>
      </c>
      <c r="AL133">
        <v>0.79</v>
      </c>
    </row>
    <row r="134" spans="1:38" x14ac:dyDescent="0.3">
      <c r="A134" t="s">
        <v>136</v>
      </c>
      <c r="B134">
        <v>116574</v>
      </c>
      <c r="C134">
        <v>3</v>
      </c>
      <c r="D134" t="s">
        <v>347</v>
      </c>
      <c r="E134" t="s">
        <v>348</v>
      </c>
      <c r="F134">
        <v>19</v>
      </c>
      <c r="G134">
        <v>23.86</v>
      </c>
      <c r="H134">
        <v>78.88</v>
      </c>
      <c r="I134">
        <v>18.12</v>
      </c>
      <c r="J134">
        <v>59.92</v>
      </c>
      <c r="K134">
        <v>7</v>
      </c>
      <c r="T134">
        <v>3</v>
      </c>
      <c r="U134">
        <v>1</v>
      </c>
      <c r="V134" t="s">
        <v>93</v>
      </c>
      <c r="W134" t="s">
        <v>318</v>
      </c>
      <c r="X134">
        <v>14</v>
      </c>
      <c r="Y134">
        <v>14</v>
      </c>
      <c r="Z134" t="s">
        <v>350</v>
      </c>
      <c r="AA134" t="s">
        <v>351</v>
      </c>
      <c r="AB134" t="s">
        <v>96</v>
      </c>
      <c r="AC134" t="s">
        <v>97</v>
      </c>
      <c r="AD134" t="s">
        <v>142</v>
      </c>
      <c r="AG134" t="s">
        <v>352</v>
      </c>
      <c r="AH134">
        <v>0</v>
      </c>
      <c r="AI134">
        <v>797</v>
      </c>
      <c r="AJ134">
        <v>73</v>
      </c>
      <c r="AK134">
        <v>15</v>
      </c>
      <c r="AL134">
        <v>0.79</v>
      </c>
    </row>
    <row r="135" spans="1:38" x14ac:dyDescent="0.3">
      <c r="A135" t="s">
        <v>136</v>
      </c>
      <c r="B135">
        <v>116574</v>
      </c>
      <c r="C135">
        <v>4</v>
      </c>
      <c r="D135" t="s">
        <v>347</v>
      </c>
      <c r="E135" t="s">
        <v>348</v>
      </c>
      <c r="F135">
        <v>19</v>
      </c>
      <c r="G135">
        <v>23.79</v>
      </c>
      <c r="H135">
        <v>78.67</v>
      </c>
      <c r="I135">
        <v>18.13</v>
      </c>
      <c r="J135">
        <v>59.95</v>
      </c>
      <c r="K135">
        <v>6</v>
      </c>
      <c r="T135">
        <v>3</v>
      </c>
      <c r="U135">
        <v>1</v>
      </c>
      <c r="V135" t="s">
        <v>93</v>
      </c>
      <c r="W135" t="s">
        <v>354</v>
      </c>
      <c r="X135">
        <v>14</v>
      </c>
      <c r="Y135">
        <v>14</v>
      </c>
      <c r="Z135" t="s">
        <v>350</v>
      </c>
      <c r="AA135" t="s">
        <v>351</v>
      </c>
      <c r="AB135" t="s">
        <v>96</v>
      </c>
      <c r="AC135" t="s">
        <v>97</v>
      </c>
      <c r="AD135" t="s">
        <v>142</v>
      </c>
      <c r="AG135" t="s">
        <v>352</v>
      </c>
      <c r="AH135">
        <v>0</v>
      </c>
      <c r="AI135">
        <v>797</v>
      </c>
      <c r="AJ135">
        <v>73</v>
      </c>
      <c r="AK135">
        <v>15</v>
      </c>
      <c r="AL135">
        <v>0.79</v>
      </c>
    </row>
    <row r="136" spans="1:38" x14ac:dyDescent="0.3">
      <c r="A136" t="s">
        <v>136</v>
      </c>
      <c r="B136">
        <v>8949</v>
      </c>
      <c r="C136">
        <v>1</v>
      </c>
      <c r="D136" t="s">
        <v>355</v>
      </c>
      <c r="E136" t="s">
        <v>259</v>
      </c>
      <c r="F136">
        <v>45</v>
      </c>
      <c r="G136">
        <v>29.66</v>
      </c>
      <c r="H136">
        <v>98.08</v>
      </c>
      <c r="I136">
        <v>25.43</v>
      </c>
      <c r="J136">
        <v>84.09</v>
      </c>
      <c r="K136">
        <v>16</v>
      </c>
      <c r="T136">
        <v>3</v>
      </c>
      <c r="U136">
        <v>2</v>
      </c>
      <c r="V136" t="s">
        <v>93</v>
      </c>
      <c r="W136" t="s">
        <v>356</v>
      </c>
      <c r="X136">
        <v>5</v>
      </c>
      <c r="Y136">
        <v>5</v>
      </c>
      <c r="Z136" t="s">
        <v>357</v>
      </c>
      <c r="AA136" t="s">
        <v>358</v>
      </c>
      <c r="AB136" t="s">
        <v>96</v>
      </c>
      <c r="AC136" t="s">
        <v>97</v>
      </c>
      <c r="AD136" t="s">
        <v>142</v>
      </c>
      <c r="AG136" t="s">
        <v>359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136</v>
      </c>
      <c r="B137">
        <v>8949</v>
      </c>
      <c r="C137">
        <v>2</v>
      </c>
      <c r="D137" t="s">
        <v>355</v>
      </c>
      <c r="E137" t="s">
        <v>259</v>
      </c>
      <c r="F137">
        <v>45</v>
      </c>
      <c r="G137">
        <v>29.66</v>
      </c>
      <c r="H137">
        <v>98.07</v>
      </c>
      <c r="I137">
        <v>25.43</v>
      </c>
      <c r="J137">
        <v>84.08</v>
      </c>
      <c r="K137">
        <v>4</v>
      </c>
      <c r="T137">
        <v>3</v>
      </c>
      <c r="U137">
        <v>2</v>
      </c>
      <c r="V137" t="s">
        <v>93</v>
      </c>
      <c r="W137" t="s">
        <v>360</v>
      </c>
      <c r="X137">
        <v>5</v>
      </c>
      <c r="Y137">
        <v>5</v>
      </c>
      <c r="Z137" t="s">
        <v>357</v>
      </c>
      <c r="AA137" t="s">
        <v>358</v>
      </c>
      <c r="AB137" t="s">
        <v>96</v>
      </c>
      <c r="AC137" t="s">
        <v>97</v>
      </c>
      <c r="AD137" t="s">
        <v>142</v>
      </c>
      <c r="AG137" t="s">
        <v>359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136</v>
      </c>
      <c r="B138">
        <v>8949</v>
      </c>
      <c r="C138">
        <v>3</v>
      </c>
      <c r="D138" t="s">
        <v>355</v>
      </c>
      <c r="E138" t="s">
        <v>259</v>
      </c>
      <c r="F138">
        <v>45</v>
      </c>
      <c r="G138">
        <v>30.75</v>
      </c>
      <c r="H138">
        <v>101.67</v>
      </c>
      <c r="I138">
        <v>26.59</v>
      </c>
      <c r="J138">
        <v>87.92</v>
      </c>
      <c r="K138">
        <v>20</v>
      </c>
      <c r="T138">
        <v>3</v>
      </c>
      <c r="U138">
        <v>2</v>
      </c>
      <c r="V138" t="s">
        <v>211</v>
      </c>
      <c r="W138">
        <v>101</v>
      </c>
      <c r="X138">
        <v>5</v>
      </c>
      <c r="Y138">
        <v>5</v>
      </c>
      <c r="Z138" t="s">
        <v>357</v>
      </c>
      <c r="AA138" t="s">
        <v>358</v>
      </c>
      <c r="AB138" t="s">
        <v>96</v>
      </c>
      <c r="AC138" t="s">
        <v>97</v>
      </c>
      <c r="AD138" t="s">
        <v>142</v>
      </c>
      <c r="AG138" t="s">
        <v>359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136</v>
      </c>
      <c r="B139">
        <v>8949</v>
      </c>
      <c r="C139">
        <v>4</v>
      </c>
      <c r="D139" t="s">
        <v>355</v>
      </c>
      <c r="E139" t="s">
        <v>259</v>
      </c>
      <c r="F139">
        <v>45</v>
      </c>
      <c r="G139">
        <v>32.93</v>
      </c>
      <c r="H139">
        <v>108.88</v>
      </c>
      <c r="I139">
        <v>28.7</v>
      </c>
      <c r="J139">
        <v>94.89</v>
      </c>
      <c r="K139">
        <v>5</v>
      </c>
      <c r="T139">
        <v>3</v>
      </c>
      <c r="U139">
        <v>2</v>
      </c>
      <c r="V139" t="s">
        <v>93</v>
      </c>
      <c r="W139">
        <v>108</v>
      </c>
      <c r="X139">
        <v>5</v>
      </c>
      <c r="Y139">
        <v>5</v>
      </c>
      <c r="Z139" t="s">
        <v>357</v>
      </c>
      <c r="AA139" t="s">
        <v>358</v>
      </c>
      <c r="AB139" t="s">
        <v>96</v>
      </c>
      <c r="AC139" t="s">
        <v>97</v>
      </c>
      <c r="AD139" t="s">
        <v>142</v>
      </c>
      <c r="AG139" t="s">
        <v>359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">
      <c r="A140" t="s">
        <v>136</v>
      </c>
      <c r="B140">
        <v>24210</v>
      </c>
      <c r="C140">
        <v>1</v>
      </c>
      <c r="D140" t="s">
        <v>361</v>
      </c>
      <c r="E140" t="s">
        <v>362</v>
      </c>
      <c r="F140">
        <v>50</v>
      </c>
      <c r="G140">
        <v>41.84</v>
      </c>
      <c r="H140">
        <v>138.32</v>
      </c>
      <c r="I140">
        <v>33.159999999999997</v>
      </c>
      <c r="J140">
        <v>109.63</v>
      </c>
      <c r="K140">
        <v>4</v>
      </c>
      <c r="T140">
        <v>3</v>
      </c>
      <c r="U140">
        <v>2</v>
      </c>
      <c r="V140" t="s">
        <v>132</v>
      </c>
      <c r="W140" t="s">
        <v>363</v>
      </c>
      <c r="X140">
        <v>15</v>
      </c>
      <c r="Y140">
        <v>15</v>
      </c>
      <c r="Z140" t="s">
        <v>364</v>
      </c>
      <c r="AA140" t="s">
        <v>365</v>
      </c>
      <c r="AB140" t="s">
        <v>96</v>
      </c>
      <c r="AC140" t="s">
        <v>97</v>
      </c>
      <c r="AD140" t="s">
        <v>142</v>
      </c>
      <c r="AG140" t="s">
        <v>366</v>
      </c>
      <c r="AH140">
        <v>0</v>
      </c>
      <c r="AI140">
        <v>689</v>
      </c>
      <c r="AJ140">
        <v>73</v>
      </c>
      <c r="AK140">
        <v>69</v>
      </c>
      <c r="AL140">
        <v>1.38</v>
      </c>
    </row>
    <row r="141" spans="1:38" x14ac:dyDescent="0.3">
      <c r="A141" t="s">
        <v>136</v>
      </c>
      <c r="B141">
        <v>24210</v>
      </c>
      <c r="C141">
        <v>2</v>
      </c>
      <c r="D141" t="s">
        <v>361</v>
      </c>
      <c r="E141" t="s">
        <v>362</v>
      </c>
      <c r="F141">
        <v>50</v>
      </c>
      <c r="G141">
        <v>42.35</v>
      </c>
      <c r="H141">
        <v>140.01</v>
      </c>
      <c r="I141">
        <v>31.16</v>
      </c>
      <c r="J141">
        <v>103.04</v>
      </c>
      <c r="K141">
        <v>6</v>
      </c>
      <c r="T141">
        <v>3</v>
      </c>
      <c r="U141">
        <v>2</v>
      </c>
      <c r="V141" t="s">
        <v>93</v>
      </c>
      <c r="W141" t="s">
        <v>367</v>
      </c>
      <c r="X141">
        <v>15</v>
      </c>
      <c r="Y141">
        <v>15</v>
      </c>
      <c r="Z141" t="s">
        <v>364</v>
      </c>
      <c r="AA141" t="s">
        <v>365</v>
      </c>
      <c r="AB141" t="s">
        <v>96</v>
      </c>
      <c r="AC141" t="s">
        <v>97</v>
      </c>
      <c r="AD141" t="s">
        <v>142</v>
      </c>
      <c r="AG141" t="s">
        <v>366</v>
      </c>
      <c r="AH141">
        <v>0</v>
      </c>
      <c r="AI141">
        <v>689</v>
      </c>
      <c r="AJ141">
        <v>73</v>
      </c>
      <c r="AK141">
        <v>69</v>
      </c>
      <c r="AL141">
        <v>1.38</v>
      </c>
    </row>
    <row r="142" spans="1:38" x14ac:dyDescent="0.3">
      <c r="A142" t="s">
        <v>136</v>
      </c>
      <c r="B142">
        <v>24210</v>
      </c>
      <c r="C142">
        <v>3</v>
      </c>
      <c r="D142" t="s">
        <v>361</v>
      </c>
      <c r="E142" t="s">
        <v>362</v>
      </c>
      <c r="F142">
        <v>50</v>
      </c>
      <c r="G142">
        <v>42.86</v>
      </c>
      <c r="H142">
        <v>141.69</v>
      </c>
      <c r="I142">
        <v>31.35</v>
      </c>
      <c r="J142">
        <v>103.66</v>
      </c>
      <c r="K142">
        <v>3</v>
      </c>
      <c r="T142">
        <v>3</v>
      </c>
      <c r="U142">
        <v>2</v>
      </c>
      <c r="V142" t="s">
        <v>93</v>
      </c>
      <c r="W142" t="s">
        <v>368</v>
      </c>
      <c r="X142">
        <v>15</v>
      </c>
      <c r="Y142">
        <v>15</v>
      </c>
      <c r="Z142" t="s">
        <v>364</v>
      </c>
      <c r="AA142" t="s">
        <v>365</v>
      </c>
      <c r="AB142" t="s">
        <v>96</v>
      </c>
      <c r="AC142" t="s">
        <v>97</v>
      </c>
      <c r="AD142" t="s">
        <v>142</v>
      </c>
      <c r="AG142" t="s">
        <v>366</v>
      </c>
      <c r="AH142">
        <v>0</v>
      </c>
      <c r="AI142">
        <v>689</v>
      </c>
      <c r="AJ142">
        <v>73</v>
      </c>
      <c r="AK142">
        <v>69</v>
      </c>
      <c r="AL142">
        <v>1.38</v>
      </c>
    </row>
    <row r="143" spans="1:38" x14ac:dyDescent="0.3">
      <c r="A143" t="s">
        <v>136</v>
      </c>
      <c r="B143">
        <v>24210</v>
      </c>
      <c r="C143">
        <v>4</v>
      </c>
      <c r="D143" t="s">
        <v>361</v>
      </c>
      <c r="E143" t="s">
        <v>362</v>
      </c>
      <c r="F143">
        <v>50</v>
      </c>
      <c r="G143">
        <v>43.24</v>
      </c>
      <c r="H143">
        <v>142.97</v>
      </c>
      <c r="I143">
        <v>31.64</v>
      </c>
      <c r="J143">
        <v>104.6</v>
      </c>
      <c r="K143">
        <v>3</v>
      </c>
      <c r="T143">
        <v>3</v>
      </c>
      <c r="U143">
        <v>2</v>
      </c>
      <c r="V143" t="s">
        <v>93</v>
      </c>
      <c r="W143" t="s">
        <v>369</v>
      </c>
      <c r="X143">
        <v>15</v>
      </c>
      <c r="Y143">
        <v>15</v>
      </c>
      <c r="Z143" t="s">
        <v>364</v>
      </c>
      <c r="AA143" t="s">
        <v>365</v>
      </c>
      <c r="AB143" t="s">
        <v>96</v>
      </c>
      <c r="AC143" t="s">
        <v>97</v>
      </c>
      <c r="AD143" t="s">
        <v>142</v>
      </c>
      <c r="AG143" t="s">
        <v>366</v>
      </c>
      <c r="AH143">
        <v>0</v>
      </c>
      <c r="AI143">
        <v>689</v>
      </c>
      <c r="AJ143">
        <v>73</v>
      </c>
      <c r="AK143">
        <v>69</v>
      </c>
      <c r="AL143">
        <v>1.38</v>
      </c>
    </row>
    <row r="144" spans="1:38" x14ac:dyDescent="0.3">
      <c r="A144" t="s">
        <v>136</v>
      </c>
      <c r="B144">
        <v>24210</v>
      </c>
      <c r="C144">
        <v>5</v>
      </c>
      <c r="D144" t="s">
        <v>361</v>
      </c>
      <c r="E144" t="s">
        <v>362</v>
      </c>
      <c r="F144">
        <v>50</v>
      </c>
      <c r="G144">
        <v>44.06</v>
      </c>
      <c r="H144">
        <v>145.66999999999999</v>
      </c>
      <c r="I144">
        <v>34.92</v>
      </c>
      <c r="J144">
        <v>115.45</v>
      </c>
      <c r="K144">
        <v>2</v>
      </c>
      <c r="T144">
        <v>4</v>
      </c>
      <c r="U144">
        <v>2</v>
      </c>
      <c r="V144" t="s">
        <v>93</v>
      </c>
      <c r="W144" t="s">
        <v>370</v>
      </c>
      <c r="X144">
        <v>15</v>
      </c>
      <c r="Y144">
        <v>15</v>
      </c>
      <c r="Z144" t="s">
        <v>364</v>
      </c>
      <c r="AA144" t="s">
        <v>365</v>
      </c>
      <c r="AB144" t="s">
        <v>96</v>
      </c>
      <c r="AC144" t="s">
        <v>97</v>
      </c>
      <c r="AD144" t="s">
        <v>142</v>
      </c>
      <c r="AG144" t="s">
        <v>366</v>
      </c>
      <c r="AH144">
        <v>0</v>
      </c>
      <c r="AI144">
        <v>689</v>
      </c>
      <c r="AJ144">
        <v>73</v>
      </c>
      <c r="AK144">
        <v>69</v>
      </c>
      <c r="AL144">
        <v>1.38</v>
      </c>
    </row>
    <row r="145" spans="1:38" x14ac:dyDescent="0.3">
      <c r="A145" t="s">
        <v>136</v>
      </c>
      <c r="B145">
        <v>24210</v>
      </c>
      <c r="C145">
        <v>6</v>
      </c>
      <c r="D145" t="s">
        <v>361</v>
      </c>
      <c r="E145" t="s">
        <v>362</v>
      </c>
      <c r="F145">
        <v>50</v>
      </c>
      <c r="G145">
        <v>44.24</v>
      </c>
      <c r="H145">
        <v>146.28</v>
      </c>
      <c r="I145">
        <v>35.07</v>
      </c>
      <c r="J145">
        <v>115.94</v>
      </c>
      <c r="K145">
        <v>2</v>
      </c>
      <c r="T145">
        <v>4</v>
      </c>
      <c r="U145">
        <v>2</v>
      </c>
      <c r="V145" t="s">
        <v>132</v>
      </c>
      <c r="W145" t="s">
        <v>371</v>
      </c>
      <c r="X145">
        <v>15</v>
      </c>
      <c r="Y145">
        <v>15</v>
      </c>
      <c r="Z145" t="s">
        <v>364</v>
      </c>
      <c r="AA145" t="s">
        <v>365</v>
      </c>
      <c r="AB145" t="s">
        <v>96</v>
      </c>
      <c r="AC145" t="s">
        <v>97</v>
      </c>
      <c r="AD145" t="s">
        <v>142</v>
      </c>
      <c r="AG145" t="s">
        <v>366</v>
      </c>
      <c r="AH145">
        <v>0</v>
      </c>
      <c r="AI145">
        <v>689</v>
      </c>
      <c r="AJ145">
        <v>73</v>
      </c>
      <c r="AK145">
        <v>69</v>
      </c>
      <c r="AL145">
        <v>1.38</v>
      </c>
    </row>
    <row r="146" spans="1:38" x14ac:dyDescent="0.3">
      <c r="A146" t="s">
        <v>136</v>
      </c>
      <c r="B146">
        <v>24210</v>
      </c>
      <c r="C146">
        <v>7</v>
      </c>
      <c r="D146" t="s">
        <v>361</v>
      </c>
      <c r="E146" t="s">
        <v>362</v>
      </c>
      <c r="F146">
        <v>50</v>
      </c>
      <c r="G146">
        <v>45.4</v>
      </c>
      <c r="H146">
        <v>150.09</v>
      </c>
      <c r="I146">
        <v>33.409999999999997</v>
      </c>
      <c r="J146">
        <v>110.45</v>
      </c>
      <c r="K146">
        <v>6</v>
      </c>
      <c r="T146">
        <v>4</v>
      </c>
      <c r="U146">
        <v>2</v>
      </c>
      <c r="V146" t="s">
        <v>93</v>
      </c>
      <c r="W146">
        <v>150</v>
      </c>
      <c r="X146">
        <v>15</v>
      </c>
      <c r="Y146">
        <v>15</v>
      </c>
      <c r="Z146" t="s">
        <v>364</v>
      </c>
      <c r="AA146" t="s">
        <v>365</v>
      </c>
      <c r="AB146" t="s">
        <v>96</v>
      </c>
      <c r="AC146" t="s">
        <v>97</v>
      </c>
      <c r="AD146" t="s">
        <v>142</v>
      </c>
      <c r="AG146" t="s">
        <v>366</v>
      </c>
      <c r="AH146">
        <v>0</v>
      </c>
      <c r="AI146">
        <v>689</v>
      </c>
      <c r="AJ146">
        <v>73</v>
      </c>
      <c r="AK146">
        <v>69</v>
      </c>
      <c r="AL146">
        <v>1.38</v>
      </c>
    </row>
    <row r="147" spans="1:38" x14ac:dyDescent="0.3">
      <c r="A147" t="s">
        <v>136</v>
      </c>
      <c r="B147">
        <v>24210</v>
      </c>
      <c r="C147">
        <v>8</v>
      </c>
      <c r="D147" t="s">
        <v>361</v>
      </c>
      <c r="E147" t="s">
        <v>362</v>
      </c>
      <c r="F147">
        <v>50</v>
      </c>
      <c r="G147">
        <v>46.35</v>
      </c>
      <c r="H147">
        <v>153.25</v>
      </c>
      <c r="I147">
        <v>36.74</v>
      </c>
      <c r="J147">
        <v>121.46</v>
      </c>
      <c r="K147">
        <v>4</v>
      </c>
      <c r="T147">
        <v>4</v>
      </c>
      <c r="U147">
        <v>2</v>
      </c>
      <c r="V147" t="s">
        <v>132</v>
      </c>
      <c r="W147">
        <v>153</v>
      </c>
      <c r="X147">
        <v>15</v>
      </c>
      <c r="Y147">
        <v>15</v>
      </c>
      <c r="Z147" t="s">
        <v>364</v>
      </c>
      <c r="AA147" t="s">
        <v>365</v>
      </c>
      <c r="AB147" t="s">
        <v>96</v>
      </c>
      <c r="AC147" t="s">
        <v>97</v>
      </c>
      <c r="AD147" t="s">
        <v>142</v>
      </c>
      <c r="AG147" t="s">
        <v>366</v>
      </c>
      <c r="AH147">
        <v>0</v>
      </c>
      <c r="AI147">
        <v>689</v>
      </c>
      <c r="AJ147">
        <v>73</v>
      </c>
      <c r="AK147">
        <v>69</v>
      </c>
      <c r="AL147">
        <v>1.38</v>
      </c>
    </row>
    <row r="148" spans="1:38" x14ac:dyDescent="0.3">
      <c r="A148" t="s">
        <v>136</v>
      </c>
      <c r="B148">
        <v>24210</v>
      </c>
      <c r="C148">
        <v>9</v>
      </c>
      <c r="D148" t="s">
        <v>361</v>
      </c>
      <c r="E148" t="s">
        <v>362</v>
      </c>
      <c r="F148">
        <v>50</v>
      </c>
      <c r="G148">
        <v>49.97</v>
      </c>
      <c r="H148">
        <v>165.21</v>
      </c>
      <c r="I148">
        <v>36.770000000000003</v>
      </c>
      <c r="J148">
        <v>121.58</v>
      </c>
      <c r="K148">
        <v>12</v>
      </c>
      <c r="T148">
        <v>4</v>
      </c>
      <c r="U148">
        <v>2</v>
      </c>
      <c r="V148" t="s">
        <v>93</v>
      </c>
      <c r="W148" t="s">
        <v>372</v>
      </c>
      <c r="X148">
        <v>15</v>
      </c>
      <c r="Y148">
        <v>15</v>
      </c>
      <c r="Z148" t="s">
        <v>364</v>
      </c>
      <c r="AA148" t="s">
        <v>365</v>
      </c>
      <c r="AB148" t="s">
        <v>96</v>
      </c>
      <c r="AC148" t="s">
        <v>97</v>
      </c>
      <c r="AD148" t="s">
        <v>142</v>
      </c>
      <c r="AG148" t="s">
        <v>366</v>
      </c>
      <c r="AH148">
        <v>0</v>
      </c>
      <c r="AI148">
        <v>689</v>
      </c>
      <c r="AJ148">
        <v>73</v>
      </c>
      <c r="AK148">
        <v>69</v>
      </c>
      <c r="AL148">
        <v>1.38</v>
      </c>
    </row>
    <row r="149" spans="1:38" x14ac:dyDescent="0.3">
      <c r="A149" t="s">
        <v>136</v>
      </c>
      <c r="B149">
        <v>24210</v>
      </c>
      <c r="C149">
        <v>10</v>
      </c>
      <c r="D149" t="s">
        <v>361</v>
      </c>
      <c r="E149" t="s">
        <v>362</v>
      </c>
      <c r="F149">
        <v>50</v>
      </c>
      <c r="G149">
        <v>50.04</v>
      </c>
      <c r="H149">
        <v>165.44</v>
      </c>
      <c r="I149">
        <v>39.659999999999997</v>
      </c>
      <c r="J149">
        <v>131.12</v>
      </c>
      <c r="K149">
        <v>8</v>
      </c>
      <c r="T149">
        <v>4</v>
      </c>
      <c r="U149">
        <v>2</v>
      </c>
      <c r="V149" t="s">
        <v>132</v>
      </c>
      <c r="W149" t="s">
        <v>373</v>
      </c>
      <c r="X149">
        <v>15</v>
      </c>
      <c r="Y149">
        <v>15</v>
      </c>
      <c r="Z149" t="s">
        <v>364</v>
      </c>
      <c r="AA149" t="s">
        <v>365</v>
      </c>
      <c r="AB149" t="s">
        <v>96</v>
      </c>
      <c r="AC149" t="s">
        <v>97</v>
      </c>
      <c r="AD149" t="s">
        <v>142</v>
      </c>
      <c r="AG149" t="s">
        <v>366</v>
      </c>
      <c r="AH149">
        <v>0</v>
      </c>
      <c r="AI149">
        <v>689</v>
      </c>
      <c r="AJ149">
        <v>73</v>
      </c>
      <c r="AK149">
        <v>69</v>
      </c>
      <c r="AL149">
        <v>1.38</v>
      </c>
    </row>
    <row r="150" spans="1:38" x14ac:dyDescent="0.3">
      <c r="A150" t="s">
        <v>136</v>
      </c>
      <c r="B150">
        <v>117164</v>
      </c>
      <c r="C150">
        <v>1</v>
      </c>
      <c r="D150" t="s">
        <v>374</v>
      </c>
      <c r="E150" t="s">
        <v>375</v>
      </c>
      <c r="F150">
        <v>40</v>
      </c>
      <c r="G150">
        <v>7.44</v>
      </c>
      <c r="H150">
        <v>24.61</v>
      </c>
      <c r="I150">
        <v>6.37</v>
      </c>
      <c r="J150">
        <v>21.09</v>
      </c>
      <c r="K150">
        <v>1</v>
      </c>
      <c r="T150">
        <v>1</v>
      </c>
      <c r="U150">
        <v>1</v>
      </c>
      <c r="V150" t="s">
        <v>93</v>
      </c>
      <c r="W150">
        <v>24</v>
      </c>
      <c r="X150">
        <v>7</v>
      </c>
      <c r="Y150">
        <v>6</v>
      </c>
      <c r="Z150" t="s">
        <v>376</v>
      </c>
      <c r="AA150" t="s">
        <v>377</v>
      </c>
      <c r="AB150" t="s">
        <v>96</v>
      </c>
      <c r="AC150" t="s">
        <v>97</v>
      </c>
      <c r="AD150" t="s">
        <v>142</v>
      </c>
      <c r="AG150" t="s">
        <v>378</v>
      </c>
      <c r="AH150">
        <v>0</v>
      </c>
      <c r="AI150">
        <v>0</v>
      </c>
      <c r="AJ150">
        <v>0</v>
      </c>
      <c r="AK150">
        <v>30</v>
      </c>
      <c r="AL150">
        <v>0.75</v>
      </c>
    </row>
    <row r="151" spans="1:38" x14ac:dyDescent="0.3">
      <c r="A151" t="s">
        <v>136</v>
      </c>
      <c r="B151">
        <v>117164</v>
      </c>
      <c r="C151">
        <v>2</v>
      </c>
      <c r="D151" t="s">
        <v>374</v>
      </c>
      <c r="E151" t="s">
        <v>375</v>
      </c>
      <c r="F151">
        <v>40</v>
      </c>
      <c r="G151">
        <v>15.25</v>
      </c>
      <c r="H151">
        <v>50.43</v>
      </c>
      <c r="I151">
        <v>13.53</v>
      </c>
      <c r="J151">
        <v>44.73</v>
      </c>
      <c r="K151">
        <v>2</v>
      </c>
      <c r="T151">
        <v>2</v>
      </c>
      <c r="U151">
        <v>1</v>
      </c>
      <c r="V151" t="s">
        <v>93</v>
      </c>
      <c r="W151">
        <v>50</v>
      </c>
      <c r="X151">
        <v>7</v>
      </c>
      <c r="Y151">
        <v>6</v>
      </c>
      <c r="Z151" t="s">
        <v>376</v>
      </c>
      <c r="AA151" t="s">
        <v>377</v>
      </c>
      <c r="AB151" t="s">
        <v>96</v>
      </c>
      <c r="AC151" t="s">
        <v>97</v>
      </c>
      <c r="AD151" t="s">
        <v>142</v>
      </c>
      <c r="AG151" t="s">
        <v>378</v>
      </c>
      <c r="AH151">
        <v>0</v>
      </c>
      <c r="AI151">
        <v>0</v>
      </c>
      <c r="AJ151">
        <v>0</v>
      </c>
      <c r="AK151">
        <v>30</v>
      </c>
      <c r="AL151">
        <v>0.75</v>
      </c>
    </row>
    <row r="152" spans="1:38" x14ac:dyDescent="0.3">
      <c r="A152" t="s">
        <v>136</v>
      </c>
      <c r="B152">
        <v>117164</v>
      </c>
      <c r="C152">
        <v>3</v>
      </c>
      <c r="D152" t="s">
        <v>374</v>
      </c>
      <c r="E152" t="s">
        <v>375</v>
      </c>
      <c r="F152">
        <v>40</v>
      </c>
      <c r="G152">
        <v>16</v>
      </c>
      <c r="H152">
        <v>52.92</v>
      </c>
      <c r="I152">
        <v>14.04</v>
      </c>
      <c r="J152">
        <v>46.42</v>
      </c>
      <c r="K152">
        <v>1</v>
      </c>
      <c r="T152">
        <v>2</v>
      </c>
      <c r="U152">
        <v>1</v>
      </c>
      <c r="V152" t="s">
        <v>93</v>
      </c>
      <c r="W152">
        <v>52</v>
      </c>
      <c r="X152">
        <v>7</v>
      </c>
      <c r="Y152">
        <v>6</v>
      </c>
      <c r="Z152" t="s">
        <v>376</v>
      </c>
      <c r="AA152" t="s">
        <v>377</v>
      </c>
      <c r="AB152" t="s">
        <v>96</v>
      </c>
      <c r="AC152" t="s">
        <v>97</v>
      </c>
      <c r="AD152" t="s">
        <v>142</v>
      </c>
      <c r="AG152" t="s">
        <v>378</v>
      </c>
      <c r="AH152">
        <v>0</v>
      </c>
      <c r="AI152">
        <v>0</v>
      </c>
      <c r="AJ152">
        <v>0</v>
      </c>
      <c r="AK152">
        <v>30</v>
      </c>
      <c r="AL152">
        <v>0.75</v>
      </c>
    </row>
    <row r="153" spans="1:38" x14ac:dyDescent="0.3">
      <c r="A153" t="s">
        <v>136</v>
      </c>
      <c r="B153">
        <v>117164</v>
      </c>
      <c r="C153">
        <v>4</v>
      </c>
      <c r="D153" t="s">
        <v>374</v>
      </c>
      <c r="E153" t="s">
        <v>375</v>
      </c>
      <c r="F153">
        <v>40</v>
      </c>
      <c r="G153">
        <v>17.75</v>
      </c>
      <c r="H153">
        <v>58.69</v>
      </c>
      <c r="I153">
        <v>15.23</v>
      </c>
      <c r="J153">
        <v>50.38</v>
      </c>
      <c r="K153">
        <v>1</v>
      </c>
      <c r="T153">
        <v>2</v>
      </c>
      <c r="U153">
        <v>1</v>
      </c>
      <c r="V153" t="s">
        <v>93</v>
      </c>
      <c r="W153" t="s">
        <v>178</v>
      </c>
      <c r="X153">
        <v>7</v>
      </c>
      <c r="Y153">
        <v>6</v>
      </c>
      <c r="Z153" t="s">
        <v>376</v>
      </c>
      <c r="AA153" t="s">
        <v>377</v>
      </c>
      <c r="AB153" t="s">
        <v>96</v>
      </c>
      <c r="AC153" t="s">
        <v>97</v>
      </c>
      <c r="AD153" t="s">
        <v>142</v>
      </c>
      <c r="AG153" t="s">
        <v>378</v>
      </c>
      <c r="AH153">
        <v>0</v>
      </c>
      <c r="AI153">
        <v>0</v>
      </c>
      <c r="AJ153">
        <v>0</v>
      </c>
      <c r="AK153">
        <v>30</v>
      </c>
      <c r="AL153">
        <v>0.75</v>
      </c>
    </row>
    <row r="154" spans="1:38" x14ac:dyDescent="0.3">
      <c r="A154" t="s">
        <v>136</v>
      </c>
      <c r="B154">
        <v>117164</v>
      </c>
      <c r="C154">
        <v>5</v>
      </c>
      <c r="D154" t="s">
        <v>374</v>
      </c>
      <c r="E154" t="s">
        <v>375</v>
      </c>
      <c r="F154">
        <v>40</v>
      </c>
      <c r="G154">
        <v>18.09</v>
      </c>
      <c r="H154">
        <v>59.82</v>
      </c>
      <c r="I154">
        <v>15.53</v>
      </c>
      <c r="J154">
        <v>51.35</v>
      </c>
      <c r="K154">
        <v>1</v>
      </c>
      <c r="T154">
        <v>2</v>
      </c>
      <c r="U154">
        <v>1</v>
      </c>
      <c r="V154" t="s">
        <v>93</v>
      </c>
      <c r="W154" t="s">
        <v>379</v>
      </c>
      <c r="X154">
        <v>7</v>
      </c>
      <c r="Y154">
        <v>6</v>
      </c>
      <c r="Z154" t="s">
        <v>376</v>
      </c>
      <c r="AA154" t="s">
        <v>377</v>
      </c>
      <c r="AB154" t="s">
        <v>96</v>
      </c>
      <c r="AC154" t="s">
        <v>97</v>
      </c>
      <c r="AD154" t="s">
        <v>142</v>
      </c>
      <c r="AG154" t="s">
        <v>378</v>
      </c>
      <c r="AH154">
        <v>0</v>
      </c>
      <c r="AI154">
        <v>0</v>
      </c>
      <c r="AJ154">
        <v>0</v>
      </c>
      <c r="AK154">
        <v>30</v>
      </c>
      <c r="AL154">
        <v>0.75</v>
      </c>
    </row>
    <row r="155" spans="1:38" x14ac:dyDescent="0.3">
      <c r="A155" t="s">
        <v>136</v>
      </c>
      <c r="B155">
        <v>117164</v>
      </c>
      <c r="C155">
        <v>6</v>
      </c>
      <c r="D155" t="s">
        <v>374</v>
      </c>
      <c r="E155" t="s">
        <v>375</v>
      </c>
      <c r="F155">
        <v>40</v>
      </c>
      <c r="G155">
        <v>20.73</v>
      </c>
      <c r="H155">
        <v>68.56</v>
      </c>
      <c r="I155">
        <v>18.39</v>
      </c>
      <c r="J155">
        <v>60.81</v>
      </c>
      <c r="K155">
        <v>2</v>
      </c>
      <c r="T155">
        <v>3</v>
      </c>
      <c r="U155">
        <v>1</v>
      </c>
      <c r="V155" t="s">
        <v>93</v>
      </c>
      <c r="W155" t="s">
        <v>380</v>
      </c>
      <c r="X155">
        <v>7</v>
      </c>
      <c r="Y155">
        <v>6</v>
      </c>
      <c r="Z155" t="s">
        <v>376</v>
      </c>
      <c r="AA155" t="s">
        <v>377</v>
      </c>
      <c r="AB155" t="s">
        <v>96</v>
      </c>
      <c r="AC155" t="s">
        <v>97</v>
      </c>
      <c r="AD155" t="s">
        <v>142</v>
      </c>
      <c r="AG155" t="s">
        <v>378</v>
      </c>
      <c r="AH155">
        <v>0</v>
      </c>
      <c r="AI155">
        <v>0</v>
      </c>
      <c r="AJ155">
        <v>0</v>
      </c>
      <c r="AK155">
        <v>30</v>
      </c>
      <c r="AL155">
        <v>0.75</v>
      </c>
    </row>
    <row r="156" spans="1:38" x14ac:dyDescent="0.3">
      <c r="A156" t="s">
        <v>136</v>
      </c>
      <c r="B156">
        <v>117164</v>
      </c>
      <c r="C156">
        <v>7</v>
      </c>
      <c r="D156" t="s">
        <v>374</v>
      </c>
      <c r="E156" t="s">
        <v>375</v>
      </c>
      <c r="F156">
        <v>40</v>
      </c>
      <c r="G156">
        <v>20.95</v>
      </c>
      <c r="H156">
        <v>69.260000000000005</v>
      </c>
      <c r="I156">
        <v>18.37</v>
      </c>
      <c r="J156">
        <v>60.76</v>
      </c>
      <c r="K156">
        <v>2</v>
      </c>
      <c r="T156">
        <v>3</v>
      </c>
      <c r="U156">
        <v>1</v>
      </c>
      <c r="V156" t="s">
        <v>93</v>
      </c>
      <c r="W156" t="s">
        <v>381</v>
      </c>
      <c r="X156">
        <v>7</v>
      </c>
      <c r="Y156">
        <v>6</v>
      </c>
      <c r="Z156" t="s">
        <v>376</v>
      </c>
      <c r="AA156" t="s">
        <v>377</v>
      </c>
      <c r="AB156" t="s">
        <v>96</v>
      </c>
      <c r="AC156" t="s">
        <v>97</v>
      </c>
      <c r="AD156" t="s">
        <v>142</v>
      </c>
      <c r="AG156" t="s">
        <v>378</v>
      </c>
      <c r="AH156">
        <v>0</v>
      </c>
      <c r="AI156">
        <v>0</v>
      </c>
      <c r="AJ156">
        <v>0</v>
      </c>
      <c r="AK156">
        <v>30</v>
      </c>
      <c r="AL156">
        <v>0.75</v>
      </c>
    </row>
    <row r="157" spans="1:38" x14ac:dyDescent="0.3">
      <c r="A157" t="s">
        <v>136</v>
      </c>
      <c r="B157">
        <v>117164</v>
      </c>
      <c r="C157">
        <v>8</v>
      </c>
      <c r="D157" t="s">
        <v>374</v>
      </c>
      <c r="E157" t="s">
        <v>375</v>
      </c>
      <c r="F157">
        <v>40</v>
      </c>
      <c r="G157">
        <v>21.1</v>
      </c>
      <c r="H157">
        <v>69.78</v>
      </c>
      <c r="I157">
        <v>18.11</v>
      </c>
      <c r="J157">
        <v>59.9</v>
      </c>
      <c r="K157">
        <v>1</v>
      </c>
      <c r="T157">
        <v>3</v>
      </c>
      <c r="U157">
        <v>1</v>
      </c>
      <c r="V157" t="s">
        <v>93</v>
      </c>
      <c r="W157" t="s">
        <v>382</v>
      </c>
      <c r="X157">
        <v>7</v>
      </c>
      <c r="Y157">
        <v>6</v>
      </c>
      <c r="Z157" t="s">
        <v>376</v>
      </c>
      <c r="AA157" t="s">
        <v>377</v>
      </c>
      <c r="AB157" t="s">
        <v>96</v>
      </c>
      <c r="AC157" t="s">
        <v>97</v>
      </c>
      <c r="AD157" t="s">
        <v>142</v>
      </c>
      <c r="AG157" t="s">
        <v>378</v>
      </c>
      <c r="AH157">
        <v>0</v>
      </c>
      <c r="AI157">
        <v>0</v>
      </c>
      <c r="AJ157">
        <v>0</v>
      </c>
      <c r="AK157">
        <v>30</v>
      </c>
      <c r="AL157">
        <v>0.75</v>
      </c>
    </row>
    <row r="158" spans="1:38" x14ac:dyDescent="0.3">
      <c r="A158" t="s">
        <v>136</v>
      </c>
      <c r="B158">
        <v>117164</v>
      </c>
      <c r="C158">
        <v>9</v>
      </c>
      <c r="D158" t="s">
        <v>374</v>
      </c>
      <c r="E158" t="s">
        <v>375</v>
      </c>
      <c r="F158">
        <v>40</v>
      </c>
      <c r="G158">
        <v>23.14</v>
      </c>
      <c r="H158">
        <v>76.52</v>
      </c>
      <c r="I158">
        <v>20.3</v>
      </c>
      <c r="J158">
        <v>67.12</v>
      </c>
      <c r="K158">
        <v>1</v>
      </c>
      <c r="T158">
        <v>3</v>
      </c>
      <c r="U158">
        <v>1</v>
      </c>
      <c r="V158" t="s">
        <v>93</v>
      </c>
      <c r="W158">
        <v>76</v>
      </c>
      <c r="X158">
        <v>7</v>
      </c>
      <c r="Y158">
        <v>6</v>
      </c>
      <c r="Z158" t="s">
        <v>376</v>
      </c>
      <c r="AA158" t="s">
        <v>377</v>
      </c>
      <c r="AB158" t="s">
        <v>96</v>
      </c>
      <c r="AC158" t="s">
        <v>97</v>
      </c>
      <c r="AD158" t="s">
        <v>142</v>
      </c>
      <c r="AG158" t="s">
        <v>378</v>
      </c>
      <c r="AH158">
        <v>0</v>
      </c>
      <c r="AI158">
        <v>0</v>
      </c>
      <c r="AJ158">
        <v>0</v>
      </c>
      <c r="AK158">
        <v>30</v>
      </c>
      <c r="AL158">
        <v>0.75</v>
      </c>
    </row>
    <row r="159" spans="1:38" x14ac:dyDescent="0.3">
      <c r="A159" t="s">
        <v>136</v>
      </c>
      <c r="B159">
        <v>117164</v>
      </c>
      <c r="C159">
        <v>10</v>
      </c>
      <c r="D159" t="s">
        <v>374</v>
      </c>
      <c r="E159" t="s">
        <v>375</v>
      </c>
      <c r="F159">
        <v>40</v>
      </c>
      <c r="G159">
        <v>23.51</v>
      </c>
      <c r="H159">
        <v>77.739999999999995</v>
      </c>
      <c r="I159">
        <v>20.63</v>
      </c>
      <c r="J159">
        <v>68.2</v>
      </c>
      <c r="K159">
        <v>2</v>
      </c>
      <c r="T159">
        <v>3</v>
      </c>
      <c r="U159">
        <v>1</v>
      </c>
      <c r="V159" t="s">
        <v>93</v>
      </c>
      <c r="W159">
        <v>77</v>
      </c>
      <c r="X159">
        <v>7</v>
      </c>
      <c r="Y159">
        <v>6</v>
      </c>
      <c r="Z159" t="s">
        <v>376</v>
      </c>
      <c r="AA159" t="s">
        <v>377</v>
      </c>
      <c r="AB159" t="s">
        <v>96</v>
      </c>
      <c r="AC159" t="s">
        <v>97</v>
      </c>
      <c r="AD159" t="s">
        <v>142</v>
      </c>
      <c r="AG159" t="s">
        <v>378</v>
      </c>
      <c r="AH159">
        <v>0</v>
      </c>
      <c r="AI159">
        <v>0</v>
      </c>
      <c r="AJ159">
        <v>0</v>
      </c>
      <c r="AK159">
        <v>30</v>
      </c>
      <c r="AL159">
        <v>0.75</v>
      </c>
    </row>
    <row r="160" spans="1:38" x14ac:dyDescent="0.3">
      <c r="A160" t="s">
        <v>136</v>
      </c>
      <c r="B160">
        <v>117164</v>
      </c>
      <c r="C160">
        <v>11</v>
      </c>
      <c r="D160" t="s">
        <v>374</v>
      </c>
      <c r="E160" t="s">
        <v>375</v>
      </c>
      <c r="F160">
        <v>40</v>
      </c>
      <c r="G160">
        <v>25.6</v>
      </c>
      <c r="H160">
        <v>84.66</v>
      </c>
      <c r="I160">
        <v>21.98</v>
      </c>
      <c r="J160">
        <v>72.67</v>
      </c>
      <c r="K160">
        <v>3</v>
      </c>
      <c r="T160">
        <v>3</v>
      </c>
      <c r="U160">
        <v>2</v>
      </c>
      <c r="V160" t="s">
        <v>93</v>
      </c>
      <c r="W160" t="s">
        <v>383</v>
      </c>
      <c r="X160">
        <v>7</v>
      </c>
      <c r="Y160">
        <v>6</v>
      </c>
      <c r="Z160" t="s">
        <v>376</v>
      </c>
      <c r="AA160" t="s">
        <v>377</v>
      </c>
      <c r="AB160" t="s">
        <v>96</v>
      </c>
      <c r="AC160" t="s">
        <v>97</v>
      </c>
      <c r="AD160" t="s">
        <v>142</v>
      </c>
      <c r="AG160" t="s">
        <v>378</v>
      </c>
      <c r="AH160">
        <v>0</v>
      </c>
      <c r="AI160">
        <v>0</v>
      </c>
      <c r="AJ160">
        <v>0</v>
      </c>
      <c r="AK160">
        <v>30</v>
      </c>
      <c r="AL160">
        <v>0.75</v>
      </c>
    </row>
    <row r="161" spans="1:38" x14ac:dyDescent="0.3">
      <c r="A161" t="s">
        <v>136</v>
      </c>
      <c r="B161">
        <v>117164</v>
      </c>
      <c r="C161">
        <v>12</v>
      </c>
      <c r="D161" t="s">
        <v>374</v>
      </c>
      <c r="E161" t="s">
        <v>375</v>
      </c>
      <c r="F161">
        <v>40</v>
      </c>
      <c r="G161">
        <v>26.04</v>
      </c>
      <c r="H161">
        <v>86.09</v>
      </c>
      <c r="I161">
        <v>22.84</v>
      </c>
      <c r="J161">
        <v>75.510000000000005</v>
      </c>
      <c r="K161">
        <v>1</v>
      </c>
      <c r="T161">
        <v>3</v>
      </c>
      <c r="U161">
        <v>2</v>
      </c>
      <c r="V161" t="s">
        <v>93</v>
      </c>
      <c r="W161" t="s">
        <v>384</v>
      </c>
      <c r="X161">
        <v>7</v>
      </c>
      <c r="Y161">
        <v>6</v>
      </c>
      <c r="Z161" t="s">
        <v>376</v>
      </c>
      <c r="AA161" t="s">
        <v>377</v>
      </c>
      <c r="AB161" t="s">
        <v>96</v>
      </c>
      <c r="AC161" t="s">
        <v>97</v>
      </c>
      <c r="AD161" t="s">
        <v>142</v>
      </c>
      <c r="AG161" t="s">
        <v>378</v>
      </c>
      <c r="AH161">
        <v>0</v>
      </c>
      <c r="AI161">
        <v>0</v>
      </c>
      <c r="AJ161">
        <v>0</v>
      </c>
      <c r="AK161">
        <v>30</v>
      </c>
      <c r="AL161">
        <v>0.75</v>
      </c>
    </row>
    <row r="162" spans="1:38" x14ac:dyDescent="0.3">
      <c r="A162" t="s">
        <v>136</v>
      </c>
      <c r="B162">
        <v>117164</v>
      </c>
      <c r="C162">
        <v>13</v>
      </c>
      <c r="D162" t="s">
        <v>374</v>
      </c>
      <c r="E162" t="s">
        <v>375</v>
      </c>
      <c r="F162">
        <v>40</v>
      </c>
      <c r="G162">
        <v>26.64</v>
      </c>
      <c r="H162">
        <v>88.07</v>
      </c>
      <c r="I162">
        <v>22.86</v>
      </c>
      <c r="J162">
        <v>75.599999999999994</v>
      </c>
      <c r="K162">
        <v>3</v>
      </c>
      <c r="T162">
        <v>3</v>
      </c>
      <c r="U162">
        <v>2</v>
      </c>
      <c r="V162" t="s">
        <v>93</v>
      </c>
      <c r="W162" t="s">
        <v>297</v>
      </c>
      <c r="X162">
        <v>7</v>
      </c>
      <c r="Y162">
        <v>6</v>
      </c>
      <c r="Z162" t="s">
        <v>376</v>
      </c>
      <c r="AA162" t="s">
        <v>377</v>
      </c>
      <c r="AB162" t="s">
        <v>96</v>
      </c>
      <c r="AC162" t="s">
        <v>97</v>
      </c>
      <c r="AD162" t="s">
        <v>142</v>
      </c>
      <c r="AG162" t="s">
        <v>378</v>
      </c>
      <c r="AH162">
        <v>0</v>
      </c>
      <c r="AI162">
        <v>0</v>
      </c>
      <c r="AJ162">
        <v>0</v>
      </c>
      <c r="AK162">
        <v>30</v>
      </c>
      <c r="AL162">
        <v>0.75</v>
      </c>
    </row>
    <row r="163" spans="1:38" x14ac:dyDescent="0.3">
      <c r="A163" t="s">
        <v>136</v>
      </c>
      <c r="B163">
        <v>117164</v>
      </c>
      <c r="C163">
        <v>14</v>
      </c>
      <c r="D163" t="s">
        <v>374</v>
      </c>
      <c r="E163" t="s">
        <v>375</v>
      </c>
      <c r="F163">
        <v>40</v>
      </c>
      <c r="G163">
        <v>26.75</v>
      </c>
      <c r="H163">
        <v>88.45</v>
      </c>
      <c r="I163">
        <v>23.46</v>
      </c>
      <c r="J163">
        <v>77.58</v>
      </c>
      <c r="K163">
        <v>1</v>
      </c>
      <c r="T163">
        <v>3</v>
      </c>
      <c r="U163">
        <v>2</v>
      </c>
      <c r="V163" t="s">
        <v>93</v>
      </c>
      <c r="W163" t="s">
        <v>298</v>
      </c>
      <c r="X163">
        <v>7</v>
      </c>
      <c r="Y163">
        <v>6</v>
      </c>
      <c r="Z163" t="s">
        <v>376</v>
      </c>
      <c r="AA163" t="s">
        <v>377</v>
      </c>
      <c r="AB163" t="s">
        <v>96</v>
      </c>
      <c r="AC163" t="s">
        <v>97</v>
      </c>
      <c r="AD163" t="s">
        <v>142</v>
      </c>
      <c r="AG163" t="s">
        <v>378</v>
      </c>
      <c r="AH163">
        <v>0</v>
      </c>
      <c r="AI163">
        <v>0</v>
      </c>
      <c r="AJ163">
        <v>0</v>
      </c>
      <c r="AK163">
        <v>30</v>
      </c>
      <c r="AL163">
        <v>0.75</v>
      </c>
    </row>
    <row r="164" spans="1:38" x14ac:dyDescent="0.3">
      <c r="A164" t="s">
        <v>136</v>
      </c>
      <c r="B164">
        <v>117164</v>
      </c>
      <c r="C164">
        <v>15</v>
      </c>
      <c r="D164" t="s">
        <v>374</v>
      </c>
      <c r="E164" t="s">
        <v>375</v>
      </c>
      <c r="F164">
        <v>40</v>
      </c>
      <c r="G164">
        <v>27.83</v>
      </c>
      <c r="H164">
        <v>92.03</v>
      </c>
      <c r="I164">
        <v>24.69</v>
      </c>
      <c r="J164">
        <v>81.63</v>
      </c>
      <c r="K164">
        <v>7</v>
      </c>
      <c r="T164">
        <v>3</v>
      </c>
      <c r="U164">
        <v>2</v>
      </c>
      <c r="V164" t="s">
        <v>93</v>
      </c>
      <c r="W164" t="s">
        <v>170</v>
      </c>
      <c r="X164">
        <v>7</v>
      </c>
      <c r="Y164">
        <v>6</v>
      </c>
      <c r="Z164" t="s">
        <v>376</v>
      </c>
      <c r="AA164" t="s">
        <v>377</v>
      </c>
      <c r="AB164" t="s">
        <v>96</v>
      </c>
      <c r="AC164" t="s">
        <v>97</v>
      </c>
      <c r="AD164" t="s">
        <v>142</v>
      </c>
      <c r="AG164" t="s">
        <v>378</v>
      </c>
      <c r="AH164">
        <v>0</v>
      </c>
      <c r="AI164">
        <v>0</v>
      </c>
      <c r="AJ164">
        <v>0</v>
      </c>
      <c r="AK164">
        <v>30</v>
      </c>
      <c r="AL164">
        <v>0.75</v>
      </c>
    </row>
    <row r="165" spans="1:38" x14ac:dyDescent="0.3">
      <c r="A165" t="s">
        <v>136</v>
      </c>
      <c r="B165">
        <v>117164</v>
      </c>
      <c r="C165">
        <v>16</v>
      </c>
      <c r="D165" t="s">
        <v>374</v>
      </c>
      <c r="E165" t="s">
        <v>375</v>
      </c>
      <c r="F165">
        <v>40</v>
      </c>
      <c r="G165">
        <v>28.19</v>
      </c>
      <c r="H165">
        <v>93.22</v>
      </c>
      <c r="I165">
        <v>24.73</v>
      </c>
      <c r="J165">
        <v>81.78</v>
      </c>
      <c r="K165">
        <v>6</v>
      </c>
      <c r="T165">
        <v>3</v>
      </c>
      <c r="U165">
        <v>2</v>
      </c>
      <c r="V165" t="s">
        <v>93</v>
      </c>
      <c r="W165" t="s">
        <v>385</v>
      </c>
      <c r="X165">
        <v>7</v>
      </c>
      <c r="Y165">
        <v>6</v>
      </c>
      <c r="Z165" t="s">
        <v>376</v>
      </c>
      <c r="AA165" t="s">
        <v>377</v>
      </c>
      <c r="AB165" t="s">
        <v>96</v>
      </c>
      <c r="AC165" t="s">
        <v>97</v>
      </c>
      <c r="AD165" t="s">
        <v>142</v>
      </c>
      <c r="AG165" t="s">
        <v>378</v>
      </c>
      <c r="AH165">
        <v>0</v>
      </c>
      <c r="AI165">
        <v>0</v>
      </c>
      <c r="AJ165">
        <v>0</v>
      </c>
      <c r="AK165">
        <v>30</v>
      </c>
      <c r="AL165">
        <v>0.75</v>
      </c>
    </row>
    <row r="166" spans="1:38" x14ac:dyDescent="0.3">
      <c r="A166" t="s">
        <v>136</v>
      </c>
      <c r="B166">
        <v>117164</v>
      </c>
      <c r="C166">
        <v>17</v>
      </c>
      <c r="D166" t="s">
        <v>374</v>
      </c>
      <c r="E166" t="s">
        <v>375</v>
      </c>
      <c r="F166">
        <v>40</v>
      </c>
      <c r="G166">
        <v>32.31</v>
      </c>
      <c r="H166">
        <v>106.82</v>
      </c>
      <c r="I166">
        <v>28.34</v>
      </c>
      <c r="J166">
        <v>93.7</v>
      </c>
      <c r="K166">
        <v>1</v>
      </c>
      <c r="T166">
        <v>3</v>
      </c>
      <c r="U166">
        <v>2</v>
      </c>
      <c r="V166" t="s">
        <v>93</v>
      </c>
      <c r="W166">
        <v>106</v>
      </c>
      <c r="X166">
        <v>7</v>
      </c>
      <c r="Y166">
        <v>6</v>
      </c>
      <c r="Z166" t="s">
        <v>376</v>
      </c>
      <c r="AA166" t="s">
        <v>377</v>
      </c>
      <c r="AB166" t="s">
        <v>96</v>
      </c>
      <c r="AC166" t="s">
        <v>97</v>
      </c>
      <c r="AD166" t="s">
        <v>142</v>
      </c>
      <c r="AG166" t="s">
        <v>378</v>
      </c>
      <c r="AH166">
        <v>0</v>
      </c>
      <c r="AI166">
        <v>0</v>
      </c>
      <c r="AJ166">
        <v>0</v>
      </c>
      <c r="AK166">
        <v>30</v>
      </c>
      <c r="AL166">
        <v>0.75</v>
      </c>
    </row>
    <row r="167" spans="1:38" x14ac:dyDescent="0.3">
      <c r="A167" t="s">
        <v>136</v>
      </c>
      <c r="B167">
        <v>117164</v>
      </c>
      <c r="C167">
        <v>18</v>
      </c>
      <c r="D167" t="s">
        <v>374</v>
      </c>
      <c r="E167" t="s">
        <v>375</v>
      </c>
      <c r="F167">
        <v>40</v>
      </c>
      <c r="G167">
        <v>33.94</v>
      </c>
      <c r="H167">
        <v>112.21</v>
      </c>
      <c r="I167">
        <v>29.77</v>
      </c>
      <c r="J167">
        <v>98.43</v>
      </c>
      <c r="K167">
        <v>2</v>
      </c>
      <c r="T167">
        <v>3</v>
      </c>
      <c r="U167">
        <v>2</v>
      </c>
      <c r="V167" t="s">
        <v>93</v>
      </c>
      <c r="W167">
        <v>112</v>
      </c>
      <c r="X167">
        <v>7</v>
      </c>
      <c r="Y167">
        <v>6</v>
      </c>
      <c r="Z167" t="s">
        <v>376</v>
      </c>
      <c r="AA167" t="s">
        <v>377</v>
      </c>
      <c r="AB167" t="s">
        <v>96</v>
      </c>
      <c r="AC167" t="s">
        <v>97</v>
      </c>
      <c r="AD167" t="s">
        <v>142</v>
      </c>
      <c r="AG167" t="s">
        <v>378</v>
      </c>
      <c r="AH167">
        <v>0</v>
      </c>
      <c r="AI167">
        <v>0</v>
      </c>
      <c r="AJ167">
        <v>0</v>
      </c>
      <c r="AK167">
        <v>30</v>
      </c>
      <c r="AL167">
        <v>0.75</v>
      </c>
    </row>
    <row r="168" spans="1:38" x14ac:dyDescent="0.3">
      <c r="A168" t="s">
        <v>136</v>
      </c>
      <c r="B168">
        <v>117164</v>
      </c>
      <c r="C168">
        <v>19</v>
      </c>
      <c r="D168" t="s">
        <v>374</v>
      </c>
      <c r="E168" t="s">
        <v>375</v>
      </c>
      <c r="F168">
        <v>40</v>
      </c>
      <c r="G168">
        <v>35.090000000000003</v>
      </c>
      <c r="H168">
        <v>116.02</v>
      </c>
      <c r="I168">
        <v>30.78</v>
      </c>
      <c r="J168">
        <v>101.77</v>
      </c>
      <c r="K168">
        <v>2</v>
      </c>
      <c r="T168">
        <v>3</v>
      </c>
      <c r="U168">
        <v>2</v>
      </c>
      <c r="V168" t="s">
        <v>93</v>
      </c>
      <c r="W168">
        <v>116</v>
      </c>
      <c r="X168">
        <v>7</v>
      </c>
      <c r="Y168">
        <v>6</v>
      </c>
      <c r="Z168" t="s">
        <v>376</v>
      </c>
      <c r="AA168" t="s">
        <v>377</v>
      </c>
      <c r="AB168" t="s">
        <v>96</v>
      </c>
      <c r="AC168" t="s">
        <v>97</v>
      </c>
      <c r="AD168" t="s">
        <v>142</v>
      </c>
      <c r="AG168" t="s">
        <v>378</v>
      </c>
      <c r="AH168">
        <v>0</v>
      </c>
      <c r="AI168">
        <v>0</v>
      </c>
      <c r="AJ168">
        <v>0</v>
      </c>
      <c r="AK168">
        <v>30</v>
      </c>
      <c r="AL168">
        <v>0.75</v>
      </c>
    </row>
    <row r="169" spans="1:38" x14ac:dyDescent="0.3">
      <c r="A169" t="s">
        <v>136</v>
      </c>
      <c r="B169">
        <v>112089</v>
      </c>
      <c r="C169">
        <v>1</v>
      </c>
      <c r="D169" t="s">
        <v>386</v>
      </c>
      <c r="E169" t="s">
        <v>312</v>
      </c>
      <c r="F169">
        <v>44</v>
      </c>
      <c r="G169">
        <v>20.399999999999999</v>
      </c>
      <c r="H169">
        <v>67.45</v>
      </c>
      <c r="I169">
        <v>15.67</v>
      </c>
      <c r="J169">
        <v>51.81</v>
      </c>
      <c r="K169">
        <v>4</v>
      </c>
      <c r="T169">
        <v>3</v>
      </c>
      <c r="U169">
        <v>1</v>
      </c>
      <c r="V169" t="s">
        <v>93</v>
      </c>
      <c r="W169">
        <v>67</v>
      </c>
      <c r="X169">
        <v>15</v>
      </c>
      <c r="Y169">
        <v>9</v>
      </c>
      <c r="Z169" t="s">
        <v>387</v>
      </c>
      <c r="AA169" t="s">
        <v>388</v>
      </c>
      <c r="AB169" t="s">
        <v>96</v>
      </c>
      <c r="AC169" t="s">
        <v>97</v>
      </c>
      <c r="AD169" t="s">
        <v>142</v>
      </c>
      <c r="AG169" t="s">
        <v>389</v>
      </c>
      <c r="AH169">
        <v>0</v>
      </c>
      <c r="AI169">
        <v>699</v>
      </c>
      <c r="AJ169">
        <v>71</v>
      </c>
      <c r="AK169">
        <v>45</v>
      </c>
      <c r="AL169">
        <v>1.02</v>
      </c>
    </row>
    <row r="170" spans="1:38" x14ac:dyDescent="0.3">
      <c r="A170" t="s">
        <v>136</v>
      </c>
      <c r="B170">
        <v>112089</v>
      </c>
      <c r="C170">
        <v>2</v>
      </c>
      <c r="D170" t="s">
        <v>386</v>
      </c>
      <c r="E170" t="s">
        <v>312</v>
      </c>
      <c r="F170">
        <v>44</v>
      </c>
      <c r="G170">
        <v>21.22</v>
      </c>
      <c r="H170">
        <v>70.16</v>
      </c>
      <c r="I170">
        <v>16.38</v>
      </c>
      <c r="J170">
        <v>54.17</v>
      </c>
      <c r="K170">
        <v>8</v>
      </c>
      <c r="T170">
        <v>3</v>
      </c>
      <c r="U170">
        <v>1</v>
      </c>
      <c r="V170" t="s">
        <v>93</v>
      </c>
      <c r="W170">
        <v>70</v>
      </c>
      <c r="X170">
        <v>15</v>
      </c>
      <c r="Y170">
        <v>9</v>
      </c>
      <c r="Z170" t="s">
        <v>387</v>
      </c>
      <c r="AA170" t="s">
        <v>388</v>
      </c>
      <c r="AB170" t="s">
        <v>96</v>
      </c>
      <c r="AC170" t="s">
        <v>97</v>
      </c>
      <c r="AD170" t="s">
        <v>142</v>
      </c>
      <c r="AG170" t="s">
        <v>389</v>
      </c>
      <c r="AH170">
        <v>0</v>
      </c>
      <c r="AI170">
        <v>699</v>
      </c>
      <c r="AJ170">
        <v>71</v>
      </c>
      <c r="AK170">
        <v>45</v>
      </c>
      <c r="AL170">
        <v>1.02</v>
      </c>
    </row>
    <row r="171" spans="1:38" x14ac:dyDescent="0.3">
      <c r="A171" t="s">
        <v>136</v>
      </c>
      <c r="B171">
        <v>112089</v>
      </c>
      <c r="C171">
        <v>3</v>
      </c>
      <c r="D171" t="s">
        <v>386</v>
      </c>
      <c r="E171" t="s">
        <v>312</v>
      </c>
      <c r="F171">
        <v>44</v>
      </c>
      <c r="G171">
        <v>22.08</v>
      </c>
      <c r="H171">
        <v>73.010000000000005</v>
      </c>
      <c r="I171">
        <v>16.829999999999998</v>
      </c>
      <c r="J171">
        <v>55.64</v>
      </c>
      <c r="K171">
        <v>20</v>
      </c>
      <c r="T171">
        <v>3</v>
      </c>
      <c r="U171">
        <v>1</v>
      </c>
      <c r="V171" t="s">
        <v>93</v>
      </c>
      <c r="W171">
        <v>73</v>
      </c>
      <c r="X171">
        <v>15</v>
      </c>
      <c r="Y171">
        <v>9</v>
      </c>
      <c r="Z171" t="s">
        <v>387</v>
      </c>
      <c r="AA171" t="s">
        <v>388</v>
      </c>
      <c r="AB171" t="s">
        <v>96</v>
      </c>
      <c r="AC171" t="s">
        <v>97</v>
      </c>
      <c r="AD171" t="s">
        <v>142</v>
      </c>
      <c r="AG171" t="s">
        <v>389</v>
      </c>
      <c r="AH171">
        <v>0</v>
      </c>
      <c r="AI171">
        <v>699</v>
      </c>
      <c r="AJ171">
        <v>71</v>
      </c>
      <c r="AK171">
        <v>45</v>
      </c>
      <c r="AL171">
        <v>1.02</v>
      </c>
    </row>
    <row r="172" spans="1:38" x14ac:dyDescent="0.3">
      <c r="A172" t="s">
        <v>136</v>
      </c>
      <c r="B172">
        <v>112089</v>
      </c>
      <c r="C172">
        <v>4</v>
      </c>
      <c r="D172" t="s">
        <v>386</v>
      </c>
      <c r="E172" t="s">
        <v>312</v>
      </c>
      <c r="F172">
        <v>44</v>
      </c>
      <c r="G172">
        <v>23.08</v>
      </c>
      <c r="H172">
        <v>76.31</v>
      </c>
      <c r="I172">
        <v>17.61</v>
      </c>
      <c r="J172">
        <v>58.24</v>
      </c>
      <c r="K172">
        <v>12</v>
      </c>
      <c r="T172">
        <v>3</v>
      </c>
      <c r="U172">
        <v>1</v>
      </c>
      <c r="V172" t="s">
        <v>93</v>
      </c>
      <c r="W172">
        <v>76</v>
      </c>
      <c r="X172">
        <v>15</v>
      </c>
      <c r="Y172">
        <v>9</v>
      </c>
      <c r="Z172" t="s">
        <v>387</v>
      </c>
      <c r="AA172" t="s">
        <v>388</v>
      </c>
      <c r="AB172" t="s">
        <v>96</v>
      </c>
      <c r="AC172" t="s">
        <v>97</v>
      </c>
      <c r="AD172" t="s">
        <v>142</v>
      </c>
      <c r="AG172" t="s">
        <v>389</v>
      </c>
      <c r="AH172">
        <v>0</v>
      </c>
      <c r="AI172">
        <v>699</v>
      </c>
      <c r="AJ172">
        <v>71</v>
      </c>
      <c r="AK172">
        <v>45</v>
      </c>
      <c r="AL172">
        <v>1.02</v>
      </c>
    </row>
    <row r="173" spans="1:38" x14ac:dyDescent="0.3">
      <c r="A173" t="s">
        <v>136</v>
      </c>
      <c r="B173">
        <v>126562</v>
      </c>
      <c r="C173">
        <v>1</v>
      </c>
      <c r="D173" t="s">
        <v>390</v>
      </c>
      <c r="E173" t="s">
        <v>391</v>
      </c>
      <c r="F173">
        <v>52</v>
      </c>
      <c r="G173">
        <v>18.7</v>
      </c>
      <c r="H173">
        <v>61.82</v>
      </c>
      <c r="I173">
        <v>14.19</v>
      </c>
      <c r="J173">
        <v>46.91</v>
      </c>
      <c r="K173">
        <v>13</v>
      </c>
      <c r="T173">
        <v>2</v>
      </c>
      <c r="U173">
        <v>1</v>
      </c>
      <c r="V173" t="s">
        <v>93</v>
      </c>
      <c r="W173">
        <v>61</v>
      </c>
      <c r="X173">
        <v>14</v>
      </c>
      <c r="Y173">
        <v>14</v>
      </c>
      <c r="Z173" t="s">
        <v>392</v>
      </c>
      <c r="AA173" t="s">
        <v>393</v>
      </c>
      <c r="AB173" t="s">
        <v>96</v>
      </c>
      <c r="AC173" t="s">
        <v>97</v>
      </c>
      <c r="AD173" t="s">
        <v>142</v>
      </c>
      <c r="AG173" t="s">
        <v>394</v>
      </c>
      <c r="AH173">
        <v>0</v>
      </c>
      <c r="AI173">
        <v>746</v>
      </c>
      <c r="AJ173">
        <v>73</v>
      </c>
      <c r="AK173">
        <v>40</v>
      </c>
      <c r="AL173">
        <v>0.77</v>
      </c>
    </row>
    <row r="174" spans="1:38" x14ac:dyDescent="0.3">
      <c r="A174" t="s">
        <v>136</v>
      </c>
      <c r="B174">
        <v>126562</v>
      </c>
      <c r="C174">
        <v>2</v>
      </c>
      <c r="D174" t="s">
        <v>390</v>
      </c>
      <c r="E174" t="s">
        <v>391</v>
      </c>
      <c r="F174">
        <v>52</v>
      </c>
      <c r="G174">
        <v>20.25</v>
      </c>
      <c r="H174">
        <v>66.97</v>
      </c>
      <c r="I174">
        <v>15.04</v>
      </c>
      <c r="J174">
        <v>49.75</v>
      </c>
      <c r="K174">
        <v>13</v>
      </c>
      <c r="T174">
        <v>3</v>
      </c>
      <c r="U174">
        <v>1</v>
      </c>
      <c r="V174" t="s">
        <v>93</v>
      </c>
      <c r="W174">
        <v>66</v>
      </c>
      <c r="X174">
        <v>14</v>
      </c>
      <c r="Y174">
        <v>14</v>
      </c>
      <c r="Z174" t="s">
        <v>392</v>
      </c>
      <c r="AA174" t="s">
        <v>393</v>
      </c>
      <c r="AB174" t="s">
        <v>96</v>
      </c>
      <c r="AC174" t="s">
        <v>97</v>
      </c>
      <c r="AD174" t="s">
        <v>142</v>
      </c>
      <c r="AG174" t="s">
        <v>394</v>
      </c>
      <c r="AH174">
        <v>0</v>
      </c>
      <c r="AI174">
        <v>746</v>
      </c>
      <c r="AJ174">
        <v>73</v>
      </c>
      <c r="AK174">
        <v>40</v>
      </c>
      <c r="AL174">
        <v>0.77</v>
      </c>
    </row>
    <row r="175" spans="1:38" x14ac:dyDescent="0.3">
      <c r="A175" t="s">
        <v>136</v>
      </c>
      <c r="B175">
        <v>126562</v>
      </c>
      <c r="C175">
        <v>3</v>
      </c>
      <c r="D175" t="s">
        <v>390</v>
      </c>
      <c r="E175" t="s">
        <v>391</v>
      </c>
      <c r="F175">
        <v>52</v>
      </c>
      <c r="G175">
        <v>20.52</v>
      </c>
      <c r="H175">
        <v>67.86</v>
      </c>
      <c r="I175">
        <v>15.37</v>
      </c>
      <c r="J175">
        <v>50.81</v>
      </c>
      <c r="K175">
        <v>13</v>
      </c>
      <c r="T175">
        <v>3</v>
      </c>
      <c r="U175">
        <v>1</v>
      </c>
      <c r="V175" t="s">
        <v>93</v>
      </c>
      <c r="W175" t="s">
        <v>395</v>
      </c>
      <c r="X175">
        <v>14</v>
      </c>
      <c r="Y175">
        <v>14</v>
      </c>
      <c r="Z175" t="s">
        <v>392</v>
      </c>
      <c r="AA175" t="s">
        <v>393</v>
      </c>
      <c r="AB175" t="s">
        <v>96</v>
      </c>
      <c r="AC175" t="s">
        <v>97</v>
      </c>
      <c r="AD175" t="s">
        <v>142</v>
      </c>
      <c r="AG175" t="s">
        <v>394</v>
      </c>
      <c r="AH175">
        <v>0</v>
      </c>
      <c r="AI175">
        <v>746</v>
      </c>
      <c r="AJ175">
        <v>73</v>
      </c>
      <c r="AK175">
        <v>40</v>
      </c>
      <c r="AL175">
        <v>0.77</v>
      </c>
    </row>
    <row r="176" spans="1:38" x14ac:dyDescent="0.3">
      <c r="A176" t="s">
        <v>136</v>
      </c>
      <c r="B176">
        <v>126562</v>
      </c>
      <c r="C176">
        <v>4</v>
      </c>
      <c r="D176" t="s">
        <v>390</v>
      </c>
      <c r="E176" t="s">
        <v>391</v>
      </c>
      <c r="F176">
        <v>52</v>
      </c>
      <c r="G176">
        <v>20.67</v>
      </c>
      <c r="H176">
        <v>68.34</v>
      </c>
      <c r="I176">
        <v>15.52</v>
      </c>
      <c r="J176">
        <v>51.32</v>
      </c>
      <c r="K176">
        <v>13</v>
      </c>
      <c r="T176">
        <v>3</v>
      </c>
      <c r="U176">
        <v>1</v>
      </c>
      <c r="V176" t="s">
        <v>93</v>
      </c>
      <c r="W176" t="s">
        <v>230</v>
      </c>
      <c r="X176">
        <v>14</v>
      </c>
      <c r="Y176">
        <v>14</v>
      </c>
      <c r="Z176" t="s">
        <v>392</v>
      </c>
      <c r="AA176" t="s">
        <v>393</v>
      </c>
      <c r="AB176" t="s">
        <v>96</v>
      </c>
      <c r="AC176" t="s">
        <v>97</v>
      </c>
      <c r="AD176" t="s">
        <v>142</v>
      </c>
      <c r="AG176" t="s">
        <v>394</v>
      </c>
      <c r="AH176">
        <v>0</v>
      </c>
      <c r="AI176">
        <v>746</v>
      </c>
      <c r="AJ176">
        <v>73</v>
      </c>
      <c r="AK176">
        <v>40</v>
      </c>
      <c r="AL176">
        <v>0.77</v>
      </c>
    </row>
    <row r="177" spans="1:38" x14ac:dyDescent="0.3">
      <c r="A177" t="s">
        <v>136</v>
      </c>
      <c r="B177">
        <v>121612</v>
      </c>
      <c r="C177">
        <v>1</v>
      </c>
      <c r="D177" t="s">
        <v>396</v>
      </c>
      <c r="E177" t="s">
        <v>397</v>
      </c>
      <c r="F177">
        <v>8</v>
      </c>
      <c r="G177">
        <v>21.67</v>
      </c>
      <c r="H177">
        <v>71.64</v>
      </c>
      <c r="I177">
        <v>17.45</v>
      </c>
      <c r="J177">
        <v>57.71</v>
      </c>
      <c r="K177">
        <v>4</v>
      </c>
      <c r="T177">
        <v>3</v>
      </c>
      <c r="U177">
        <v>1</v>
      </c>
      <c r="V177" t="s">
        <v>93</v>
      </c>
      <c r="W177">
        <v>71</v>
      </c>
      <c r="X177">
        <v>5</v>
      </c>
      <c r="Y177">
        <v>5</v>
      </c>
      <c r="Z177" t="s">
        <v>398</v>
      </c>
      <c r="AA177" t="s">
        <v>399</v>
      </c>
      <c r="AB177" t="s">
        <v>96</v>
      </c>
      <c r="AC177" t="s">
        <v>97</v>
      </c>
      <c r="AD177" t="s">
        <v>142</v>
      </c>
      <c r="AG177" t="s">
        <v>400</v>
      </c>
      <c r="AH177">
        <v>0</v>
      </c>
      <c r="AI177">
        <v>552</v>
      </c>
      <c r="AJ177">
        <v>70</v>
      </c>
      <c r="AK177">
        <v>8</v>
      </c>
      <c r="AL177">
        <v>1</v>
      </c>
    </row>
    <row r="178" spans="1:38" x14ac:dyDescent="0.3">
      <c r="A178" t="s">
        <v>136</v>
      </c>
      <c r="B178">
        <v>121612</v>
      </c>
      <c r="C178">
        <v>2</v>
      </c>
      <c r="D178" t="s">
        <v>396</v>
      </c>
      <c r="E178" t="s">
        <v>397</v>
      </c>
      <c r="F178">
        <v>8</v>
      </c>
      <c r="G178">
        <v>23.75</v>
      </c>
      <c r="H178">
        <v>78.52</v>
      </c>
      <c r="I178">
        <v>19.2</v>
      </c>
      <c r="J178">
        <v>63.48</v>
      </c>
      <c r="K178">
        <v>4</v>
      </c>
      <c r="T178">
        <v>3</v>
      </c>
      <c r="U178">
        <v>1</v>
      </c>
      <c r="V178" t="s">
        <v>93</v>
      </c>
      <c r="W178">
        <v>78</v>
      </c>
      <c r="X178">
        <v>5</v>
      </c>
      <c r="Y178">
        <v>5</v>
      </c>
      <c r="Z178" t="s">
        <v>398</v>
      </c>
      <c r="AA178" t="s">
        <v>399</v>
      </c>
      <c r="AB178" t="s">
        <v>96</v>
      </c>
      <c r="AC178" t="s">
        <v>97</v>
      </c>
      <c r="AD178" t="s">
        <v>142</v>
      </c>
      <c r="AG178" t="s">
        <v>400</v>
      </c>
      <c r="AH178">
        <v>0</v>
      </c>
      <c r="AI178">
        <v>552</v>
      </c>
      <c r="AJ178">
        <v>70</v>
      </c>
      <c r="AK178">
        <v>8</v>
      </c>
      <c r="AL178">
        <v>1</v>
      </c>
    </row>
    <row r="179" spans="1:38" x14ac:dyDescent="0.3">
      <c r="A179" t="s">
        <v>136</v>
      </c>
      <c r="B179">
        <v>117785</v>
      </c>
      <c r="C179">
        <v>1</v>
      </c>
      <c r="D179" t="s">
        <v>401</v>
      </c>
      <c r="E179" t="s">
        <v>402</v>
      </c>
      <c r="F179">
        <v>19</v>
      </c>
      <c r="G179">
        <v>14.65</v>
      </c>
      <c r="H179">
        <v>48.46</v>
      </c>
      <c r="I179">
        <v>12.61</v>
      </c>
      <c r="J179">
        <v>41.69</v>
      </c>
      <c r="K179">
        <v>3</v>
      </c>
      <c r="T179">
        <v>2</v>
      </c>
      <c r="U179">
        <v>1</v>
      </c>
      <c r="V179" t="s">
        <v>93</v>
      </c>
      <c r="W179">
        <v>48</v>
      </c>
      <c r="X179">
        <v>9</v>
      </c>
      <c r="Y179">
        <v>8</v>
      </c>
      <c r="Z179" t="s">
        <v>403</v>
      </c>
      <c r="AA179" t="s">
        <v>404</v>
      </c>
      <c r="AB179" t="s">
        <v>96</v>
      </c>
      <c r="AC179" t="s">
        <v>97</v>
      </c>
      <c r="AD179" t="s">
        <v>142</v>
      </c>
      <c r="AG179" t="s">
        <v>405</v>
      </c>
      <c r="AH179">
        <v>0</v>
      </c>
      <c r="AI179">
        <v>488</v>
      </c>
      <c r="AJ179">
        <v>75</v>
      </c>
      <c r="AK179">
        <v>20</v>
      </c>
      <c r="AL179">
        <v>1.05</v>
      </c>
    </row>
    <row r="180" spans="1:38" x14ac:dyDescent="0.3">
      <c r="A180" t="s">
        <v>136</v>
      </c>
      <c r="B180">
        <v>117785</v>
      </c>
      <c r="C180">
        <v>2</v>
      </c>
      <c r="D180" t="s">
        <v>401</v>
      </c>
      <c r="E180" t="s">
        <v>402</v>
      </c>
      <c r="F180">
        <v>19</v>
      </c>
      <c r="G180">
        <v>22.4</v>
      </c>
      <c r="H180">
        <v>74.069999999999993</v>
      </c>
      <c r="I180">
        <v>19.27</v>
      </c>
      <c r="J180">
        <v>63.72</v>
      </c>
      <c r="K180">
        <v>3</v>
      </c>
      <c r="T180">
        <v>3</v>
      </c>
      <c r="U180">
        <v>1</v>
      </c>
      <c r="V180" t="s">
        <v>93</v>
      </c>
      <c r="W180">
        <v>74</v>
      </c>
      <c r="X180">
        <v>9</v>
      </c>
      <c r="Y180">
        <v>8</v>
      </c>
      <c r="Z180" t="s">
        <v>403</v>
      </c>
      <c r="AA180" t="s">
        <v>404</v>
      </c>
      <c r="AB180" t="s">
        <v>96</v>
      </c>
      <c r="AC180" t="s">
        <v>97</v>
      </c>
      <c r="AD180" t="s">
        <v>142</v>
      </c>
      <c r="AG180" t="s">
        <v>405</v>
      </c>
      <c r="AH180">
        <v>0</v>
      </c>
      <c r="AI180">
        <v>488</v>
      </c>
      <c r="AJ180">
        <v>75</v>
      </c>
      <c r="AK180">
        <v>20</v>
      </c>
      <c r="AL180">
        <v>1.05</v>
      </c>
    </row>
    <row r="181" spans="1:38" x14ac:dyDescent="0.3">
      <c r="A181" t="s">
        <v>136</v>
      </c>
      <c r="B181">
        <v>117785</v>
      </c>
      <c r="C181">
        <v>3</v>
      </c>
      <c r="D181" t="s">
        <v>401</v>
      </c>
      <c r="E181" t="s">
        <v>402</v>
      </c>
      <c r="F181">
        <v>19</v>
      </c>
      <c r="G181">
        <v>22.56</v>
      </c>
      <c r="H181">
        <v>74.599999999999994</v>
      </c>
      <c r="I181">
        <v>19.41</v>
      </c>
      <c r="J181">
        <v>64.17</v>
      </c>
      <c r="K181">
        <v>3</v>
      </c>
      <c r="T181">
        <v>3</v>
      </c>
      <c r="U181">
        <v>1</v>
      </c>
      <c r="V181" t="s">
        <v>93</v>
      </c>
      <c r="W181" t="s">
        <v>406</v>
      </c>
      <c r="X181">
        <v>9</v>
      </c>
      <c r="Y181">
        <v>8</v>
      </c>
      <c r="Z181" t="s">
        <v>403</v>
      </c>
      <c r="AA181" t="s">
        <v>404</v>
      </c>
      <c r="AB181" t="s">
        <v>96</v>
      </c>
      <c r="AC181" t="s">
        <v>97</v>
      </c>
      <c r="AD181" t="s">
        <v>142</v>
      </c>
      <c r="AG181" t="s">
        <v>405</v>
      </c>
      <c r="AH181">
        <v>0</v>
      </c>
      <c r="AI181">
        <v>488</v>
      </c>
      <c r="AJ181">
        <v>75</v>
      </c>
      <c r="AK181">
        <v>20</v>
      </c>
      <c r="AL181">
        <v>1.05</v>
      </c>
    </row>
    <row r="182" spans="1:38" x14ac:dyDescent="0.3">
      <c r="A182" t="s">
        <v>136</v>
      </c>
      <c r="B182">
        <v>117785</v>
      </c>
      <c r="C182">
        <v>4</v>
      </c>
      <c r="D182" t="s">
        <v>401</v>
      </c>
      <c r="E182" t="s">
        <v>402</v>
      </c>
      <c r="F182">
        <v>19</v>
      </c>
      <c r="G182">
        <v>22.87</v>
      </c>
      <c r="H182">
        <v>75.63</v>
      </c>
      <c r="I182">
        <v>19.68</v>
      </c>
      <c r="J182">
        <v>65.06</v>
      </c>
      <c r="K182">
        <v>6</v>
      </c>
      <c r="T182">
        <v>3</v>
      </c>
      <c r="U182">
        <v>1</v>
      </c>
      <c r="V182" t="s">
        <v>93</v>
      </c>
      <c r="W182" t="s">
        <v>407</v>
      </c>
      <c r="X182">
        <v>9</v>
      </c>
      <c r="Y182">
        <v>8</v>
      </c>
      <c r="Z182" t="s">
        <v>403</v>
      </c>
      <c r="AA182" t="s">
        <v>404</v>
      </c>
      <c r="AB182" t="s">
        <v>96</v>
      </c>
      <c r="AC182" t="s">
        <v>97</v>
      </c>
      <c r="AD182" t="s">
        <v>142</v>
      </c>
      <c r="AG182" t="s">
        <v>405</v>
      </c>
      <c r="AH182">
        <v>0</v>
      </c>
      <c r="AI182">
        <v>488</v>
      </c>
      <c r="AJ182">
        <v>75</v>
      </c>
      <c r="AK182">
        <v>20</v>
      </c>
      <c r="AL182">
        <v>1.05</v>
      </c>
    </row>
    <row r="183" spans="1:38" x14ac:dyDescent="0.3">
      <c r="A183" t="s">
        <v>136</v>
      </c>
      <c r="B183">
        <v>117785</v>
      </c>
      <c r="C183">
        <v>5</v>
      </c>
      <c r="D183" t="s">
        <v>401</v>
      </c>
      <c r="E183" t="s">
        <v>402</v>
      </c>
      <c r="F183">
        <v>19</v>
      </c>
      <c r="G183">
        <v>28.94</v>
      </c>
      <c r="H183">
        <v>95.7</v>
      </c>
      <c r="I183">
        <v>24.9</v>
      </c>
      <c r="J183">
        <v>82.32</v>
      </c>
      <c r="K183">
        <v>2</v>
      </c>
      <c r="T183">
        <v>3</v>
      </c>
      <c r="U183">
        <v>2</v>
      </c>
      <c r="V183" t="s">
        <v>93</v>
      </c>
      <c r="W183">
        <v>95</v>
      </c>
      <c r="X183">
        <v>9</v>
      </c>
      <c r="Y183">
        <v>8</v>
      </c>
      <c r="Z183" t="s">
        <v>403</v>
      </c>
      <c r="AA183" t="s">
        <v>404</v>
      </c>
      <c r="AB183" t="s">
        <v>96</v>
      </c>
      <c r="AC183" t="s">
        <v>97</v>
      </c>
      <c r="AD183" t="s">
        <v>142</v>
      </c>
      <c r="AG183" t="s">
        <v>405</v>
      </c>
      <c r="AH183">
        <v>0</v>
      </c>
      <c r="AI183">
        <v>488</v>
      </c>
      <c r="AJ183">
        <v>75</v>
      </c>
      <c r="AK183">
        <v>20</v>
      </c>
      <c r="AL183">
        <v>1.05</v>
      </c>
    </row>
    <row r="184" spans="1:38" x14ac:dyDescent="0.3">
      <c r="A184" t="s">
        <v>136</v>
      </c>
      <c r="B184">
        <v>117785</v>
      </c>
      <c r="C184">
        <v>6</v>
      </c>
      <c r="D184" t="s">
        <v>401</v>
      </c>
      <c r="E184" t="s">
        <v>402</v>
      </c>
      <c r="F184">
        <v>19</v>
      </c>
      <c r="G184">
        <v>29.83</v>
      </c>
      <c r="H184">
        <v>98.64</v>
      </c>
      <c r="I184">
        <v>25.66</v>
      </c>
      <c r="J184">
        <v>84.85</v>
      </c>
      <c r="K184">
        <v>2</v>
      </c>
      <c r="T184">
        <v>3</v>
      </c>
      <c r="U184">
        <v>2</v>
      </c>
      <c r="V184" t="s">
        <v>93</v>
      </c>
      <c r="W184">
        <v>98</v>
      </c>
      <c r="X184">
        <v>9</v>
      </c>
      <c r="Y184">
        <v>8</v>
      </c>
      <c r="Z184" t="s">
        <v>403</v>
      </c>
      <c r="AA184" t="s">
        <v>404</v>
      </c>
      <c r="AB184" t="s">
        <v>96</v>
      </c>
      <c r="AC184" t="s">
        <v>97</v>
      </c>
      <c r="AD184" t="s">
        <v>142</v>
      </c>
      <c r="AG184" t="s">
        <v>405</v>
      </c>
      <c r="AH184">
        <v>0</v>
      </c>
      <c r="AI184">
        <v>488</v>
      </c>
      <c r="AJ184">
        <v>75</v>
      </c>
      <c r="AK184">
        <v>20</v>
      </c>
      <c r="AL184">
        <v>1.05</v>
      </c>
    </row>
    <row r="185" spans="1:38" x14ac:dyDescent="0.3">
      <c r="A185" t="s">
        <v>136</v>
      </c>
      <c r="B185">
        <v>100187</v>
      </c>
      <c r="C185">
        <v>1</v>
      </c>
      <c r="D185" t="s">
        <v>408</v>
      </c>
      <c r="E185" t="s">
        <v>409</v>
      </c>
      <c r="F185">
        <v>36</v>
      </c>
      <c r="G185">
        <v>23.75</v>
      </c>
      <c r="H185">
        <v>78.52</v>
      </c>
      <c r="I185">
        <v>21.22</v>
      </c>
      <c r="J185">
        <v>70.17</v>
      </c>
      <c r="K185">
        <v>12</v>
      </c>
      <c r="T185">
        <v>3</v>
      </c>
      <c r="U185">
        <v>2</v>
      </c>
      <c r="V185" t="s">
        <v>93</v>
      </c>
      <c r="W185">
        <v>78</v>
      </c>
      <c r="X185">
        <v>15</v>
      </c>
      <c r="Y185">
        <v>15</v>
      </c>
      <c r="Z185" t="s">
        <v>410</v>
      </c>
      <c r="AA185" t="s">
        <v>411</v>
      </c>
      <c r="AB185" t="s">
        <v>96</v>
      </c>
      <c r="AC185" t="s">
        <v>97</v>
      </c>
      <c r="AD185" t="s">
        <v>142</v>
      </c>
      <c r="AG185" t="s">
        <v>412</v>
      </c>
      <c r="AH185">
        <v>0</v>
      </c>
      <c r="AI185">
        <v>359</v>
      </c>
      <c r="AJ185">
        <v>76</v>
      </c>
      <c r="AK185">
        <v>35</v>
      </c>
      <c r="AL185">
        <v>0.97</v>
      </c>
    </row>
    <row r="186" spans="1:38" x14ac:dyDescent="0.3">
      <c r="A186" t="s">
        <v>136</v>
      </c>
      <c r="B186">
        <v>100187</v>
      </c>
      <c r="C186">
        <v>2</v>
      </c>
      <c r="D186" t="s">
        <v>408</v>
      </c>
      <c r="E186" t="s">
        <v>409</v>
      </c>
      <c r="F186">
        <v>36</v>
      </c>
      <c r="G186">
        <v>24.53</v>
      </c>
      <c r="H186">
        <v>81.11</v>
      </c>
      <c r="I186">
        <v>21.92</v>
      </c>
      <c r="J186">
        <v>72.489999999999995</v>
      </c>
      <c r="K186">
        <v>12</v>
      </c>
      <c r="T186">
        <v>3</v>
      </c>
      <c r="U186">
        <v>1</v>
      </c>
      <c r="V186" t="s">
        <v>93</v>
      </c>
      <c r="W186">
        <v>81</v>
      </c>
      <c r="X186">
        <v>15</v>
      </c>
      <c r="Y186">
        <v>15</v>
      </c>
      <c r="Z186" t="s">
        <v>410</v>
      </c>
      <c r="AA186" t="s">
        <v>411</v>
      </c>
      <c r="AB186" t="s">
        <v>96</v>
      </c>
      <c r="AC186" t="s">
        <v>97</v>
      </c>
      <c r="AD186" t="s">
        <v>142</v>
      </c>
      <c r="AG186" t="s">
        <v>412</v>
      </c>
      <c r="AH186">
        <v>0</v>
      </c>
      <c r="AI186">
        <v>359</v>
      </c>
      <c r="AJ186">
        <v>76</v>
      </c>
      <c r="AK186">
        <v>35</v>
      </c>
      <c r="AL186">
        <v>0.97</v>
      </c>
    </row>
    <row r="187" spans="1:38" x14ac:dyDescent="0.3">
      <c r="A187" t="s">
        <v>136</v>
      </c>
      <c r="B187">
        <v>100187</v>
      </c>
      <c r="C187">
        <v>3</v>
      </c>
      <c r="D187" t="s">
        <v>408</v>
      </c>
      <c r="E187" t="s">
        <v>409</v>
      </c>
      <c r="F187">
        <v>36</v>
      </c>
      <c r="G187">
        <v>26.15</v>
      </c>
      <c r="H187">
        <v>86.47</v>
      </c>
      <c r="I187">
        <v>23.37</v>
      </c>
      <c r="J187">
        <v>77.28</v>
      </c>
      <c r="K187">
        <v>12</v>
      </c>
      <c r="T187">
        <v>3</v>
      </c>
      <c r="U187">
        <v>2</v>
      </c>
      <c r="V187" t="s">
        <v>93</v>
      </c>
      <c r="W187">
        <v>86</v>
      </c>
      <c r="X187">
        <v>15</v>
      </c>
      <c r="Y187">
        <v>15</v>
      </c>
      <c r="Z187" t="s">
        <v>410</v>
      </c>
      <c r="AA187" t="s">
        <v>411</v>
      </c>
      <c r="AB187" t="s">
        <v>96</v>
      </c>
      <c r="AC187" t="s">
        <v>97</v>
      </c>
      <c r="AD187" t="s">
        <v>142</v>
      </c>
      <c r="AG187" t="s">
        <v>412</v>
      </c>
      <c r="AH187">
        <v>0</v>
      </c>
      <c r="AI187">
        <v>359</v>
      </c>
      <c r="AJ187">
        <v>76</v>
      </c>
      <c r="AK187">
        <v>35</v>
      </c>
      <c r="AL187">
        <v>0.97</v>
      </c>
    </row>
    <row r="188" spans="1:38" x14ac:dyDescent="0.3">
      <c r="A188" t="s">
        <v>136</v>
      </c>
      <c r="B188">
        <v>137342</v>
      </c>
      <c r="C188">
        <v>1</v>
      </c>
      <c r="D188" t="s">
        <v>413</v>
      </c>
      <c r="E188" t="s">
        <v>414</v>
      </c>
      <c r="F188">
        <v>11</v>
      </c>
      <c r="G188">
        <v>17.559999999999999</v>
      </c>
      <c r="H188">
        <v>58.08</v>
      </c>
      <c r="I188">
        <v>14.49</v>
      </c>
      <c r="J188">
        <v>47.92</v>
      </c>
      <c r="K188">
        <v>3</v>
      </c>
      <c r="T188">
        <v>2</v>
      </c>
      <c r="U188">
        <v>1</v>
      </c>
      <c r="V188" t="s">
        <v>93</v>
      </c>
      <c r="W188" t="s">
        <v>178</v>
      </c>
      <c r="X188">
        <v>7</v>
      </c>
      <c r="Y188">
        <v>6</v>
      </c>
      <c r="Z188" t="s">
        <v>415</v>
      </c>
      <c r="AA188" t="s">
        <v>416</v>
      </c>
      <c r="AB188" t="s">
        <v>96</v>
      </c>
      <c r="AC188" t="s">
        <v>97</v>
      </c>
      <c r="AD188" t="s">
        <v>142</v>
      </c>
      <c r="AG188" t="s">
        <v>417</v>
      </c>
      <c r="AH188">
        <v>0</v>
      </c>
      <c r="AI188">
        <v>299</v>
      </c>
      <c r="AJ188">
        <v>56</v>
      </c>
      <c r="AK188">
        <v>8</v>
      </c>
      <c r="AL188">
        <v>0.73</v>
      </c>
    </row>
    <row r="189" spans="1:38" x14ac:dyDescent="0.3">
      <c r="A189" t="s">
        <v>136</v>
      </c>
      <c r="B189">
        <v>137342</v>
      </c>
      <c r="C189">
        <v>2</v>
      </c>
      <c r="D189" t="s">
        <v>413</v>
      </c>
      <c r="E189" t="s">
        <v>414</v>
      </c>
      <c r="F189">
        <v>11</v>
      </c>
      <c r="G189">
        <v>17.809999999999999</v>
      </c>
      <c r="H189">
        <v>58.88</v>
      </c>
      <c r="I189">
        <v>14.64</v>
      </c>
      <c r="J189">
        <v>48.42</v>
      </c>
      <c r="K189">
        <v>3</v>
      </c>
      <c r="T189">
        <v>2</v>
      </c>
      <c r="U189">
        <v>1</v>
      </c>
      <c r="V189" t="s">
        <v>93</v>
      </c>
      <c r="W189" t="s">
        <v>418</v>
      </c>
      <c r="X189">
        <v>7</v>
      </c>
      <c r="Y189">
        <v>6</v>
      </c>
      <c r="Z189" t="s">
        <v>415</v>
      </c>
      <c r="AA189" t="s">
        <v>416</v>
      </c>
      <c r="AB189" t="s">
        <v>96</v>
      </c>
      <c r="AC189" t="s">
        <v>97</v>
      </c>
      <c r="AD189" t="s">
        <v>142</v>
      </c>
      <c r="AG189" t="s">
        <v>417</v>
      </c>
      <c r="AH189">
        <v>0</v>
      </c>
      <c r="AI189">
        <v>299</v>
      </c>
      <c r="AJ189">
        <v>56</v>
      </c>
      <c r="AK189">
        <v>8</v>
      </c>
      <c r="AL189">
        <v>0.73</v>
      </c>
    </row>
    <row r="190" spans="1:38" x14ac:dyDescent="0.3">
      <c r="A190" t="s">
        <v>136</v>
      </c>
      <c r="B190">
        <v>137342</v>
      </c>
      <c r="C190">
        <v>3</v>
      </c>
      <c r="D190" t="s">
        <v>413</v>
      </c>
      <c r="E190" t="s">
        <v>414</v>
      </c>
      <c r="F190">
        <v>11</v>
      </c>
      <c r="G190">
        <v>17.62</v>
      </c>
      <c r="H190">
        <v>58.26</v>
      </c>
      <c r="I190">
        <v>14.55</v>
      </c>
      <c r="J190">
        <v>48.12</v>
      </c>
      <c r="K190">
        <v>1</v>
      </c>
      <c r="T190">
        <v>2</v>
      </c>
      <c r="U190">
        <v>1</v>
      </c>
      <c r="V190" t="s">
        <v>93</v>
      </c>
      <c r="W190" t="s">
        <v>419</v>
      </c>
      <c r="X190">
        <v>7</v>
      </c>
      <c r="Y190">
        <v>6</v>
      </c>
      <c r="Z190" t="s">
        <v>415</v>
      </c>
      <c r="AA190" t="s">
        <v>416</v>
      </c>
      <c r="AB190" t="s">
        <v>96</v>
      </c>
      <c r="AC190" t="s">
        <v>97</v>
      </c>
      <c r="AD190" t="s">
        <v>142</v>
      </c>
      <c r="AG190" t="s">
        <v>417</v>
      </c>
      <c r="AH190">
        <v>0</v>
      </c>
      <c r="AI190">
        <v>299</v>
      </c>
      <c r="AJ190">
        <v>56</v>
      </c>
      <c r="AK190">
        <v>8</v>
      </c>
      <c r="AL190">
        <v>0.73</v>
      </c>
    </row>
    <row r="191" spans="1:38" x14ac:dyDescent="0.3">
      <c r="A191" t="s">
        <v>136</v>
      </c>
      <c r="B191">
        <v>137342</v>
      </c>
      <c r="C191">
        <v>4</v>
      </c>
      <c r="D191" t="s">
        <v>413</v>
      </c>
      <c r="E191" t="s">
        <v>414</v>
      </c>
      <c r="F191">
        <v>11</v>
      </c>
      <c r="G191">
        <v>18.04</v>
      </c>
      <c r="H191">
        <v>59.64</v>
      </c>
      <c r="I191">
        <v>14.87</v>
      </c>
      <c r="J191">
        <v>49.17</v>
      </c>
      <c r="K191">
        <v>2</v>
      </c>
      <c r="T191">
        <v>2</v>
      </c>
      <c r="U191">
        <v>1</v>
      </c>
      <c r="V191" t="s">
        <v>93</v>
      </c>
      <c r="W191" t="s">
        <v>420</v>
      </c>
      <c r="X191">
        <v>7</v>
      </c>
      <c r="Y191">
        <v>6</v>
      </c>
      <c r="Z191" t="s">
        <v>415</v>
      </c>
      <c r="AA191" t="s">
        <v>416</v>
      </c>
      <c r="AB191" t="s">
        <v>96</v>
      </c>
      <c r="AC191" t="s">
        <v>97</v>
      </c>
      <c r="AD191" t="s">
        <v>142</v>
      </c>
      <c r="AG191" t="s">
        <v>417</v>
      </c>
      <c r="AH191">
        <v>0</v>
      </c>
      <c r="AI191">
        <v>299</v>
      </c>
      <c r="AJ191">
        <v>56</v>
      </c>
      <c r="AK191">
        <v>8</v>
      </c>
      <c r="AL191">
        <v>0.73</v>
      </c>
    </row>
    <row r="192" spans="1:38" x14ac:dyDescent="0.3">
      <c r="A192" t="s">
        <v>136</v>
      </c>
      <c r="B192">
        <v>137342</v>
      </c>
      <c r="C192">
        <v>5</v>
      </c>
      <c r="D192" t="s">
        <v>413</v>
      </c>
      <c r="E192" t="s">
        <v>414</v>
      </c>
      <c r="F192">
        <v>11</v>
      </c>
      <c r="G192">
        <v>17.850000000000001</v>
      </c>
      <c r="H192">
        <v>59.02</v>
      </c>
      <c r="I192">
        <v>14.72</v>
      </c>
      <c r="J192">
        <v>48.67</v>
      </c>
      <c r="K192">
        <v>1</v>
      </c>
      <c r="T192">
        <v>2</v>
      </c>
      <c r="U192">
        <v>1</v>
      </c>
      <c r="V192" t="s">
        <v>93</v>
      </c>
      <c r="W192" t="s">
        <v>421</v>
      </c>
      <c r="X192">
        <v>7</v>
      </c>
      <c r="Y192">
        <v>6</v>
      </c>
      <c r="Z192" t="s">
        <v>415</v>
      </c>
      <c r="AA192" t="s">
        <v>416</v>
      </c>
      <c r="AB192" t="s">
        <v>96</v>
      </c>
      <c r="AC192" t="s">
        <v>97</v>
      </c>
      <c r="AD192" t="s">
        <v>142</v>
      </c>
      <c r="AG192" t="s">
        <v>417</v>
      </c>
      <c r="AH192">
        <v>0</v>
      </c>
      <c r="AI192">
        <v>299</v>
      </c>
      <c r="AJ192">
        <v>56</v>
      </c>
      <c r="AK192">
        <v>8</v>
      </c>
      <c r="AL192">
        <v>0.73</v>
      </c>
    </row>
    <row r="193" spans="1:38" x14ac:dyDescent="0.3">
      <c r="A193" t="s">
        <v>136</v>
      </c>
      <c r="B193">
        <v>137342</v>
      </c>
      <c r="C193">
        <v>6</v>
      </c>
      <c r="D193" t="s">
        <v>413</v>
      </c>
      <c r="E193" t="s">
        <v>414</v>
      </c>
      <c r="F193">
        <v>11</v>
      </c>
      <c r="G193">
        <v>18.16</v>
      </c>
      <c r="H193">
        <v>60.05</v>
      </c>
      <c r="I193">
        <v>15.01</v>
      </c>
      <c r="J193">
        <v>49.65</v>
      </c>
      <c r="K193">
        <v>1</v>
      </c>
      <c r="T193">
        <v>2</v>
      </c>
      <c r="U193">
        <v>1</v>
      </c>
      <c r="V193" t="s">
        <v>93</v>
      </c>
      <c r="W193" t="s">
        <v>422</v>
      </c>
      <c r="X193">
        <v>7</v>
      </c>
      <c r="Y193">
        <v>6</v>
      </c>
      <c r="Z193" t="s">
        <v>415</v>
      </c>
      <c r="AA193" t="s">
        <v>416</v>
      </c>
      <c r="AB193" t="s">
        <v>96</v>
      </c>
      <c r="AC193" t="s">
        <v>97</v>
      </c>
      <c r="AD193" t="s">
        <v>142</v>
      </c>
      <c r="AG193" t="s">
        <v>417</v>
      </c>
      <c r="AH193">
        <v>0</v>
      </c>
      <c r="AI193">
        <v>299</v>
      </c>
      <c r="AJ193">
        <v>56</v>
      </c>
      <c r="AK193">
        <v>8</v>
      </c>
      <c r="AL193">
        <v>0.73</v>
      </c>
    </row>
    <row r="194" spans="1:38" x14ac:dyDescent="0.3">
      <c r="A194" t="s">
        <v>136</v>
      </c>
      <c r="B194">
        <v>118759</v>
      </c>
      <c r="C194">
        <v>1</v>
      </c>
      <c r="D194" t="s">
        <v>423</v>
      </c>
      <c r="E194" t="s">
        <v>181</v>
      </c>
      <c r="F194">
        <v>588</v>
      </c>
      <c r="G194">
        <v>30.8</v>
      </c>
      <c r="H194">
        <v>101.83</v>
      </c>
      <c r="I194">
        <v>22.67</v>
      </c>
      <c r="J194">
        <v>74.959999999999994</v>
      </c>
      <c r="K194">
        <v>229</v>
      </c>
      <c r="T194">
        <v>3</v>
      </c>
      <c r="U194">
        <v>2</v>
      </c>
      <c r="V194" t="s">
        <v>93</v>
      </c>
      <c r="W194" t="s">
        <v>424</v>
      </c>
      <c r="X194">
        <v>49</v>
      </c>
      <c r="Y194">
        <v>35</v>
      </c>
      <c r="Z194" t="s">
        <v>425</v>
      </c>
      <c r="AA194" t="s">
        <v>426</v>
      </c>
      <c r="AB194" t="s">
        <v>96</v>
      </c>
      <c r="AC194" t="s">
        <v>97</v>
      </c>
      <c r="AD194" t="s">
        <v>142</v>
      </c>
      <c r="AG194" t="s">
        <v>427</v>
      </c>
      <c r="AH194">
        <v>0</v>
      </c>
      <c r="AI194">
        <v>439</v>
      </c>
      <c r="AJ194">
        <v>39</v>
      </c>
      <c r="AK194">
        <v>840</v>
      </c>
      <c r="AL194">
        <v>1.43</v>
      </c>
    </row>
    <row r="195" spans="1:38" x14ac:dyDescent="0.3">
      <c r="A195" t="s">
        <v>136</v>
      </c>
      <c r="B195">
        <v>118759</v>
      </c>
      <c r="C195">
        <v>2</v>
      </c>
      <c r="D195" t="s">
        <v>423</v>
      </c>
      <c r="E195" t="s">
        <v>181</v>
      </c>
      <c r="F195">
        <v>588</v>
      </c>
      <c r="G195">
        <v>34.4</v>
      </c>
      <c r="H195">
        <v>113.75</v>
      </c>
      <c r="I195">
        <v>25.7</v>
      </c>
      <c r="J195">
        <v>84.98</v>
      </c>
      <c r="K195">
        <v>64</v>
      </c>
      <c r="T195">
        <v>3</v>
      </c>
      <c r="U195">
        <v>2</v>
      </c>
      <c r="V195" t="s">
        <v>93</v>
      </c>
      <c r="W195" t="s">
        <v>428</v>
      </c>
      <c r="X195">
        <v>49</v>
      </c>
      <c r="Y195">
        <v>35</v>
      </c>
      <c r="Z195" t="s">
        <v>425</v>
      </c>
      <c r="AA195" t="s">
        <v>426</v>
      </c>
      <c r="AB195" t="s">
        <v>96</v>
      </c>
      <c r="AC195" t="s">
        <v>97</v>
      </c>
      <c r="AD195" t="s">
        <v>142</v>
      </c>
      <c r="AG195" t="s">
        <v>427</v>
      </c>
      <c r="AH195">
        <v>0</v>
      </c>
      <c r="AI195">
        <v>439</v>
      </c>
      <c r="AJ195">
        <v>39</v>
      </c>
      <c r="AK195">
        <v>840</v>
      </c>
      <c r="AL195">
        <v>1.43</v>
      </c>
    </row>
    <row r="196" spans="1:38" x14ac:dyDescent="0.3">
      <c r="A196" t="s">
        <v>136</v>
      </c>
      <c r="B196">
        <v>118759</v>
      </c>
      <c r="C196">
        <v>3</v>
      </c>
      <c r="D196" t="s">
        <v>423</v>
      </c>
      <c r="E196" t="s">
        <v>181</v>
      </c>
      <c r="F196">
        <v>588</v>
      </c>
      <c r="G196">
        <v>34.56</v>
      </c>
      <c r="H196">
        <v>114.26</v>
      </c>
      <c r="I196">
        <v>25.69</v>
      </c>
      <c r="J196">
        <v>84.93</v>
      </c>
      <c r="K196">
        <v>295</v>
      </c>
      <c r="T196">
        <v>3</v>
      </c>
      <c r="U196">
        <v>2</v>
      </c>
      <c r="V196" t="s">
        <v>93</v>
      </c>
      <c r="W196" t="s">
        <v>429</v>
      </c>
      <c r="X196">
        <v>49</v>
      </c>
      <c r="Y196">
        <v>35</v>
      </c>
      <c r="Z196" t="s">
        <v>425</v>
      </c>
      <c r="AA196" t="s">
        <v>426</v>
      </c>
      <c r="AB196" t="s">
        <v>96</v>
      </c>
      <c r="AC196" t="s">
        <v>97</v>
      </c>
      <c r="AD196" t="s">
        <v>142</v>
      </c>
      <c r="AG196" t="s">
        <v>427</v>
      </c>
      <c r="AH196">
        <v>0</v>
      </c>
      <c r="AI196">
        <v>439</v>
      </c>
      <c r="AJ196">
        <v>39</v>
      </c>
      <c r="AK196">
        <v>840</v>
      </c>
      <c r="AL196">
        <v>1.43</v>
      </c>
    </row>
    <row r="197" spans="1:38" x14ac:dyDescent="0.3">
      <c r="A197" t="s">
        <v>136</v>
      </c>
      <c r="B197">
        <v>119595</v>
      </c>
      <c r="C197">
        <v>1</v>
      </c>
      <c r="D197" t="s">
        <v>430</v>
      </c>
      <c r="E197" t="s">
        <v>151</v>
      </c>
      <c r="F197">
        <v>1173</v>
      </c>
      <c r="G197">
        <v>25.65</v>
      </c>
      <c r="H197">
        <v>84.8</v>
      </c>
      <c r="I197">
        <v>18.079999999999998</v>
      </c>
      <c r="J197">
        <v>59.79</v>
      </c>
      <c r="K197">
        <v>217</v>
      </c>
      <c r="T197">
        <v>3</v>
      </c>
      <c r="U197">
        <v>2</v>
      </c>
      <c r="V197" t="s">
        <v>93</v>
      </c>
      <c r="W197" t="s">
        <v>383</v>
      </c>
      <c r="X197">
        <v>29</v>
      </c>
      <c r="Y197">
        <v>29</v>
      </c>
      <c r="Z197" t="s">
        <v>431</v>
      </c>
      <c r="AA197" t="s">
        <v>432</v>
      </c>
      <c r="AB197" t="s">
        <v>96</v>
      </c>
      <c r="AC197" t="s">
        <v>97</v>
      </c>
      <c r="AD197" t="s">
        <v>142</v>
      </c>
      <c r="AG197" t="s">
        <v>433</v>
      </c>
      <c r="AH197">
        <v>1173</v>
      </c>
      <c r="AI197">
        <v>245</v>
      </c>
      <c r="AJ197">
        <v>15</v>
      </c>
      <c r="AK197">
        <v>1356</v>
      </c>
      <c r="AL197">
        <v>1.1599999999999999</v>
      </c>
    </row>
    <row r="198" spans="1:38" x14ac:dyDescent="0.3">
      <c r="A198" t="s">
        <v>136</v>
      </c>
      <c r="B198">
        <v>119595</v>
      </c>
      <c r="C198">
        <v>2</v>
      </c>
      <c r="D198" t="s">
        <v>430</v>
      </c>
      <c r="E198" t="s">
        <v>151</v>
      </c>
      <c r="F198">
        <v>1173</v>
      </c>
      <c r="G198">
        <v>25.89</v>
      </c>
      <c r="H198">
        <v>85.6</v>
      </c>
      <c r="I198">
        <v>18.11</v>
      </c>
      <c r="J198">
        <v>59.9</v>
      </c>
      <c r="K198">
        <v>102</v>
      </c>
      <c r="T198">
        <v>3</v>
      </c>
      <c r="U198">
        <v>2</v>
      </c>
      <c r="V198" t="s">
        <v>93</v>
      </c>
      <c r="W198" t="s">
        <v>434</v>
      </c>
      <c r="X198">
        <v>29</v>
      </c>
      <c r="Y198">
        <v>29</v>
      </c>
      <c r="Z198" t="s">
        <v>431</v>
      </c>
      <c r="AA198" t="s">
        <v>432</v>
      </c>
      <c r="AB198" t="s">
        <v>96</v>
      </c>
      <c r="AC198" t="s">
        <v>97</v>
      </c>
      <c r="AD198" t="s">
        <v>142</v>
      </c>
      <c r="AG198" t="s">
        <v>433</v>
      </c>
      <c r="AH198">
        <v>1173</v>
      </c>
      <c r="AI198">
        <v>245</v>
      </c>
      <c r="AJ198">
        <v>15</v>
      </c>
      <c r="AK198">
        <v>1356</v>
      </c>
      <c r="AL198">
        <v>1.1599999999999999</v>
      </c>
    </row>
    <row r="199" spans="1:38" x14ac:dyDescent="0.3">
      <c r="A199" t="s">
        <v>136</v>
      </c>
      <c r="B199">
        <v>119595</v>
      </c>
      <c r="C199">
        <v>3</v>
      </c>
      <c r="D199" t="s">
        <v>430</v>
      </c>
      <c r="E199" t="s">
        <v>151</v>
      </c>
      <c r="F199">
        <v>1173</v>
      </c>
      <c r="G199">
        <v>28.78</v>
      </c>
      <c r="H199">
        <v>95.15</v>
      </c>
      <c r="I199">
        <v>21.82</v>
      </c>
      <c r="J199">
        <v>72.14</v>
      </c>
      <c r="K199">
        <v>326</v>
      </c>
      <c r="T199">
        <v>3</v>
      </c>
      <c r="U199">
        <v>2</v>
      </c>
      <c r="V199" t="s">
        <v>93</v>
      </c>
      <c r="W199" t="s">
        <v>435</v>
      </c>
      <c r="X199">
        <v>29</v>
      </c>
      <c r="Y199">
        <v>29</v>
      </c>
      <c r="Z199" t="s">
        <v>431</v>
      </c>
      <c r="AA199" t="s">
        <v>432</v>
      </c>
      <c r="AB199" t="s">
        <v>96</v>
      </c>
      <c r="AC199" t="s">
        <v>97</v>
      </c>
      <c r="AD199" t="s">
        <v>142</v>
      </c>
      <c r="AG199" t="s">
        <v>433</v>
      </c>
      <c r="AH199">
        <v>1173</v>
      </c>
      <c r="AI199">
        <v>245</v>
      </c>
      <c r="AJ199">
        <v>15</v>
      </c>
      <c r="AK199">
        <v>1356</v>
      </c>
      <c r="AL199">
        <v>1.1599999999999999</v>
      </c>
    </row>
    <row r="200" spans="1:38" x14ac:dyDescent="0.3">
      <c r="A200" t="s">
        <v>136</v>
      </c>
      <c r="B200">
        <v>119595</v>
      </c>
      <c r="C200">
        <v>4</v>
      </c>
      <c r="D200" t="s">
        <v>430</v>
      </c>
      <c r="E200" t="s">
        <v>151</v>
      </c>
      <c r="F200">
        <v>1173</v>
      </c>
      <c r="G200">
        <v>29.09</v>
      </c>
      <c r="H200">
        <v>96.19</v>
      </c>
      <c r="I200">
        <v>22.04</v>
      </c>
      <c r="J200">
        <v>72.87</v>
      </c>
      <c r="K200">
        <v>85</v>
      </c>
      <c r="T200">
        <v>3</v>
      </c>
      <c r="U200">
        <v>2</v>
      </c>
      <c r="V200" t="s">
        <v>93</v>
      </c>
      <c r="W200" t="s">
        <v>436</v>
      </c>
      <c r="X200">
        <v>29</v>
      </c>
      <c r="Y200">
        <v>29</v>
      </c>
      <c r="Z200" t="s">
        <v>431</v>
      </c>
      <c r="AA200" t="s">
        <v>432</v>
      </c>
      <c r="AB200" t="s">
        <v>96</v>
      </c>
      <c r="AC200" t="s">
        <v>97</v>
      </c>
      <c r="AD200" t="s">
        <v>142</v>
      </c>
      <c r="AG200" t="s">
        <v>433</v>
      </c>
      <c r="AH200">
        <v>1173</v>
      </c>
      <c r="AI200">
        <v>245</v>
      </c>
      <c r="AJ200">
        <v>15</v>
      </c>
      <c r="AK200">
        <v>1356</v>
      </c>
      <c r="AL200">
        <v>1.1599999999999999</v>
      </c>
    </row>
    <row r="201" spans="1:38" x14ac:dyDescent="0.3">
      <c r="A201" t="s">
        <v>136</v>
      </c>
      <c r="B201">
        <v>119595</v>
      </c>
      <c r="C201">
        <v>5</v>
      </c>
      <c r="D201" t="s">
        <v>430</v>
      </c>
      <c r="E201" t="s">
        <v>151</v>
      </c>
      <c r="F201">
        <v>1173</v>
      </c>
      <c r="G201">
        <v>29.15</v>
      </c>
      <c r="H201">
        <v>96.39</v>
      </c>
      <c r="I201">
        <v>22.03</v>
      </c>
      <c r="J201">
        <v>72.84</v>
      </c>
      <c r="K201">
        <v>84</v>
      </c>
      <c r="T201">
        <v>3</v>
      </c>
      <c r="U201">
        <v>2</v>
      </c>
      <c r="V201" t="s">
        <v>93</v>
      </c>
      <c r="W201" t="s">
        <v>437</v>
      </c>
      <c r="X201">
        <v>29</v>
      </c>
      <c r="Y201">
        <v>29</v>
      </c>
      <c r="Z201" t="s">
        <v>431</v>
      </c>
      <c r="AA201" t="s">
        <v>432</v>
      </c>
      <c r="AB201" t="s">
        <v>96</v>
      </c>
      <c r="AC201" t="s">
        <v>97</v>
      </c>
      <c r="AD201" t="s">
        <v>142</v>
      </c>
      <c r="AG201" t="s">
        <v>433</v>
      </c>
      <c r="AH201">
        <v>1173</v>
      </c>
      <c r="AI201">
        <v>245</v>
      </c>
      <c r="AJ201">
        <v>15</v>
      </c>
      <c r="AK201">
        <v>1356</v>
      </c>
      <c r="AL201">
        <v>1.1599999999999999</v>
      </c>
    </row>
    <row r="202" spans="1:38" x14ac:dyDescent="0.3">
      <c r="A202" t="s">
        <v>136</v>
      </c>
      <c r="B202">
        <v>119595</v>
      </c>
      <c r="C202">
        <v>6</v>
      </c>
      <c r="D202" t="s">
        <v>430</v>
      </c>
      <c r="E202" t="s">
        <v>151</v>
      </c>
      <c r="F202">
        <v>1173</v>
      </c>
      <c r="G202">
        <v>29.09</v>
      </c>
      <c r="H202">
        <v>96.19</v>
      </c>
      <c r="I202">
        <v>22.04</v>
      </c>
      <c r="J202">
        <v>72.87</v>
      </c>
      <c r="K202">
        <v>58</v>
      </c>
      <c r="T202">
        <v>3</v>
      </c>
      <c r="U202">
        <v>2</v>
      </c>
      <c r="V202" t="s">
        <v>93</v>
      </c>
      <c r="W202" t="s">
        <v>438</v>
      </c>
      <c r="X202">
        <v>29</v>
      </c>
      <c r="Y202">
        <v>29</v>
      </c>
      <c r="Z202" t="s">
        <v>431</v>
      </c>
      <c r="AA202" t="s">
        <v>432</v>
      </c>
      <c r="AB202" t="s">
        <v>96</v>
      </c>
      <c r="AC202" t="s">
        <v>97</v>
      </c>
      <c r="AD202" t="s">
        <v>142</v>
      </c>
      <c r="AG202" t="s">
        <v>433</v>
      </c>
      <c r="AH202">
        <v>1173</v>
      </c>
      <c r="AI202">
        <v>245</v>
      </c>
      <c r="AJ202">
        <v>15</v>
      </c>
      <c r="AK202">
        <v>1356</v>
      </c>
      <c r="AL202">
        <v>1.1599999999999999</v>
      </c>
    </row>
    <row r="203" spans="1:38" x14ac:dyDescent="0.3">
      <c r="A203" t="s">
        <v>136</v>
      </c>
      <c r="B203">
        <v>119595</v>
      </c>
      <c r="C203">
        <v>7</v>
      </c>
      <c r="D203" t="s">
        <v>430</v>
      </c>
      <c r="E203" t="s">
        <v>151</v>
      </c>
      <c r="F203">
        <v>1173</v>
      </c>
      <c r="G203">
        <v>29.15</v>
      </c>
      <c r="H203">
        <v>96.39</v>
      </c>
      <c r="I203">
        <v>22.03</v>
      </c>
      <c r="J203">
        <v>72.84</v>
      </c>
      <c r="K203">
        <v>55</v>
      </c>
      <c r="T203">
        <v>3</v>
      </c>
      <c r="U203">
        <v>2</v>
      </c>
      <c r="V203" t="s">
        <v>93</v>
      </c>
      <c r="W203" t="s">
        <v>439</v>
      </c>
      <c r="X203">
        <v>29</v>
      </c>
      <c r="Y203">
        <v>29</v>
      </c>
      <c r="Z203" t="s">
        <v>431</v>
      </c>
      <c r="AA203" t="s">
        <v>432</v>
      </c>
      <c r="AB203" t="s">
        <v>96</v>
      </c>
      <c r="AC203" t="s">
        <v>97</v>
      </c>
      <c r="AD203" t="s">
        <v>142</v>
      </c>
      <c r="AG203" t="s">
        <v>433</v>
      </c>
      <c r="AH203">
        <v>1173</v>
      </c>
      <c r="AI203">
        <v>245</v>
      </c>
      <c r="AJ203">
        <v>15</v>
      </c>
      <c r="AK203">
        <v>1356</v>
      </c>
      <c r="AL203">
        <v>1.1599999999999999</v>
      </c>
    </row>
    <row r="204" spans="1:38" x14ac:dyDescent="0.3">
      <c r="A204" t="s">
        <v>136</v>
      </c>
      <c r="B204">
        <v>119595</v>
      </c>
      <c r="C204">
        <v>8</v>
      </c>
      <c r="D204" t="s">
        <v>430</v>
      </c>
      <c r="E204" t="s">
        <v>151</v>
      </c>
      <c r="F204">
        <v>1173</v>
      </c>
      <c r="G204">
        <v>33.380000000000003</v>
      </c>
      <c r="H204">
        <v>110.35</v>
      </c>
      <c r="I204">
        <v>25.68</v>
      </c>
      <c r="J204">
        <v>84.91</v>
      </c>
      <c r="K204">
        <v>146</v>
      </c>
      <c r="T204">
        <v>3</v>
      </c>
      <c r="U204">
        <v>2</v>
      </c>
      <c r="V204" t="s">
        <v>93</v>
      </c>
      <c r="W204" t="s">
        <v>440</v>
      </c>
      <c r="X204">
        <v>29</v>
      </c>
      <c r="Y204">
        <v>29</v>
      </c>
      <c r="Z204" t="s">
        <v>431</v>
      </c>
      <c r="AA204" t="s">
        <v>432</v>
      </c>
      <c r="AB204" t="s">
        <v>96</v>
      </c>
      <c r="AC204" t="s">
        <v>97</v>
      </c>
      <c r="AD204" t="s">
        <v>142</v>
      </c>
      <c r="AG204" t="s">
        <v>433</v>
      </c>
      <c r="AH204">
        <v>1173</v>
      </c>
      <c r="AI204">
        <v>245</v>
      </c>
      <c r="AJ204">
        <v>15</v>
      </c>
      <c r="AK204">
        <v>1356</v>
      </c>
      <c r="AL204">
        <v>1.1599999999999999</v>
      </c>
    </row>
    <row r="205" spans="1:38" x14ac:dyDescent="0.3">
      <c r="A205" t="s">
        <v>136</v>
      </c>
      <c r="B205">
        <v>119595</v>
      </c>
      <c r="C205">
        <v>9</v>
      </c>
      <c r="D205" t="s">
        <v>430</v>
      </c>
      <c r="E205" t="s">
        <v>151</v>
      </c>
      <c r="F205">
        <v>1173</v>
      </c>
      <c r="G205">
        <v>33.53</v>
      </c>
      <c r="H205">
        <v>110.85</v>
      </c>
      <c r="I205">
        <v>25.7</v>
      </c>
      <c r="J205">
        <v>84.99</v>
      </c>
      <c r="K205">
        <v>56</v>
      </c>
      <c r="T205">
        <v>3</v>
      </c>
      <c r="U205">
        <v>2</v>
      </c>
      <c r="V205" t="s">
        <v>93</v>
      </c>
      <c r="W205" t="s">
        <v>158</v>
      </c>
      <c r="X205">
        <v>29</v>
      </c>
      <c r="Y205">
        <v>29</v>
      </c>
      <c r="Z205" t="s">
        <v>431</v>
      </c>
      <c r="AA205" t="s">
        <v>432</v>
      </c>
      <c r="AB205" t="s">
        <v>96</v>
      </c>
      <c r="AC205" t="s">
        <v>97</v>
      </c>
      <c r="AD205" t="s">
        <v>142</v>
      </c>
      <c r="AG205" t="s">
        <v>433</v>
      </c>
      <c r="AH205">
        <v>1173</v>
      </c>
      <c r="AI205">
        <v>245</v>
      </c>
      <c r="AJ205">
        <v>15</v>
      </c>
      <c r="AK205">
        <v>1356</v>
      </c>
      <c r="AL205">
        <v>1.1599999999999999</v>
      </c>
    </row>
    <row r="206" spans="1:38" x14ac:dyDescent="0.3">
      <c r="A206" t="s">
        <v>136</v>
      </c>
      <c r="B206">
        <v>119595</v>
      </c>
      <c r="C206">
        <v>10</v>
      </c>
      <c r="D206" t="s">
        <v>430</v>
      </c>
      <c r="E206" t="s">
        <v>151</v>
      </c>
      <c r="F206">
        <v>1173</v>
      </c>
      <c r="G206">
        <v>33.520000000000003</v>
      </c>
      <c r="H206">
        <v>110.82</v>
      </c>
      <c r="I206">
        <v>25.7</v>
      </c>
      <c r="J206">
        <v>84.97</v>
      </c>
      <c r="K206">
        <v>44</v>
      </c>
      <c r="T206">
        <v>3</v>
      </c>
      <c r="U206">
        <v>2</v>
      </c>
      <c r="V206" t="s">
        <v>93</v>
      </c>
      <c r="W206" t="s">
        <v>157</v>
      </c>
      <c r="X206">
        <v>29</v>
      </c>
      <c r="Y206">
        <v>29</v>
      </c>
      <c r="Z206" t="s">
        <v>431</v>
      </c>
      <c r="AA206" t="s">
        <v>432</v>
      </c>
      <c r="AB206" t="s">
        <v>96</v>
      </c>
      <c r="AC206" t="s">
        <v>97</v>
      </c>
      <c r="AD206" t="s">
        <v>142</v>
      </c>
      <c r="AG206" t="s">
        <v>433</v>
      </c>
      <c r="AH206">
        <v>1173</v>
      </c>
      <c r="AI206">
        <v>245</v>
      </c>
      <c r="AJ206">
        <v>15</v>
      </c>
      <c r="AK206">
        <v>1356</v>
      </c>
      <c r="AL206">
        <v>1.1599999999999999</v>
      </c>
    </row>
    <row r="207" spans="1:38" x14ac:dyDescent="0.3">
      <c r="A207" t="s">
        <v>136</v>
      </c>
      <c r="B207">
        <v>137926</v>
      </c>
      <c r="C207">
        <v>1</v>
      </c>
      <c r="D207" t="s">
        <v>441</v>
      </c>
      <c r="E207" t="s">
        <v>442</v>
      </c>
      <c r="F207">
        <v>16</v>
      </c>
      <c r="G207">
        <v>22.14</v>
      </c>
      <c r="H207">
        <v>73.2</v>
      </c>
      <c r="I207">
        <v>17.34</v>
      </c>
      <c r="J207">
        <v>57.33</v>
      </c>
      <c r="K207">
        <v>4</v>
      </c>
      <c r="T207">
        <v>3</v>
      </c>
      <c r="U207">
        <v>1</v>
      </c>
      <c r="V207" t="s">
        <v>93</v>
      </c>
      <c r="W207">
        <v>73</v>
      </c>
      <c r="X207">
        <v>14</v>
      </c>
      <c r="Y207">
        <v>14</v>
      </c>
      <c r="Z207" t="s">
        <v>443</v>
      </c>
      <c r="AA207" t="s">
        <v>444</v>
      </c>
      <c r="AB207" t="s">
        <v>96</v>
      </c>
      <c r="AC207" t="s">
        <v>97</v>
      </c>
      <c r="AD207" t="s">
        <v>142</v>
      </c>
      <c r="AG207" t="s">
        <v>445</v>
      </c>
      <c r="AH207">
        <v>0</v>
      </c>
      <c r="AI207">
        <v>865</v>
      </c>
      <c r="AJ207">
        <v>79</v>
      </c>
      <c r="AK207">
        <v>16</v>
      </c>
      <c r="AL207">
        <v>1</v>
      </c>
    </row>
    <row r="208" spans="1:38" x14ac:dyDescent="0.3">
      <c r="A208" t="s">
        <v>136</v>
      </c>
      <c r="B208">
        <v>137926</v>
      </c>
      <c r="C208">
        <v>2</v>
      </c>
      <c r="D208" t="s">
        <v>441</v>
      </c>
      <c r="E208" t="s">
        <v>442</v>
      </c>
      <c r="F208">
        <v>16</v>
      </c>
      <c r="G208">
        <v>29.11</v>
      </c>
      <c r="H208">
        <v>96.24</v>
      </c>
      <c r="I208">
        <v>23</v>
      </c>
      <c r="J208">
        <v>76.06</v>
      </c>
      <c r="K208">
        <v>4</v>
      </c>
      <c r="T208">
        <v>3</v>
      </c>
      <c r="U208">
        <v>2</v>
      </c>
      <c r="V208" t="s">
        <v>93</v>
      </c>
      <c r="W208" t="s">
        <v>446</v>
      </c>
      <c r="X208">
        <v>14</v>
      </c>
      <c r="Y208">
        <v>14</v>
      </c>
      <c r="Z208" t="s">
        <v>443</v>
      </c>
      <c r="AA208" t="s">
        <v>444</v>
      </c>
      <c r="AB208" t="s">
        <v>96</v>
      </c>
      <c r="AC208" t="s">
        <v>97</v>
      </c>
      <c r="AD208" t="s">
        <v>142</v>
      </c>
      <c r="AG208" t="s">
        <v>445</v>
      </c>
      <c r="AH208">
        <v>0</v>
      </c>
      <c r="AI208">
        <v>865</v>
      </c>
      <c r="AJ208">
        <v>79</v>
      </c>
      <c r="AK208">
        <v>16</v>
      </c>
      <c r="AL208">
        <v>1</v>
      </c>
    </row>
    <row r="209" spans="1:38" x14ac:dyDescent="0.3">
      <c r="A209" t="s">
        <v>136</v>
      </c>
      <c r="B209">
        <v>137926</v>
      </c>
      <c r="C209">
        <v>3</v>
      </c>
      <c r="D209" t="s">
        <v>441</v>
      </c>
      <c r="E209" t="s">
        <v>442</v>
      </c>
      <c r="F209">
        <v>16</v>
      </c>
      <c r="G209">
        <v>29.15</v>
      </c>
      <c r="H209">
        <v>96.39</v>
      </c>
      <c r="I209">
        <v>23.06</v>
      </c>
      <c r="J209">
        <v>76.239999999999995</v>
      </c>
      <c r="K209">
        <v>4</v>
      </c>
      <c r="T209">
        <v>3</v>
      </c>
      <c r="U209">
        <v>2</v>
      </c>
      <c r="V209" t="s">
        <v>93</v>
      </c>
      <c r="W209" t="s">
        <v>436</v>
      </c>
      <c r="X209">
        <v>14</v>
      </c>
      <c r="Y209">
        <v>14</v>
      </c>
      <c r="Z209" t="s">
        <v>443</v>
      </c>
      <c r="AA209" t="s">
        <v>444</v>
      </c>
      <c r="AB209" t="s">
        <v>96</v>
      </c>
      <c r="AC209" t="s">
        <v>97</v>
      </c>
      <c r="AD209" t="s">
        <v>142</v>
      </c>
      <c r="AG209" t="s">
        <v>445</v>
      </c>
      <c r="AH209">
        <v>0</v>
      </c>
      <c r="AI209">
        <v>865</v>
      </c>
      <c r="AJ209">
        <v>79</v>
      </c>
      <c r="AK209">
        <v>16</v>
      </c>
      <c r="AL209">
        <v>1</v>
      </c>
    </row>
    <row r="210" spans="1:38" x14ac:dyDescent="0.3">
      <c r="A210" t="s">
        <v>136</v>
      </c>
      <c r="B210">
        <v>137926</v>
      </c>
      <c r="C210">
        <v>4</v>
      </c>
      <c r="D210" t="s">
        <v>441</v>
      </c>
      <c r="E210" t="s">
        <v>442</v>
      </c>
      <c r="F210">
        <v>16</v>
      </c>
      <c r="G210">
        <v>29.86</v>
      </c>
      <c r="H210">
        <v>98.74</v>
      </c>
      <c r="I210">
        <v>23.21</v>
      </c>
      <c r="J210">
        <v>76.73</v>
      </c>
      <c r="K210">
        <v>4</v>
      </c>
      <c r="T210">
        <v>3</v>
      </c>
      <c r="U210">
        <v>2</v>
      </c>
      <c r="V210" t="s">
        <v>93</v>
      </c>
      <c r="W210">
        <v>98</v>
      </c>
      <c r="X210">
        <v>14</v>
      </c>
      <c r="Y210">
        <v>14</v>
      </c>
      <c r="Z210" t="s">
        <v>443</v>
      </c>
      <c r="AA210" t="s">
        <v>444</v>
      </c>
      <c r="AB210" t="s">
        <v>96</v>
      </c>
      <c r="AC210" t="s">
        <v>97</v>
      </c>
      <c r="AD210" t="s">
        <v>142</v>
      </c>
      <c r="AG210" t="s">
        <v>445</v>
      </c>
      <c r="AH210">
        <v>0</v>
      </c>
      <c r="AI210">
        <v>865</v>
      </c>
      <c r="AJ210">
        <v>79</v>
      </c>
      <c r="AK210">
        <v>16</v>
      </c>
      <c r="AL210">
        <v>1</v>
      </c>
    </row>
    <row r="211" spans="1:38" x14ac:dyDescent="0.3">
      <c r="A211" t="s">
        <v>136</v>
      </c>
      <c r="B211">
        <v>135148</v>
      </c>
      <c r="C211">
        <v>1</v>
      </c>
      <c r="D211" t="s">
        <v>447</v>
      </c>
      <c r="E211" t="s">
        <v>190</v>
      </c>
      <c r="F211">
        <v>46</v>
      </c>
      <c r="G211">
        <v>20.85</v>
      </c>
      <c r="H211">
        <v>68.94</v>
      </c>
      <c r="I211">
        <v>15.09</v>
      </c>
      <c r="J211">
        <v>49.9</v>
      </c>
      <c r="K211">
        <v>9</v>
      </c>
      <c r="T211">
        <v>3</v>
      </c>
      <c r="U211">
        <v>1</v>
      </c>
      <c r="V211" t="s">
        <v>93</v>
      </c>
      <c r="W211" t="s">
        <v>448</v>
      </c>
      <c r="X211">
        <v>13</v>
      </c>
      <c r="Y211">
        <v>13</v>
      </c>
      <c r="Z211" t="s">
        <v>449</v>
      </c>
      <c r="AA211" t="s">
        <v>450</v>
      </c>
      <c r="AB211" t="s">
        <v>96</v>
      </c>
      <c r="AC211" t="s">
        <v>97</v>
      </c>
      <c r="AD211" t="s">
        <v>142</v>
      </c>
      <c r="AG211" t="s">
        <v>451</v>
      </c>
      <c r="AH211">
        <v>0</v>
      </c>
      <c r="AI211">
        <v>677</v>
      </c>
      <c r="AJ211">
        <v>72</v>
      </c>
      <c r="AK211">
        <v>32</v>
      </c>
      <c r="AL211">
        <v>0.7</v>
      </c>
    </row>
    <row r="212" spans="1:38" x14ac:dyDescent="0.3">
      <c r="A212" t="s">
        <v>136</v>
      </c>
      <c r="B212">
        <v>135148</v>
      </c>
      <c r="C212">
        <v>2</v>
      </c>
      <c r="D212" t="s">
        <v>447</v>
      </c>
      <c r="E212" t="s">
        <v>190</v>
      </c>
      <c r="F212">
        <v>46</v>
      </c>
      <c r="G212">
        <v>20.86</v>
      </c>
      <c r="H212">
        <v>68.989999999999995</v>
      </c>
      <c r="I212">
        <v>15.09</v>
      </c>
      <c r="J212">
        <v>49.91</v>
      </c>
      <c r="K212">
        <v>9</v>
      </c>
      <c r="T212">
        <v>3</v>
      </c>
      <c r="U212">
        <v>1</v>
      </c>
      <c r="V212" t="s">
        <v>93</v>
      </c>
      <c r="W212" t="s">
        <v>452</v>
      </c>
      <c r="X212">
        <v>13</v>
      </c>
      <c r="Y212">
        <v>13</v>
      </c>
      <c r="Z212" t="s">
        <v>449</v>
      </c>
      <c r="AA212" t="s">
        <v>450</v>
      </c>
      <c r="AB212" t="s">
        <v>96</v>
      </c>
      <c r="AC212" t="s">
        <v>97</v>
      </c>
      <c r="AD212" t="s">
        <v>142</v>
      </c>
      <c r="AG212" t="s">
        <v>451</v>
      </c>
      <c r="AH212">
        <v>0</v>
      </c>
      <c r="AI212">
        <v>677</v>
      </c>
      <c r="AJ212">
        <v>72</v>
      </c>
      <c r="AK212">
        <v>32</v>
      </c>
      <c r="AL212">
        <v>0.7</v>
      </c>
    </row>
    <row r="213" spans="1:38" x14ac:dyDescent="0.3">
      <c r="A213" t="s">
        <v>136</v>
      </c>
      <c r="B213">
        <v>135148</v>
      </c>
      <c r="C213">
        <v>3</v>
      </c>
      <c r="D213" t="s">
        <v>447</v>
      </c>
      <c r="E213" t="s">
        <v>190</v>
      </c>
      <c r="F213">
        <v>46</v>
      </c>
      <c r="G213">
        <v>20.81</v>
      </c>
      <c r="H213">
        <v>68.8</v>
      </c>
      <c r="I213">
        <v>15.07</v>
      </c>
      <c r="J213">
        <v>49.83</v>
      </c>
      <c r="K213">
        <v>1</v>
      </c>
      <c r="T213">
        <v>3</v>
      </c>
      <c r="U213">
        <v>1</v>
      </c>
      <c r="V213" t="s">
        <v>93</v>
      </c>
      <c r="W213" t="s">
        <v>230</v>
      </c>
      <c r="X213">
        <v>13</v>
      </c>
      <c r="Y213">
        <v>13</v>
      </c>
      <c r="Z213" t="s">
        <v>449</v>
      </c>
      <c r="AA213" t="s">
        <v>450</v>
      </c>
      <c r="AB213" t="s">
        <v>96</v>
      </c>
      <c r="AC213" t="s">
        <v>97</v>
      </c>
      <c r="AD213" t="s">
        <v>142</v>
      </c>
      <c r="AG213" t="s">
        <v>451</v>
      </c>
      <c r="AH213">
        <v>0</v>
      </c>
      <c r="AI213">
        <v>677</v>
      </c>
      <c r="AJ213">
        <v>72</v>
      </c>
      <c r="AK213">
        <v>32</v>
      </c>
      <c r="AL213">
        <v>0.7</v>
      </c>
    </row>
    <row r="214" spans="1:38" x14ac:dyDescent="0.3">
      <c r="A214" t="s">
        <v>136</v>
      </c>
      <c r="B214">
        <v>135148</v>
      </c>
      <c r="C214">
        <v>4</v>
      </c>
      <c r="D214" t="s">
        <v>447</v>
      </c>
      <c r="E214" t="s">
        <v>190</v>
      </c>
      <c r="F214">
        <v>46</v>
      </c>
      <c r="G214">
        <v>20.95</v>
      </c>
      <c r="H214">
        <v>69.28</v>
      </c>
      <c r="I214">
        <v>15.04</v>
      </c>
      <c r="J214">
        <v>49.74</v>
      </c>
      <c r="K214">
        <v>9</v>
      </c>
      <c r="T214">
        <v>3</v>
      </c>
      <c r="U214">
        <v>1</v>
      </c>
      <c r="V214" t="s">
        <v>93</v>
      </c>
      <c r="W214" t="s">
        <v>382</v>
      </c>
      <c r="X214">
        <v>13</v>
      </c>
      <c r="Y214">
        <v>13</v>
      </c>
      <c r="Z214" t="s">
        <v>449</v>
      </c>
      <c r="AA214" t="s">
        <v>450</v>
      </c>
      <c r="AB214" t="s">
        <v>96</v>
      </c>
      <c r="AC214" t="s">
        <v>97</v>
      </c>
      <c r="AD214" t="s">
        <v>142</v>
      </c>
      <c r="AG214" t="s">
        <v>451</v>
      </c>
      <c r="AH214">
        <v>0</v>
      </c>
      <c r="AI214">
        <v>677</v>
      </c>
      <c r="AJ214">
        <v>72</v>
      </c>
      <c r="AK214">
        <v>32</v>
      </c>
      <c r="AL214">
        <v>0.7</v>
      </c>
    </row>
    <row r="215" spans="1:38" x14ac:dyDescent="0.3">
      <c r="A215" t="s">
        <v>136</v>
      </c>
      <c r="B215">
        <v>135148</v>
      </c>
      <c r="C215">
        <v>5</v>
      </c>
      <c r="D215" t="s">
        <v>447</v>
      </c>
      <c r="E215" t="s">
        <v>190</v>
      </c>
      <c r="F215">
        <v>46</v>
      </c>
      <c r="G215">
        <v>21</v>
      </c>
      <c r="H215">
        <v>69.45</v>
      </c>
      <c r="I215">
        <v>15.07</v>
      </c>
      <c r="J215">
        <v>49.85</v>
      </c>
      <c r="K215">
        <v>9</v>
      </c>
      <c r="T215">
        <v>3</v>
      </c>
      <c r="U215">
        <v>1</v>
      </c>
      <c r="V215" t="s">
        <v>93</v>
      </c>
      <c r="W215" t="s">
        <v>453</v>
      </c>
      <c r="X215">
        <v>13</v>
      </c>
      <c r="Y215">
        <v>13</v>
      </c>
      <c r="Z215" t="s">
        <v>449</v>
      </c>
      <c r="AA215" t="s">
        <v>450</v>
      </c>
      <c r="AB215" t="s">
        <v>96</v>
      </c>
      <c r="AC215" t="s">
        <v>97</v>
      </c>
      <c r="AD215" t="s">
        <v>142</v>
      </c>
      <c r="AG215" t="s">
        <v>451</v>
      </c>
      <c r="AH215">
        <v>0</v>
      </c>
      <c r="AI215">
        <v>677</v>
      </c>
      <c r="AJ215">
        <v>72</v>
      </c>
      <c r="AK215">
        <v>32</v>
      </c>
      <c r="AL215">
        <v>0.7</v>
      </c>
    </row>
    <row r="216" spans="1:38" x14ac:dyDescent="0.3">
      <c r="A216" t="s">
        <v>136</v>
      </c>
      <c r="B216">
        <v>135148</v>
      </c>
      <c r="C216">
        <v>6</v>
      </c>
      <c r="D216" t="s">
        <v>447</v>
      </c>
      <c r="E216" t="s">
        <v>190</v>
      </c>
      <c r="F216">
        <v>46</v>
      </c>
      <c r="G216">
        <v>20.97</v>
      </c>
      <c r="H216">
        <v>69.34</v>
      </c>
      <c r="I216">
        <v>15.1</v>
      </c>
      <c r="J216">
        <v>49.95</v>
      </c>
      <c r="K216">
        <v>9</v>
      </c>
      <c r="T216">
        <v>3</v>
      </c>
      <c r="U216">
        <v>1</v>
      </c>
      <c r="V216" t="s">
        <v>93</v>
      </c>
      <c r="W216" t="s">
        <v>454</v>
      </c>
      <c r="X216">
        <v>13</v>
      </c>
      <c r="Y216">
        <v>13</v>
      </c>
      <c r="Z216" t="s">
        <v>449</v>
      </c>
      <c r="AA216" t="s">
        <v>450</v>
      </c>
      <c r="AB216" t="s">
        <v>96</v>
      </c>
      <c r="AC216" t="s">
        <v>97</v>
      </c>
      <c r="AD216" t="s">
        <v>142</v>
      </c>
      <c r="AG216" t="s">
        <v>451</v>
      </c>
      <c r="AH216">
        <v>0</v>
      </c>
      <c r="AI216">
        <v>677</v>
      </c>
      <c r="AJ216">
        <v>72</v>
      </c>
      <c r="AK216">
        <v>32</v>
      </c>
      <c r="AL216">
        <v>0.7</v>
      </c>
    </row>
    <row r="217" spans="1:38" x14ac:dyDescent="0.3">
      <c r="A217" t="s">
        <v>136</v>
      </c>
      <c r="B217">
        <v>8939</v>
      </c>
      <c r="C217">
        <v>1</v>
      </c>
      <c r="D217" t="s">
        <v>455</v>
      </c>
      <c r="E217" t="s">
        <v>456</v>
      </c>
      <c r="F217">
        <v>80</v>
      </c>
      <c r="G217">
        <v>16.03</v>
      </c>
      <c r="H217">
        <v>53</v>
      </c>
      <c r="I217">
        <v>12.62</v>
      </c>
      <c r="J217">
        <v>41.74</v>
      </c>
      <c r="K217">
        <v>10</v>
      </c>
      <c r="T217">
        <v>2</v>
      </c>
      <c r="U217">
        <v>1</v>
      </c>
      <c r="V217" t="s">
        <v>93</v>
      </c>
      <c r="W217">
        <v>53</v>
      </c>
      <c r="X217">
        <v>5</v>
      </c>
      <c r="Y217">
        <v>5</v>
      </c>
      <c r="Z217" t="s">
        <v>457</v>
      </c>
      <c r="AA217" t="s">
        <v>458</v>
      </c>
      <c r="AB217" t="s">
        <v>96</v>
      </c>
      <c r="AC217" t="s">
        <v>97</v>
      </c>
      <c r="AD217" t="s">
        <v>142</v>
      </c>
      <c r="AG217" t="s">
        <v>459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">
      <c r="A218" t="s">
        <v>136</v>
      </c>
      <c r="B218">
        <v>8939</v>
      </c>
      <c r="C218">
        <v>2</v>
      </c>
      <c r="D218" t="s">
        <v>455</v>
      </c>
      <c r="E218" t="s">
        <v>456</v>
      </c>
      <c r="F218">
        <v>80</v>
      </c>
      <c r="G218">
        <v>21.67</v>
      </c>
      <c r="H218">
        <v>71.650000000000006</v>
      </c>
      <c r="I218">
        <v>17.489999999999998</v>
      </c>
      <c r="J218">
        <v>57.84</v>
      </c>
      <c r="K218">
        <v>20</v>
      </c>
      <c r="T218">
        <v>3</v>
      </c>
      <c r="U218">
        <v>1</v>
      </c>
      <c r="V218" t="s">
        <v>93</v>
      </c>
      <c r="W218" t="s">
        <v>460</v>
      </c>
      <c r="X218">
        <v>5</v>
      </c>
      <c r="Y218">
        <v>5</v>
      </c>
      <c r="Z218" t="s">
        <v>457</v>
      </c>
      <c r="AA218" t="s">
        <v>458</v>
      </c>
      <c r="AB218" t="s">
        <v>96</v>
      </c>
      <c r="AC218" t="s">
        <v>97</v>
      </c>
      <c r="AD218" t="s">
        <v>142</v>
      </c>
      <c r="AG218" t="s">
        <v>459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">
      <c r="A219" t="s">
        <v>136</v>
      </c>
      <c r="B219">
        <v>8939</v>
      </c>
      <c r="C219">
        <v>3</v>
      </c>
      <c r="D219" t="s">
        <v>455</v>
      </c>
      <c r="E219" t="s">
        <v>456</v>
      </c>
      <c r="F219">
        <v>80</v>
      </c>
      <c r="G219">
        <v>22</v>
      </c>
      <c r="H219">
        <v>72.75</v>
      </c>
      <c r="I219">
        <v>17.98</v>
      </c>
      <c r="J219">
        <v>59.44</v>
      </c>
      <c r="K219">
        <v>50</v>
      </c>
      <c r="T219">
        <v>3</v>
      </c>
      <c r="U219">
        <v>1</v>
      </c>
      <c r="V219" t="s">
        <v>93</v>
      </c>
      <c r="W219" t="s">
        <v>296</v>
      </c>
      <c r="X219">
        <v>5</v>
      </c>
      <c r="Y219">
        <v>5</v>
      </c>
      <c r="Z219" t="s">
        <v>457</v>
      </c>
      <c r="AA219" t="s">
        <v>458</v>
      </c>
      <c r="AB219" t="s">
        <v>96</v>
      </c>
      <c r="AC219" t="s">
        <v>97</v>
      </c>
      <c r="AD219" t="s">
        <v>142</v>
      </c>
      <c r="AG219" t="s">
        <v>459</v>
      </c>
      <c r="AH219">
        <v>0</v>
      </c>
      <c r="AI219">
        <v>0</v>
      </c>
      <c r="AJ219">
        <v>0</v>
      </c>
      <c r="AK219">
        <v>0</v>
      </c>
      <c r="AL219">
        <v>0</v>
      </c>
    </row>
    <row r="220" spans="1:38" x14ac:dyDescent="0.3">
      <c r="A220" t="s">
        <v>136</v>
      </c>
      <c r="B220">
        <v>109711</v>
      </c>
      <c r="C220">
        <v>1</v>
      </c>
      <c r="D220" t="s">
        <v>461</v>
      </c>
      <c r="E220" t="s">
        <v>462</v>
      </c>
      <c r="F220">
        <v>54</v>
      </c>
      <c r="G220">
        <v>19.03</v>
      </c>
      <c r="H220">
        <v>62.92</v>
      </c>
      <c r="I220">
        <v>13.8</v>
      </c>
      <c r="J220">
        <v>45.62</v>
      </c>
      <c r="K220">
        <v>9</v>
      </c>
      <c r="T220">
        <v>3</v>
      </c>
      <c r="U220">
        <v>1</v>
      </c>
      <c r="V220" t="s">
        <v>93</v>
      </c>
      <c r="W220" t="s">
        <v>463</v>
      </c>
      <c r="X220">
        <v>14</v>
      </c>
      <c r="Y220">
        <v>14</v>
      </c>
      <c r="Z220" t="s">
        <v>464</v>
      </c>
      <c r="AA220" t="s">
        <v>465</v>
      </c>
      <c r="AB220" t="s">
        <v>96</v>
      </c>
      <c r="AC220" t="s">
        <v>97</v>
      </c>
      <c r="AD220" t="s">
        <v>142</v>
      </c>
      <c r="AG220" t="s">
        <v>466</v>
      </c>
      <c r="AH220">
        <v>0</v>
      </c>
      <c r="AI220">
        <v>698</v>
      </c>
      <c r="AJ220">
        <v>71</v>
      </c>
      <c r="AK220">
        <v>36</v>
      </c>
      <c r="AL220">
        <v>0.67</v>
      </c>
    </row>
    <row r="221" spans="1:38" x14ac:dyDescent="0.3">
      <c r="A221" t="s">
        <v>136</v>
      </c>
      <c r="B221">
        <v>109711</v>
      </c>
      <c r="C221">
        <v>2</v>
      </c>
      <c r="D221" t="s">
        <v>461</v>
      </c>
      <c r="E221" t="s">
        <v>462</v>
      </c>
      <c r="F221">
        <v>54</v>
      </c>
      <c r="G221">
        <v>19.149999999999999</v>
      </c>
      <c r="H221">
        <v>63.31</v>
      </c>
      <c r="I221">
        <v>14</v>
      </c>
      <c r="J221">
        <v>46.31</v>
      </c>
      <c r="K221">
        <v>9</v>
      </c>
      <c r="T221">
        <v>3</v>
      </c>
      <c r="U221">
        <v>1</v>
      </c>
      <c r="V221" t="s">
        <v>93</v>
      </c>
      <c r="W221" t="s">
        <v>195</v>
      </c>
      <c r="X221">
        <v>14</v>
      </c>
      <c r="Y221">
        <v>14</v>
      </c>
      <c r="Z221" t="s">
        <v>464</v>
      </c>
      <c r="AA221" t="s">
        <v>465</v>
      </c>
      <c r="AB221" t="s">
        <v>96</v>
      </c>
      <c r="AC221" t="s">
        <v>97</v>
      </c>
      <c r="AD221" t="s">
        <v>142</v>
      </c>
      <c r="AG221" t="s">
        <v>466</v>
      </c>
      <c r="AH221">
        <v>0</v>
      </c>
      <c r="AI221">
        <v>698</v>
      </c>
      <c r="AJ221">
        <v>71</v>
      </c>
      <c r="AK221">
        <v>36</v>
      </c>
      <c r="AL221">
        <v>0.67</v>
      </c>
    </row>
    <row r="222" spans="1:38" x14ac:dyDescent="0.3">
      <c r="A222" t="s">
        <v>136</v>
      </c>
      <c r="B222">
        <v>109711</v>
      </c>
      <c r="C222">
        <v>3</v>
      </c>
      <c r="D222" t="s">
        <v>461</v>
      </c>
      <c r="E222" t="s">
        <v>462</v>
      </c>
      <c r="F222">
        <v>54</v>
      </c>
      <c r="G222">
        <v>19.61</v>
      </c>
      <c r="H222">
        <v>64.84</v>
      </c>
      <c r="I222">
        <v>14.66</v>
      </c>
      <c r="J222">
        <v>48.49</v>
      </c>
      <c r="K222">
        <v>9</v>
      </c>
      <c r="T222">
        <v>3</v>
      </c>
      <c r="U222">
        <v>1</v>
      </c>
      <c r="V222" t="s">
        <v>93</v>
      </c>
      <c r="W222" t="s">
        <v>279</v>
      </c>
      <c r="X222">
        <v>14</v>
      </c>
      <c r="Y222">
        <v>14</v>
      </c>
      <c r="Z222" t="s">
        <v>464</v>
      </c>
      <c r="AA222" t="s">
        <v>465</v>
      </c>
      <c r="AB222" t="s">
        <v>96</v>
      </c>
      <c r="AC222" t="s">
        <v>97</v>
      </c>
      <c r="AD222" t="s">
        <v>142</v>
      </c>
      <c r="AG222" t="s">
        <v>466</v>
      </c>
      <c r="AH222">
        <v>0</v>
      </c>
      <c r="AI222">
        <v>698</v>
      </c>
      <c r="AJ222">
        <v>71</v>
      </c>
      <c r="AK222">
        <v>36</v>
      </c>
      <c r="AL222">
        <v>0.67</v>
      </c>
    </row>
    <row r="223" spans="1:38" x14ac:dyDescent="0.3">
      <c r="A223" t="s">
        <v>136</v>
      </c>
      <c r="B223">
        <v>109711</v>
      </c>
      <c r="C223">
        <v>4</v>
      </c>
      <c r="D223" t="s">
        <v>461</v>
      </c>
      <c r="E223" t="s">
        <v>462</v>
      </c>
      <c r="F223">
        <v>54</v>
      </c>
      <c r="G223">
        <v>19.399999999999999</v>
      </c>
      <c r="H223">
        <v>64.14</v>
      </c>
      <c r="I223">
        <v>14.47</v>
      </c>
      <c r="J223">
        <v>47.84</v>
      </c>
      <c r="K223">
        <v>9</v>
      </c>
      <c r="T223">
        <v>3</v>
      </c>
      <c r="U223">
        <v>1</v>
      </c>
      <c r="V223" t="s">
        <v>93</v>
      </c>
      <c r="W223" t="s">
        <v>467</v>
      </c>
      <c r="X223">
        <v>14</v>
      </c>
      <c r="Y223">
        <v>14</v>
      </c>
      <c r="Z223" t="s">
        <v>464</v>
      </c>
      <c r="AA223" t="s">
        <v>465</v>
      </c>
      <c r="AB223" t="s">
        <v>96</v>
      </c>
      <c r="AC223" t="s">
        <v>97</v>
      </c>
      <c r="AD223" t="s">
        <v>142</v>
      </c>
      <c r="AG223" t="s">
        <v>466</v>
      </c>
      <c r="AH223">
        <v>0</v>
      </c>
      <c r="AI223">
        <v>698</v>
      </c>
      <c r="AJ223">
        <v>71</v>
      </c>
      <c r="AK223">
        <v>36</v>
      </c>
      <c r="AL223">
        <v>0.67</v>
      </c>
    </row>
    <row r="224" spans="1:38" x14ac:dyDescent="0.3">
      <c r="A224" t="s">
        <v>136</v>
      </c>
      <c r="B224">
        <v>109711</v>
      </c>
      <c r="C224">
        <v>5</v>
      </c>
      <c r="D224" t="s">
        <v>461</v>
      </c>
      <c r="E224" t="s">
        <v>462</v>
      </c>
      <c r="F224">
        <v>54</v>
      </c>
      <c r="G224">
        <v>19.38</v>
      </c>
      <c r="H224">
        <v>64.09</v>
      </c>
      <c r="I224">
        <v>14.51</v>
      </c>
      <c r="J224">
        <v>47.98</v>
      </c>
      <c r="K224">
        <v>9</v>
      </c>
      <c r="T224">
        <v>3</v>
      </c>
      <c r="U224">
        <v>1</v>
      </c>
      <c r="V224" t="s">
        <v>93</v>
      </c>
      <c r="W224" t="s">
        <v>468</v>
      </c>
      <c r="X224">
        <v>14</v>
      </c>
      <c r="Y224">
        <v>14</v>
      </c>
      <c r="Z224" t="s">
        <v>464</v>
      </c>
      <c r="AA224" t="s">
        <v>465</v>
      </c>
      <c r="AB224" t="s">
        <v>96</v>
      </c>
      <c r="AC224" t="s">
        <v>97</v>
      </c>
      <c r="AD224" t="s">
        <v>142</v>
      </c>
      <c r="AG224" t="s">
        <v>466</v>
      </c>
      <c r="AH224">
        <v>0</v>
      </c>
      <c r="AI224">
        <v>698</v>
      </c>
      <c r="AJ224">
        <v>71</v>
      </c>
      <c r="AK224">
        <v>36</v>
      </c>
      <c r="AL224">
        <v>0.67</v>
      </c>
    </row>
    <row r="225" spans="1:38" x14ac:dyDescent="0.3">
      <c r="A225" t="s">
        <v>136</v>
      </c>
      <c r="B225">
        <v>109711</v>
      </c>
      <c r="C225">
        <v>6</v>
      </c>
      <c r="D225" t="s">
        <v>461</v>
      </c>
      <c r="E225" t="s">
        <v>462</v>
      </c>
      <c r="F225">
        <v>54</v>
      </c>
      <c r="G225">
        <v>19.86</v>
      </c>
      <c r="H225">
        <v>65.680000000000007</v>
      </c>
      <c r="I225">
        <v>14.71</v>
      </c>
      <c r="J225">
        <v>48.64</v>
      </c>
      <c r="K225">
        <v>9</v>
      </c>
      <c r="T225">
        <v>3</v>
      </c>
      <c r="U225">
        <v>1</v>
      </c>
      <c r="V225" t="s">
        <v>93</v>
      </c>
      <c r="W225" t="s">
        <v>196</v>
      </c>
      <c r="X225">
        <v>14</v>
      </c>
      <c r="Y225">
        <v>14</v>
      </c>
      <c r="Z225" t="s">
        <v>464</v>
      </c>
      <c r="AA225" t="s">
        <v>465</v>
      </c>
      <c r="AB225" t="s">
        <v>96</v>
      </c>
      <c r="AC225" t="s">
        <v>97</v>
      </c>
      <c r="AD225" t="s">
        <v>142</v>
      </c>
      <c r="AG225" t="s">
        <v>466</v>
      </c>
      <c r="AH225">
        <v>0</v>
      </c>
      <c r="AI225">
        <v>698</v>
      </c>
      <c r="AJ225">
        <v>71</v>
      </c>
      <c r="AK225">
        <v>36</v>
      </c>
      <c r="AL225">
        <v>0.67</v>
      </c>
    </row>
    <row r="226" spans="1:38" x14ac:dyDescent="0.3">
      <c r="A226" t="s">
        <v>136</v>
      </c>
      <c r="B226">
        <v>123009</v>
      </c>
      <c r="C226">
        <v>1</v>
      </c>
      <c r="D226" t="s">
        <v>469</v>
      </c>
      <c r="E226" t="s">
        <v>470</v>
      </c>
      <c r="F226">
        <v>8</v>
      </c>
      <c r="G226">
        <v>22.4</v>
      </c>
      <c r="H226">
        <v>74.05</v>
      </c>
      <c r="I226">
        <v>18.48</v>
      </c>
      <c r="J226">
        <v>61.1</v>
      </c>
      <c r="K226">
        <v>1</v>
      </c>
      <c r="T226">
        <v>3</v>
      </c>
      <c r="U226">
        <v>2</v>
      </c>
      <c r="V226" t="s">
        <v>93</v>
      </c>
      <c r="W226">
        <v>74</v>
      </c>
      <c r="X226">
        <v>9</v>
      </c>
      <c r="Y226">
        <v>9</v>
      </c>
      <c r="Z226" t="s">
        <v>471</v>
      </c>
      <c r="AA226" t="s">
        <v>472</v>
      </c>
      <c r="AB226" t="s">
        <v>96</v>
      </c>
      <c r="AC226" t="s">
        <v>97</v>
      </c>
      <c r="AD226" t="s">
        <v>142</v>
      </c>
      <c r="AG226" t="s">
        <v>473</v>
      </c>
      <c r="AH226">
        <v>0</v>
      </c>
      <c r="AI226">
        <v>491</v>
      </c>
      <c r="AJ226">
        <v>76</v>
      </c>
      <c r="AK226">
        <v>8</v>
      </c>
      <c r="AL226">
        <v>1</v>
      </c>
    </row>
    <row r="227" spans="1:38" x14ac:dyDescent="0.3">
      <c r="A227" t="s">
        <v>136</v>
      </c>
      <c r="B227">
        <v>123009</v>
      </c>
      <c r="C227">
        <v>2</v>
      </c>
      <c r="D227" t="s">
        <v>469</v>
      </c>
      <c r="E227" t="s">
        <v>470</v>
      </c>
      <c r="F227">
        <v>8</v>
      </c>
      <c r="G227">
        <v>24.15</v>
      </c>
      <c r="H227">
        <v>79.84</v>
      </c>
      <c r="I227">
        <v>19.920000000000002</v>
      </c>
      <c r="J227">
        <v>65.88</v>
      </c>
      <c r="K227">
        <v>2</v>
      </c>
      <c r="T227">
        <v>3</v>
      </c>
      <c r="U227">
        <v>2</v>
      </c>
      <c r="V227" t="s">
        <v>93</v>
      </c>
      <c r="W227" t="s">
        <v>474</v>
      </c>
      <c r="X227">
        <v>9</v>
      </c>
      <c r="Y227">
        <v>9</v>
      </c>
      <c r="Z227" t="s">
        <v>471</v>
      </c>
      <c r="AA227" t="s">
        <v>472</v>
      </c>
      <c r="AB227" t="s">
        <v>96</v>
      </c>
      <c r="AC227" t="s">
        <v>97</v>
      </c>
      <c r="AD227" t="s">
        <v>142</v>
      </c>
      <c r="AG227" t="s">
        <v>473</v>
      </c>
      <c r="AH227">
        <v>0</v>
      </c>
      <c r="AI227">
        <v>491</v>
      </c>
      <c r="AJ227">
        <v>76</v>
      </c>
      <c r="AK227">
        <v>8</v>
      </c>
      <c r="AL227">
        <v>1</v>
      </c>
    </row>
    <row r="228" spans="1:38" x14ac:dyDescent="0.3">
      <c r="A228" t="s">
        <v>136</v>
      </c>
      <c r="B228">
        <v>123009</v>
      </c>
      <c r="C228">
        <v>3</v>
      </c>
      <c r="D228" t="s">
        <v>469</v>
      </c>
      <c r="E228" t="s">
        <v>470</v>
      </c>
      <c r="F228">
        <v>8</v>
      </c>
      <c r="G228">
        <v>24.16</v>
      </c>
      <c r="H228">
        <v>79.900000000000006</v>
      </c>
      <c r="I228">
        <v>19.940000000000001</v>
      </c>
      <c r="J228">
        <v>65.930000000000007</v>
      </c>
      <c r="K228">
        <v>2</v>
      </c>
      <c r="T228">
        <v>3</v>
      </c>
      <c r="U228">
        <v>2</v>
      </c>
      <c r="V228" t="s">
        <v>93</v>
      </c>
      <c r="W228" t="s">
        <v>475</v>
      </c>
      <c r="X228">
        <v>9</v>
      </c>
      <c r="Y228">
        <v>9</v>
      </c>
      <c r="Z228" t="s">
        <v>471</v>
      </c>
      <c r="AA228" t="s">
        <v>472</v>
      </c>
      <c r="AB228" t="s">
        <v>96</v>
      </c>
      <c r="AC228" t="s">
        <v>97</v>
      </c>
      <c r="AD228" t="s">
        <v>142</v>
      </c>
      <c r="AG228" t="s">
        <v>473</v>
      </c>
      <c r="AH228">
        <v>0</v>
      </c>
      <c r="AI228">
        <v>491</v>
      </c>
      <c r="AJ228">
        <v>76</v>
      </c>
      <c r="AK228">
        <v>8</v>
      </c>
      <c r="AL228">
        <v>1</v>
      </c>
    </row>
    <row r="229" spans="1:38" x14ac:dyDescent="0.3">
      <c r="A229" t="s">
        <v>136</v>
      </c>
      <c r="B229">
        <v>123009</v>
      </c>
      <c r="C229">
        <v>4</v>
      </c>
      <c r="D229" t="s">
        <v>469</v>
      </c>
      <c r="E229" t="s">
        <v>470</v>
      </c>
      <c r="F229">
        <v>8</v>
      </c>
      <c r="G229">
        <v>27.81</v>
      </c>
      <c r="H229">
        <v>91.95</v>
      </c>
      <c r="I229">
        <v>22.95</v>
      </c>
      <c r="J229">
        <v>75.87</v>
      </c>
      <c r="K229">
        <v>1</v>
      </c>
      <c r="T229">
        <v>3</v>
      </c>
      <c r="U229">
        <v>2</v>
      </c>
      <c r="V229" t="s">
        <v>93</v>
      </c>
      <c r="W229" t="s">
        <v>476</v>
      </c>
      <c r="X229">
        <v>9</v>
      </c>
      <c r="Y229">
        <v>9</v>
      </c>
      <c r="Z229" t="s">
        <v>471</v>
      </c>
      <c r="AA229" t="s">
        <v>472</v>
      </c>
      <c r="AB229" t="s">
        <v>96</v>
      </c>
      <c r="AC229" t="s">
        <v>97</v>
      </c>
      <c r="AD229" t="s">
        <v>142</v>
      </c>
      <c r="AG229" t="s">
        <v>473</v>
      </c>
      <c r="AH229">
        <v>0</v>
      </c>
      <c r="AI229">
        <v>491</v>
      </c>
      <c r="AJ229">
        <v>76</v>
      </c>
      <c r="AK229">
        <v>8</v>
      </c>
      <c r="AL229">
        <v>1</v>
      </c>
    </row>
    <row r="230" spans="1:38" x14ac:dyDescent="0.3">
      <c r="A230" t="s">
        <v>136</v>
      </c>
      <c r="B230">
        <v>123009</v>
      </c>
      <c r="C230">
        <v>5</v>
      </c>
      <c r="D230" t="s">
        <v>469</v>
      </c>
      <c r="E230" t="s">
        <v>470</v>
      </c>
      <c r="F230">
        <v>8</v>
      </c>
      <c r="G230">
        <v>28.02</v>
      </c>
      <c r="H230">
        <v>92.66</v>
      </c>
      <c r="I230">
        <v>23.12</v>
      </c>
      <c r="J230">
        <v>76.459999999999994</v>
      </c>
      <c r="K230">
        <v>2</v>
      </c>
      <c r="T230">
        <v>3</v>
      </c>
      <c r="U230">
        <v>2</v>
      </c>
      <c r="V230" t="s">
        <v>93</v>
      </c>
      <c r="W230" t="s">
        <v>170</v>
      </c>
      <c r="X230">
        <v>9</v>
      </c>
      <c r="Y230">
        <v>9</v>
      </c>
      <c r="Z230" t="s">
        <v>471</v>
      </c>
      <c r="AA230" t="s">
        <v>472</v>
      </c>
      <c r="AB230" t="s">
        <v>96</v>
      </c>
      <c r="AC230" t="s">
        <v>97</v>
      </c>
      <c r="AD230" t="s">
        <v>142</v>
      </c>
      <c r="AG230" t="s">
        <v>473</v>
      </c>
      <c r="AH230">
        <v>0</v>
      </c>
      <c r="AI230">
        <v>491</v>
      </c>
      <c r="AJ230">
        <v>76</v>
      </c>
      <c r="AK230">
        <v>8</v>
      </c>
      <c r="AL230">
        <v>1</v>
      </c>
    </row>
    <row r="231" spans="1:38" x14ac:dyDescent="0.3">
      <c r="A231" t="s">
        <v>136</v>
      </c>
      <c r="B231">
        <v>121156</v>
      </c>
      <c r="C231">
        <v>1</v>
      </c>
      <c r="D231" t="s">
        <v>477</v>
      </c>
      <c r="E231" t="s">
        <v>338</v>
      </c>
      <c r="F231">
        <v>50</v>
      </c>
      <c r="G231">
        <v>14.8</v>
      </c>
      <c r="H231">
        <v>48.94</v>
      </c>
      <c r="I231">
        <v>11.5</v>
      </c>
      <c r="J231">
        <v>38.020000000000003</v>
      </c>
      <c r="K231">
        <v>10</v>
      </c>
      <c r="T231">
        <v>2</v>
      </c>
      <c r="U231">
        <v>1</v>
      </c>
      <c r="V231" t="s">
        <v>93</v>
      </c>
      <c r="W231">
        <v>48</v>
      </c>
      <c r="X231">
        <v>15</v>
      </c>
      <c r="Y231">
        <v>15</v>
      </c>
      <c r="Z231" t="s">
        <v>478</v>
      </c>
      <c r="AA231" t="s">
        <v>479</v>
      </c>
      <c r="AB231" t="s">
        <v>96</v>
      </c>
      <c r="AC231" t="s">
        <v>97</v>
      </c>
      <c r="AD231" t="s">
        <v>142</v>
      </c>
      <c r="AG231" t="s">
        <v>480</v>
      </c>
      <c r="AH231">
        <v>0</v>
      </c>
      <c r="AI231">
        <v>691</v>
      </c>
      <c r="AJ231">
        <v>71</v>
      </c>
      <c r="AK231">
        <v>38</v>
      </c>
      <c r="AL231">
        <v>0.76</v>
      </c>
    </row>
    <row r="232" spans="1:38" x14ac:dyDescent="0.3">
      <c r="A232" t="s">
        <v>136</v>
      </c>
      <c r="B232">
        <v>121156</v>
      </c>
      <c r="C232">
        <v>2</v>
      </c>
      <c r="D232" t="s">
        <v>477</v>
      </c>
      <c r="E232" t="s">
        <v>338</v>
      </c>
      <c r="F232">
        <v>50</v>
      </c>
      <c r="G232">
        <v>17.36</v>
      </c>
      <c r="H232">
        <v>57.41</v>
      </c>
      <c r="I232">
        <v>13.48</v>
      </c>
      <c r="J232">
        <v>44.59</v>
      </c>
      <c r="K232">
        <v>10</v>
      </c>
      <c r="T232">
        <v>3</v>
      </c>
      <c r="U232">
        <v>1</v>
      </c>
      <c r="V232" t="s">
        <v>93</v>
      </c>
      <c r="W232">
        <v>57</v>
      </c>
      <c r="X232">
        <v>15</v>
      </c>
      <c r="Y232">
        <v>15</v>
      </c>
      <c r="Z232" t="s">
        <v>478</v>
      </c>
      <c r="AA232" t="s">
        <v>479</v>
      </c>
      <c r="AB232" t="s">
        <v>96</v>
      </c>
      <c r="AC232" t="s">
        <v>97</v>
      </c>
      <c r="AD232" t="s">
        <v>142</v>
      </c>
      <c r="AG232" t="s">
        <v>480</v>
      </c>
      <c r="AH232">
        <v>0</v>
      </c>
      <c r="AI232">
        <v>691</v>
      </c>
      <c r="AJ232">
        <v>71</v>
      </c>
      <c r="AK232">
        <v>38</v>
      </c>
      <c r="AL232">
        <v>0.76</v>
      </c>
    </row>
    <row r="233" spans="1:38" x14ac:dyDescent="0.3">
      <c r="A233" t="s">
        <v>136</v>
      </c>
      <c r="B233">
        <v>121156</v>
      </c>
      <c r="C233">
        <v>3</v>
      </c>
      <c r="D233" t="s">
        <v>477</v>
      </c>
      <c r="E233" t="s">
        <v>338</v>
      </c>
      <c r="F233">
        <v>50</v>
      </c>
      <c r="G233">
        <v>18.04</v>
      </c>
      <c r="H233">
        <v>59.64</v>
      </c>
      <c r="I233">
        <v>14</v>
      </c>
      <c r="J233">
        <v>46.31</v>
      </c>
      <c r="K233">
        <v>10</v>
      </c>
      <c r="T233">
        <v>3</v>
      </c>
      <c r="U233">
        <v>1</v>
      </c>
      <c r="V233" t="s">
        <v>93</v>
      </c>
      <c r="W233">
        <v>59</v>
      </c>
      <c r="X233">
        <v>15</v>
      </c>
      <c r="Y233">
        <v>15</v>
      </c>
      <c r="Z233" t="s">
        <v>478</v>
      </c>
      <c r="AA233" t="s">
        <v>479</v>
      </c>
      <c r="AB233" t="s">
        <v>96</v>
      </c>
      <c r="AC233" t="s">
        <v>97</v>
      </c>
      <c r="AD233" t="s">
        <v>142</v>
      </c>
      <c r="AG233" t="s">
        <v>480</v>
      </c>
      <c r="AH233">
        <v>0</v>
      </c>
      <c r="AI233">
        <v>691</v>
      </c>
      <c r="AJ233">
        <v>71</v>
      </c>
      <c r="AK233">
        <v>38</v>
      </c>
      <c r="AL233">
        <v>0.76</v>
      </c>
    </row>
    <row r="234" spans="1:38" x14ac:dyDescent="0.3">
      <c r="A234" t="s">
        <v>136</v>
      </c>
      <c r="B234">
        <v>121156</v>
      </c>
      <c r="C234">
        <v>4</v>
      </c>
      <c r="D234" t="s">
        <v>477</v>
      </c>
      <c r="E234" t="s">
        <v>338</v>
      </c>
      <c r="F234">
        <v>50</v>
      </c>
      <c r="G234">
        <v>18.86</v>
      </c>
      <c r="H234">
        <v>62.38</v>
      </c>
      <c r="I234">
        <v>14.65</v>
      </c>
      <c r="J234">
        <v>48.44</v>
      </c>
      <c r="K234">
        <v>10</v>
      </c>
      <c r="T234">
        <v>3</v>
      </c>
      <c r="U234">
        <v>1</v>
      </c>
      <c r="V234" t="s">
        <v>93</v>
      </c>
      <c r="W234" t="s">
        <v>463</v>
      </c>
      <c r="X234">
        <v>15</v>
      </c>
      <c r="Y234">
        <v>15</v>
      </c>
      <c r="Z234" t="s">
        <v>478</v>
      </c>
      <c r="AA234" t="s">
        <v>479</v>
      </c>
      <c r="AB234" t="s">
        <v>96</v>
      </c>
      <c r="AC234" t="s">
        <v>97</v>
      </c>
      <c r="AD234" t="s">
        <v>142</v>
      </c>
      <c r="AG234" t="s">
        <v>480</v>
      </c>
      <c r="AH234">
        <v>0</v>
      </c>
      <c r="AI234">
        <v>691</v>
      </c>
      <c r="AJ234">
        <v>71</v>
      </c>
      <c r="AK234">
        <v>38</v>
      </c>
      <c r="AL234">
        <v>0.76</v>
      </c>
    </row>
    <row r="235" spans="1:38" x14ac:dyDescent="0.3">
      <c r="A235" t="s">
        <v>136</v>
      </c>
      <c r="B235">
        <v>121156</v>
      </c>
      <c r="C235">
        <v>5</v>
      </c>
      <c r="D235" t="s">
        <v>477</v>
      </c>
      <c r="E235" t="s">
        <v>338</v>
      </c>
      <c r="F235">
        <v>50</v>
      </c>
      <c r="G235">
        <v>19.29</v>
      </c>
      <c r="H235">
        <v>63.8</v>
      </c>
      <c r="I235">
        <v>14.98</v>
      </c>
      <c r="J235">
        <v>49.55</v>
      </c>
      <c r="K235">
        <v>10</v>
      </c>
      <c r="T235">
        <v>2</v>
      </c>
      <c r="U235">
        <v>1</v>
      </c>
      <c r="V235" t="s">
        <v>93</v>
      </c>
      <c r="W235" t="s">
        <v>195</v>
      </c>
      <c r="X235">
        <v>15</v>
      </c>
      <c r="Y235">
        <v>15</v>
      </c>
      <c r="Z235" t="s">
        <v>478</v>
      </c>
      <c r="AA235" t="s">
        <v>479</v>
      </c>
      <c r="AB235" t="s">
        <v>96</v>
      </c>
      <c r="AC235" t="s">
        <v>97</v>
      </c>
      <c r="AD235" t="s">
        <v>142</v>
      </c>
      <c r="AG235" t="s">
        <v>480</v>
      </c>
      <c r="AH235">
        <v>0</v>
      </c>
      <c r="AI235">
        <v>691</v>
      </c>
      <c r="AJ235">
        <v>71</v>
      </c>
      <c r="AK235">
        <v>38</v>
      </c>
      <c r="AL235">
        <v>0.76</v>
      </c>
    </row>
    <row r="236" spans="1:38" x14ac:dyDescent="0.3">
      <c r="A236" t="s">
        <v>136</v>
      </c>
      <c r="B236">
        <v>112678</v>
      </c>
      <c r="C236">
        <v>1</v>
      </c>
      <c r="D236" t="s">
        <v>481</v>
      </c>
      <c r="E236" t="s">
        <v>462</v>
      </c>
      <c r="F236">
        <v>12</v>
      </c>
      <c r="G236">
        <v>22.37</v>
      </c>
      <c r="H236">
        <v>73.97</v>
      </c>
      <c r="I236">
        <v>19.260000000000002</v>
      </c>
      <c r="J236">
        <v>63.7</v>
      </c>
      <c r="K236">
        <v>4</v>
      </c>
      <c r="T236">
        <v>2</v>
      </c>
      <c r="U236">
        <v>1</v>
      </c>
      <c r="V236" t="s">
        <v>93</v>
      </c>
      <c r="W236">
        <v>73</v>
      </c>
      <c r="X236">
        <v>5</v>
      </c>
      <c r="Y236">
        <v>5</v>
      </c>
      <c r="Z236" t="s">
        <v>482</v>
      </c>
      <c r="AA236" t="s">
        <v>483</v>
      </c>
      <c r="AB236" t="s">
        <v>96</v>
      </c>
      <c r="AC236" t="s">
        <v>97</v>
      </c>
      <c r="AD236" t="s">
        <v>142</v>
      </c>
      <c r="AG236" t="s">
        <v>484</v>
      </c>
      <c r="AH236">
        <v>0</v>
      </c>
      <c r="AI236">
        <v>603</v>
      </c>
      <c r="AJ236">
        <v>68</v>
      </c>
      <c r="AK236">
        <v>13</v>
      </c>
      <c r="AL236">
        <v>1.08</v>
      </c>
    </row>
    <row r="237" spans="1:38" x14ac:dyDescent="0.3">
      <c r="A237" t="s">
        <v>136</v>
      </c>
      <c r="B237">
        <v>112678</v>
      </c>
      <c r="C237">
        <v>2</v>
      </c>
      <c r="D237" t="s">
        <v>481</v>
      </c>
      <c r="E237" t="s">
        <v>462</v>
      </c>
      <c r="F237">
        <v>12</v>
      </c>
      <c r="G237">
        <v>23.68</v>
      </c>
      <c r="H237">
        <v>78.31</v>
      </c>
      <c r="I237">
        <v>20.399999999999999</v>
      </c>
      <c r="J237">
        <v>67.44</v>
      </c>
      <c r="K237">
        <v>4</v>
      </c>
      <c r="T237">
        <v>2</v>
      </c>
      <c r="U237">
        <v>1</v>
      </c>
      <c r="V237" t="s">
        <v>93</v>
      </c>
      <c r="W237" t="s">
        <v>318</v>
      </c>
      <c r="X237">
        <v>5</v>
      </c>
      <c r="Y237">
        <v>5</v>
      </c>
      <c r="Z237" t="s">
        <v>482</v>
      </c>
      <c r="AA237" t="s">
        <v>483</v>
      </c>
      <c r="AB237" t="s">
        <v>96</v>
      </c>
      <c r="AC237" t="s">
        <v>97</v>
      </c>
      <c r="AD237" t="s">
        <v>142</v>
      </c>
      <c r="AG237" t="s">
        <v>484</v>
      </c>
      <c r="AH237">
        <v>0</v>
      </c>
      <c r="AI237">
        <v>603</v>
      </c>
      <c r="AJ237">
        <v>68</v>
      </c>
      <c r="AK237">
        <v>13</v>
      </c>
      <c r="AL237">
        <v>1.08</v>
      </c>
    </row>
    <row r="238" spans="1:38" x14ac:dyDescent="0.3">
      <c r="A238" t="s">
        <v>136</v>
      </c>
      <c r="B238">
        <v>112678</v>
      </c>
      <c r="C238">
        <v>3</v>
      </c>
      <c r="D238" t="s">
        <v>481</v>
      </c>
      <c r="E238" t="s">
        <v>462</v>
      </c>
      <c r="F238">
        <v>12</v>
      </c>
      <c r="G238">
        <v>24.16</v>
      </c>
      <c r="H238">
        <v>79.900000000000006</v>
      </c>
      <c r="I238">
        <v>20.81</v>
      </c>
      <c r="J238">
        <v>68.81</v>
      </c>
      <c r="K238">
        <v>4</v>
      </c>
      <c r="T238">
        <v>2</v>
      </c>
      <c r="U238">
        <v>1</v>
      </c>
      <c r="V238" t="s">
        <v>93</v>
      </c>
      <c r="W238" t="s">
        <v>475</v>
      </c>
      <c r="X238">
        <v>5</v>
      </c>
      <c r="Y238">
        <v>5</v>
      </c>
      <c r="Z238" t="s">
        <v>482</v>
      </c>
      <c r="AA238" t="s">
        <v>483</v>
      </c>
      <c r="AB238" t="s">
        <v>96</v>
      </c>
      <c r="AC238" t="s">
        <v>97</v>
      </c>
      <c r="AD238" t="s">
        <v>142</v>
      </c>
      <c r="AG238" t="s">
        <v>484</v>
      </c>
      <c r="AH238">
        <v>0</v>
      </c>
      <c r="AI238">
        <v>603</v>
      </c>
      <c r="AJ238">
        <v>68</v>
      </c>
      <c r="AK238">
        <v>13</v>
      </c>
      <c r="AL238">
        <v>1.08</v>
      </c>
    </row>
    <row r="239" spans="1:38" x14ac:dyDescent="0.3">
      <c r="A239" t="s">
        <v>136</v>
      </c>
      <c r="B239">
        <v>133950</v>
      </c>
      <c r="C239">
        <v>1</v>
      </c>
      <c r="D239" t="s">
        <v>485</v>
      </c>
      <c r="E239" t="s">
        <v>486</v>
      </c>
      <c r="F239">
        <v>57</v>
      </c>
      <c r="G239">
        <v>20.190000000000001</v>
      </c>
      <c r="H239">
        <v>66.760000000000005</v>
      </c>
      <c r="I239">
        <v>15</v>
      </c>
      <c r="J239">
        <v>49.61</v>
      </c>
      <c r="K239">
        <v>19</v>
      </c>
      <c r="T239">
        <v>3</v>
      </c>
      <c r="U239">
        <v>1</v>
      </c>
      <c r="V239" t="s">
        <v>93</v>
      </c>
      <c r="W239">
        <v>66</v>
      </c>
      <c r="X239">
        <v>20</v>
      </c>
      <c r="Y239">
        <v>20</v>
      </c>
      <c r="Z239" t="s">
        <v>487</v>
      </c>
      <c r="AA239" t="s">
        <v>488</v>
      </c>
      <c r="AB239" t="s">
        <v>96</v>
      </c>
      <c r="AC239" t="s">
        <v>97</v>
      </c>
      <c r="AD239" t="s">
        <v>142</v>
      </c>
      <c r="AG239" t="s">
        <v>489</v>
      </c>
      <c r="AH239">
        <v>0</v>
      </c>
      <c r="AI239">
        <v>799</v>
      </c>
      <c r="AJ239">
        <v>63</v>
      </c>
      <c r="AK239">
        <v>60</v>
      </c>
      <c r="AL239">
        <v>1.05</v>
      </c>
    </row>
    <row r="240" spans="1:38" x14ac:dyDescent="0.3">
      <c r="A240" t="s">
        <v>136</v>
      </c>
      <c r="B240">
        <v>133950</v>
      </c>
      <c r="C240">
        <v>2</v>
      </c>
      <c r="D240" t="s">
        <v>485</v>
      </c>
      <c r="E240" t="s">
        <v>486</v>
      </c>
      <c r="F240">
        <v>57</v>
      </c>
      <c r="G240">
        <v>20.84</v>
      </c>
      <c r="H240">
        <v>68.92</v>
      </c>
      <c r="I240">
        <v>16.12</v>
      </c>
      <c r="J240">
        <v>53.3</v>
      </c>
      <c r="K240">
        <v>19</v>
      </c>
      <c r="T240">
        <v>3</v>
      </c>
      <c r="U240">
        <v>1</v>
      </c>
      <c r="V240" t="s">
        <v>93</v>
      </c>
      <c r="W240" t="s">
        <v>226</v>
      </c>
      <c r="X240">
        <v>20</v>
      </c>
      <c r="Y240">
        <v>20</v>
      </c>
      <c r="Z240" t="s">
        <v>487</v>
      </c>
      <c r="AA240" t="s">
        <v>488</v>
      </c>
      <c r="AB240" t="s">
        <v>96</v>
      </c>
      <c r="AC240" t="s">
        <v>97</v>
      </c>
      <c r="AD240" t="s">
        <v>142</v>
      </c>
      <c r="AG240" t="s">
        <v>489</v>
      </c>
      <c r="AH240">
        <v>0</v>
      </c>
      <c r="AI240">
        <v>799</v>
      </c>
      <c r="AJ240">
        <v>63</v>
      </c>
      <c r="AK240">
        <v>60</v>
      </c>
      <c r="AL240">
        <v>1.05</v>
      </c>
    </row>
    <row r="241" spans="1:38" x14ac:dyDescent="0.3">
      <c r="A241" t="s">
        <v>136</v>
      </c>
      <c r="B241">
        <v>133950</v>
      </c>
      <c r="C241">
        <v>3</v>
      </c>
      <c r="D241" t="s">
        <v>485</v>
      </c>
      <c r="E241" t="s">
        <v>486</v>
      </c>
      <c r="F241">
        <v>57</v>
      </c>
      <c r="G241">
        <v>21.42</v>
      </c>
      <c r="H241">
        <v>70.83</v>
      </c>
      <c r="I241">
        <v>16.68</v>
      </c>
      <c r="J241">
        <v>55.15</v>
      </c>
      <c r="K241">
        <v>19</v>
      </c>
      <c r="T241">
        <v>3</v>
      </c>
      <c r="U241">
        <v>1</v>
      </c>
      <c r="V241" t="s">
        <v>93</v>
      </c>
      <c r="W241" t="s">
        <v>490</v>
      </c>
      <c r="X241">
        <v>20</v>
      </c>
      <c r="Y241">
        <v>20</v>
      </c>
      <c r="Z241" t="s">
        <v>487</v>
      </c>
      <c r="AA241" t="s">
        <v>488</v>
      </c>
      <c r="AB241" t="s">
        <v>96</v>
      </c>
      <c r="AC241" t="s">
        <v>97</v>
      </c>
      <c r="AD241" t="s">
        <v>142</v>
      </c>
      <c r="AG241" t="s">
        <v>489</v>
      </c>
      <c r="AH241">
        <v>0</v>
      </c>
      <c r="AI241">
        <v>799</v>
      </c>
      <c r="AJ241">
        <v>63</v>
      </c>
      <c r="AK241">
        <v>60</v>
      </c>
      <c r="AL241">
        <v>1.05</v>
      </c>
    </row>
    <row r="242" spans="1:38" x14ac:dyDescent="0.3">
      <c r="A242" t="s">
        <v>136</v>
      </c>
      <c r="B242">
        <v>16512</v>
      </c>
      <c r="C242">
        <v>1</v>
      </c>
      <c r="D242" t="s">
        <v>491</v>
      </c>
      <c r="E242" t="s">
        <v>492</v>
      </c>
      <c r="F242">
        <v>70</v>
      </c>
      <c r="G242">
        <v>16.97</v>
      </c>
      <c r="H242">
        <v>56.13</v>
      </c>
      <c r="I242">
        <v>15.39</v>
      </c>
      <c r="J242">
        <v>50.88</v>
      </c>
      <c r="K242">
        <v>40</v>
      </c>
      <c r="T242">
        <v>2</v>
      </c>
      <c r="U242">
        <v>1</v>
      </c>
      <c r="V242" t="s">
        <v>93</v>
      </c>
      <c r="W242">
        <v>56</v>
      </c>
      <c r="X242">
        <v>5</v>
      </c>
      <c r="Y242">
        <v>5</v>
      </c>
      <c r="Z242" t="s">
        <v>493</v>
      </c>
      <c r="AA242" t="s">
        <v>494</v>
      </c>
      <c r="AB242" t="s">
        <v>96</v>
      </c>
      <c r="AC242" t="s">
        <v>97</v>
      </c>
      <c r="AD242" t="s">
        <v>142</v>
      </c>
      <c r="AG242" t="s">
        <v>495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136</v>
      </c>
      <c r="B243">
        <v>16512</v>
      </c>
      <c r="C243">
        <v>2</v>
      </c>
      <c r="D243" t="s">
        <v>491</v>
      </c>
      <c r="E243" t="s">
        <v>492</v>
      </c>
      <c r="F243">
        <v>70</v>
      </c>
      <c r="G243">
        <v>19.89</v>
      </c>
      <c r="H243">
        <v>65.78</v>
      </c>
      <c r="I243">
        <v>18</v>
      </c>
      <c r="J243">
        <v>59.52</v>
      </c>
      <c r="K243">
        <v>30</v>
      </c>
      <c r="T243">
        <v>2</v>
      </c>
      <c r="U243">
        <v>1</v>
      </c>
      <c r="V243" t="s">
        <v>93</v>
      </c>
      <c r="W243">
        <v>65</v>
      </c>
      <c r="X243">
        <v>5</v>
      </c>
      <c r="Y243">
        <v>5</v>
      </c>
      <c r="Z243" t="s">
        <v>493</v>
      </c>
      <c r="AA243" t="s">
        <v>494</v>
      </c>
      <c r="AB243" t="s">
        <v>96</v>
      </c>
      <c r="AC243" t="s">
        <v>97</v>
      </c>
      <c r="AD243" t="s">
        <v>142</v>
      </c>
      <c r="AG243" t="s">
        <v>495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136</v>
      </c>
      <c r="B244">
        <v>119305</v>
      </c>
      <c r="C244">
        <v>1</v>
      </c>
      <c r="D244" t="s">
        <v>496</v>
      </c>
      <c r="E244" t="s">
        <v>497</v>
      </c>
      <c r="F244">
        <v>16</v>
      </c>
      <c r="G244">
        <v>14.61</v>
      </c>
      <c r="H244">
        <v>48.31</v>
      </c>
      <c r="I244">
        <v>11.26</v>
      </c>
      <c r="J244">
        <v>37.229999999999997</v>
      </c>
      <c r="K244">
        <v>1</v>
      </c>
      <c r="T244">
        <v>2</v>
      </c>
      <c r="U244">
        <v>1</v>
      </c>
      <c r="V244" t="s">
        <v>93</v>
      </c>
      <c r="W244">
        <v>48</v>
      </c>
      <c r="X244">
        <v>9</v>
      </c>
      <c r="Y244">
        <v>9</v>
      </c>
      <c r="Z244" t="s">
        <v>498</v>
      </c>
      <c r="AA244" t="s">
        <v>499</v>
      </c>
      <c r="AB244" t="s">
        <v>96</v>
      </c>
      <c r="AC244" t="s">
        <v>97</v>
      </c>
      <c r="AD244" t="s">
        <v>142</v>
      </c>
      <c r="AG244" t="s">
        <v>500</v>
      </c>
      <c r="AH244">
        <v>0</v>
      </c>
      <c r="AI244">
        <v>455</v>
      </c>
      <c r="AJ244">
        <v>69</v>
      </c>
      <c r="AK244">
        <v>16</v>
      </c>
      <c r="AL244">
        <v>1</v>
      </c>
    </row>
    <row r="245" spans="1:38" x14ac:dyDescent="0.3">
      <c r="A245" t="s">
        <v>136</v>
      </c>
      <c r="B245">
        <v>119305</v>
      </c>
      <c r="C245">
        <v>2</v>
      </c>
      <c r="D245" t="s">
        <v>496</v>
      </c>
      <c r="E245" t="s">
        <v>497</v>
      </c>
      <c r="F245">
        <v>16</v>
      </c>
      <c r="G245">
        <v>15.76</v>
      </c>
      <c r="H245">
        <v>52.13</v>
      </c>
      <c r="I245">
        <v>12.16</v>
      </c>
      <c r="J245">
        <v>40.21</v>
      </c>
      <c r="K245">
        <v>1</v>
      </c>
      <c r="T245">
        <v>2</v>
      </c>
      <c r="U245">
        <v>1</v>
      </c>
      <c r="V245" t="s">
        <v>93</v>
      </c>
      <c r="W245">
        <v>52</v>
      </c>
      <c r="X245">
        <v>9</v>
      </c>
      <c r="Y245">
        <v>9</v>
      </c>
      <c r="Z245" t="s">
        <v>498</v>
      </c>
      <c r="AA245" t="s">
        <v>499</v>
      </c>
      <c r="AB245" t="s">
        <v>96</v>
      </c>
      <c r="AC245" t="s">
        <v>97</v>
      </c>
      <c r="AD245" t="s">
        <v>142</v>
      </c>
      <c r="AG245" t="s">
        <v>500</v>
      </c>
      <c r="AH245">
        <v>0</v>
      </c>
      <c r="AI245">
        <v>455</v>
      </c>
      <c r="AJ245">
        <v>69</v>
      </c>
      <c r="AK245">
        <v>16</v>
      </c>
      <c r="AL245">
        <v>1</v>
      </c>
    </row>
    <row r="246" spans="1:38" x14ac:dyDescent="0.3">
      <c r="A246" t="s">
        <v>136</v>
      </c>
      <c r="B246">
        <v>119305</v>
      </c>
      <c r="C246">
        <v>3</v>
      </c>
      <c r="D246" t="s">
        <v>496</v>
      </c>
      <c r="E246" t="s">
        <v>497</v>
      </c>
      <c r="F246">
        <v>16</v>
      </c>
      <c r="G246">
        <v>17.04</v>
      </c>
      <c r="H246">
        <v>56.36</v>
      </c>
      <c r="I246">
        <v>13.11</v>
      </c>
      <c r="J246">
        <v>43.37</v>
      </c>
      <c r="K246">
        <v>1</v>
      </c>
      <c r="T246">
        <v>2</v>
      </c>
      <c r="U246">
        <v>1</v>
      </c>
      <c r="V246" t="s">
        <v>93</v>
      </c>
      <c r="W246">
        <v>56</v>
      </c>
      <c r="X246">
        <v>9</v>
      </c>
      <c r="Y246">
        <v>9</v>
      </c>
      <c r="Z246" t="s">
        <v>498</v>
      </c>
      <c r="AA246" t="s">
        <v>499</v>
      </c>
      <c r="AB246" t="s">
        <v>96</v>
      </c>
      <c r="AC246" t="s">
        <v>97</v>
      </c>
      <c r="AD246" t="s">
        <v>142</v>
      </c>
      <c r="AG246" t="s">
        <v>500</v>
      </c>
      <c r="AH246">
        <v>0</v>
      </c>
      <c r="AI246">
        <v>455</v>
      </c>
      <c r="AJ246">
        <v>69</v>
      </c>
      <c r="AK246">
        <v>16</v>
      </c>
      <c r="AL246">
        <v>1</v>
      </c>
    </row>
    <row r="247" spans="1:38" x14ac:dyDescent="0.3">
      <c r="A247" t="s">
        <v>136</v>
      </c>
      <c r="B247">
        <v>119305</v>
      </c>
      <c r="C247">
        <v>4</v>
      </c>
      <c r="D247" t="s">
        <v>496</v>
      </c>
      <c r="E247" t="s">
        <v>497</v>
      </c>
      <c r="F247">
        <v>16</v>
      </c>
      <c r="G247">
        <v>20.149999999999999</v>
      </c>
      <c r="H247">
        <v>66.64</v>
      </c>
      <c r="I247">
        <v>15.66</v>
      </c>
      <c r="J247">
        <v>51.77</v>
      </c>
      <c r="K247">
        <v>1</v>
      </c>
      <c r="T247">
        <v>3</v>
      </c>
      <c r="U247">
        <v>1</v>
      </c>
      <c r="V247" t="s">
        <v>93</v>
      </c>
      <c r="W247">
        <v>66</v>
      </c>
      <c r="X247">
        <v>9</v>
      </c>
      <c r="Y247">
        <v>9</v>
      </c>
      <c r="Z247" t="s">
        <v>498</v>
      </c>
      <c r="AA247" t="s">
        <v>499</v>
      </c>
      <c r="AB247" t="s">
        <v>96</v>
      </c>
      <c r="AC247" t="s">
        <v>97</v>
      </c>
      <c r="AD247" t="s">
        <v>142</v>
      </c>
      <c r="AG247" t="s">
        <v>500</v>
      </c>
      <c r="AH247">
        <v>0</v>
      </c>
      <c r="AI247">
        <v>455</v>
      </c>
      <c r="AJ247">
        <v>69</v>
      </c>
      <c r="AK247">
        <v>16</v>
      </c>
      <c r="AL247">
        <v>1</v>
      </c>
    </row>
    <row r="248" spans="1:38" x14ac:dyDescent="0.3">
      <c r="A248" t="s">
        <v>136</v>
      </c>
      <c r="B248">
        <v>119305</v>
      </c>
      <c r="C248">
        <v>5</v>
      </c>
      <c r="D248" t="s">
        <v>496</v>
      </c>
      <c r="E248" t="s">
        <v>497</v>
      </c>
      <c r="F248">
        <v>16</v>
      </c>
      <c r="G248">
        <v>20.66</v>
      </c>
      <c r="H248">
        <v>68.319999999999993</v>
      </c>
      <c r="I248">
        <v>16.02</v>
      </c>
      <c r="J248">
        <v>52.98</v>
      </c>
      <c r="K248">
        <v>1</v>
      </c>
      <c r="T248">
        <v>3</v>
      </c>
      <c r="U248">
        <v>1</v>
      </c>
      <c r="V248" t="s">
        <v>93</v>
      </c>
      <c r="W248" t="s">
        <v>226</v>
      </c>
      <c r="X248">
        <v>9</v>
      </c>
      <c r="Y248">
        <v>9</v>
      </c>
      <c r="Z248" t="s">
        <v>498</v>
      </c>
      <c r="AA248" t="s">
        <v>499</v>
      </c>
      <c r="AB248" t="s">
        <v>96</v>
      </c>
      <c r="AC248" t="s">
        <v>97</v>
      </c>
      <c r="AD248" t="s">
        <v>142</v>
      </c>
      <c r="AG248" t="s">
        <v>500</v>
      </c>
      <c r="AH248">
        <v>0</v>
      </c>
      <c r="AI248">
        <v>455</v>
      </c>
      <c r="AJ248">
        <v>69</v>
      </c>
      <c r="AK248">
        <v>16</v>
      </c>
      <c r="AL248">
        <v>1</v>
      </c>
    </row>
    <row r="249" spans="1:38" x14ac:dyDescent="0.3">
      <c r="A249" t="s">
        <v>136</v>
      </c>
      <c r="B249">
        <v>119305</v>
      </c>
      <c r="C249">
        <v>6</v>
      </c>
      <c r="D249" t="s">
        <v>496</v>
      </c>
      <c r="E249" t="s">
        <v>497</v>
      </c>
      <c r="F249">
        <v>16</v>
      </c>
      <c r="G249">
        <v>20.68</v>
      </c>
      <c r="H249">
        <v>68.39</v>
      </c>
      <c r="I249">
        <v>16.11</v>
      </c>
      <c r="J249">
        <v>53.27</v>
      </c>
      <c r="K249">
        <v>1</v>
      </c>
      <c r="T249">
        <v>3</v>
      </c>
      <c r="U249">
        <v>1</v>
      </c>
      <c r="V249" t="s">
        <v>93</v>
      </c>
      <c r="W249" t="s">
        <v>230</v>
      </c>
      <c r="X249">
        <v>9</v>
      </c>
      <c r="Y249">
        <v>9</v>
      </c>
      <c r="Z249" t="s">
        <v>498</v>
      </c>
      <c r="AA249" t="s">
        <v>499</v>
      </c>
      <c r="AB249" t="s">
        <v>96</v>
      </c>
      <c r="AC249" t="s">
        <v>97</v>
      </c>
      <c r="AD249" t="s">
        <v>142</v>
      </c>
      <c r="AG249" t="s">
        <v>500</v>
      </c>
      <c r="AH249">
        <v>0</v>
      </c>
      <c r="AI249">
        <v>455</v>
      </c>
      <c r="AJ249">
        <v>69</v>
      </c>
      <c r="AK249">
        <v>16</v>
      </c>
      <c r="AL249">
        <v>1</v>
      </c>
    </row>
    <row r="250" spans="1:38" x14ac:dyDescent="0.3">
      <c r="A250" t="s">
        <v>136</v>
      </c>
      <c r="B250">
        <v>119305</v>
      </c>
      <c r="C250">
        <v>7</v>
      </c>
      <c r="D250" t="s">
        <v>496</v>
      </c>
      <c r="E250" t="s">
        <v>497</v>
      </c>
      <c r="F250">
        <v>16</v>
      </c>
      <c r="G250">
        <v>20.89</v>
      </c>
      <c r="H250">
        <v>69.08</v>
      </c>
      <c r="I250">
        <v>16.309999999999999</v>
      </c>
      <c r="J250">
        <v>53.92</v>
      </c>
      <c r="K250">
        <v>1</v>
      </c>
      <c r="T250">
        <v>3</v>
      </c>
      <c r="U250">
        <v>1</v>
      </c>
      <c r="V250" t="s">
        <v>93</v>
      </c>
      <c r="W250" t="s">
        <v>453</v>
      </c>
      <c r="X250">
        <v>9</v>
      </c>
      <c r="Y250">
        <v>9</v>
      </c>
      <c r="Z250" t="s">
        <v>498</v>
      </c>
      <c r="AA250" t="s">
        <v>499</v>
      </c>
      <c r="AB250" t="s">
        <v>96</v>
      </c>
      <c r="AC250" t="s">
        <v>97</v>
      </c>
      <c r="AD250" t="s">
        <v>142</v>
      </c>
      <c r="AG250" t="s">
        <v>500</v>
      </c>
      <c r="AH250">
        <v>0</v>
      </c>
      <c r="AI250">
        <v>455</v>
      </c>
      <c r="AJ250">
        <v>69</v>
      </c>
      <c r="AK250">
        <v>16</v>
      </c>
      <c r="AL250">
        <v>1</v>
      </c>
    </row>
    <row r="251" spans="1:38" x14ac:dyDescent="0.3">
      <c r="A251" t="s">
        <v>136</v>
      </c>
      <c r="B251">
        <v>119305</v>
      </c>
      <c r="C251">
        <v>8</v>
      </c>
      <c r="D251" t="s">
        <v>496</v>
      </c>
      <c r="E251" t="s">
        <v>497</v>
      </c>
      <c r="F251">
        <v>16</v>
      </c>
      <c r="G251">
        <v>21.19</v>
      </c>
      <c r="H251">
        <v>70.08</v>
      </c>
      <c r="I251">
        <v>16.46</v>
      </c>
      <c r="J251">
        <v>54.44</v>
      </c>
      <c r="K251">
        <v>1</v>
      </c>
      <c r="T251">
        <v>3</v>
      </c>
      <c r="U251">
        <v>1</v>
      </c>
      <c r="V251" t="s">
        <v>93</v>
      </c>
      <c r="W251" t="s">
        <v>501</v>
      </c>
      <c r="X251">
        <v>9</v>
      </c>
      <c r="Y251">
        <v>9</v>
      </c>
      <c r="Z251" t="s">
        <v>498</v>
      </c>
      <c r="AA251" t="s">
        <v>499</v>
      </c>
      <c r="AB251" t="s">
        <v>96</v>
      </c>
      <c r="AC251" t="s">
        <v>97</v>
      </c>
      <c r="AD251" t="s">
        <v>142</v>
      </c>
      <c r="AG251" t="s">
        <v>500</v>
      </c>
      <c r="AH251">
        <v>0</v>
      </c>
      <c r="AI251">
        <v>455</v>
      </c>
      <c r="AJ251">
        <v>69</v>
      </c>
      <c r="AK251">
        <v>16</v>
      </c>
      <c r="AL251">
        <v>1</v>
      </c>
    </row>
    <row r="252" spans="1:38" x14ac:dyDescent="0.3">
      <c r="A252" t="s">
        <v>136</v>
      </c>
      <c r="B252">
        <v>119305</v>
      </c>
      <c r="C252">
        <v>9</v>
      </c>
      <c r="D252" t="s">
        <v>496</v>
      </c>
      <c r="E252" t="s">
        <v>497</v>
      </c>
      <c r="F252">
        <v>16</v>
      </c>
      <c r="G252">
        <v>21.54</v>
      </c>
      <c r="H252">
        <v>71.23</v>
      </c>
      <c r="I252">
        <v>16.760000000000002</v>
      </c>
      <c r="J252">
        <v>55.41</v>
      </c>
      <c r="K252">
        <v>1</v>
      </c>
      <c r="T252">
        <v>3</v>
      </c>
      <c r="U252">
        <v>1</v>
      </c>
      <c r="V252" t="s">
        <v>93</v>
      </c>
      <c r="W252">
        <v>71</v>
      </c>
      <c r="X252">
        <v>9</v>
      </c>
      <c r="Y252">
        <v>9</v>
      </c>
      <c r="Z252" t="s">
        <v>498</v>
      </c>
      <c r="AA252" t="s">
        <v>499</v>
      </c>
      <c r="AB252" t="s">
        <v>96</v>
      </c>
      <c r="AC252" t="s">
        <v>97</v>
      </c>
      <c r="AD252" t="s">
        <v>142</v>
      </c>
      <c r="AG252" t="s">
        <v>500</v>
      </c>
      <c r="AH252">
        <v>0</v>
      </c>
      <c r="AI252">
        <v>455</v>
      </c>
      <c r="AJ252">
        <v>69</v>
      </c>
      <c r="AK252">
        <v>16</v>
      </c>
      <c r="AL252">
        <v>1</v>
      </c>
    </row>
    <row r="253" spans="1:38" x14ac:dyDescent="0.3">
      <c r="A253" t="s">
        <v>136</v>
      </c>
      <c r="B253">
        <v>119305</v>
      </c>
      <c r="C253">
        <v>10</v>
      </c>
      <c r="D253" t="s">
        <v>496</v>
      </c>
      <c r="E253" t="s">
        <v>497</v>
      </c>
      <c r="F253">
        <v>16</v>
      </c>
      <c r="G253">
        <v>23.79</v>
      </c>
      <c r="H253">
        <v>78.67</v>
      </c>
      <c r="I253">
        <v>18.260000000000002</v>
      </c>
      <c r="J253">
        <v>60.37</v>
      </c>
      <c r="K253">
        <v>1</v>
      </c>
      <c r="T253">
        <v>3</v>
      </c>
      <c r="U253">
        <v>1</v>
      </c>
      <c r="V253" t="s">
        <v>93</v>
      </c>
      <c r="W253">
        <v>78</v>
      </c>
      <c r="X253">
        <v>9</v>
      </c>
      <c r="Y253">
        <v>9</v>
      </c>
      <c r="Z253" t="s">
        <v>498</v>
      </c>
      <c r="AA253" t="s">
        <v>499</v>
      </c>
      <c r="AB253" t="s">
        <v>96</v>
      </c>
      <c r="AC253" t="s">
        <v>97</v>
      </c>
      <c r="AD253" t="s">
        <v>142</v>
      </c>
      <c r="AG253" t="s">
        <v>500</v>
      </c>
      <c r="AH253">
        <v>0</v>
      </c>
      <c r="AI253">
        <v>455</v>
      </c>
      <c r="AJ253">
        <v>69</v>
      </c>
      <c r="AK253">
        <v>16</v>
      </c>
      <c r="AL253">
        <v>1</v>
      </c>
    </row>
    <row r="254" spans="1:38" x14ac:dyDescent="0.3">
      <c r="A254" t="s">
        <v>136</v>
      </c>
      <c r="B254">
        <v>119305</v>
      </c>
      <c r="C254">
        <v>11</v>
      </c>
      <c r="D254" t="s">
        <v>496</v>
      </c>
      <c r="E254" t="s">
        <v>497</v>
      </c>
      <c r="F254">
        <v>16</v>
      </c>
      <c r="G254">
        <v>24.72</v>
      </c>
      <c r="H254">
        <v>81.73</v>
      </c>
      <c r="I254">
        <v>19.14</v>
      </c>
      <c r="J254">
        <v>63.29</v>
      </c>
      <c r="K254">
        <v>1</v>
      </c>
      <c r="T254">
        <v>3</v>
      </c>
      <c r="U254">
        <v>2</v>
      </c>
      <c r="V254" t="s">
        <v>93</v>
      </c>
      <c r="W254" t="s">
        <v>502</v>
      </c>
      <c r="X254">
        <v>9</v>
      </c>
      <c r="Y254">
        <v>9</v>
      </c>
      <c r="Z254" t="s">
        <v>498</v>
      </c>
      <c r="AA254" t="s">
        <v>499</v>
      </c>
      <c r="AB254" t="s">
        <v>96</v>
      </c>
      <c r="AC254" t="s">
        <v>97</v>
      </c>
      <c r="AD254" t="s">
        <v>142</v>
      </c>
      <c r="AG254" t="s">
        <v>500</v>
      </c>
      <c r="AH254">
        <v>0</v>
      </c>
      <c r="AI254">
        <v>455</v>
      </c>
      <c r="AJ254">
        <v>69</v>
      </c>
      <c r="AK254">
        <v>16</v>
      </c>
      <c r="AL254">
        <v>1</v>
      </c>
    </row>
    <row r="255" spans="1:38" x14ac:dyDescent="0.3">
      <c r="A255" t="s">
        <v>136</v>
      </c>
      <c r="B255">
        <v>119305</v>
      </c>
      <c r="C255">
        <v>12</v>
      </c>
      <c r="D255" t="s">
        <v>496</v>
      </c>
      <c r="E255" t="s">
        <v>497</v>
      </c>
      <c r="F255">
        <v>16</v>
      </c>
      <c r="G255">
        <v>24.9</v>
      </c>
      <c r="H255">
        <v>82.32</v>
      </c>
      <c r="I255">
        <v>19.510000000000002</v>
      </c>
      <c r="J255">
        <v>64.510000000000005</v>
      </c>
      <c r="K255">
        <v>1</v>
      </c>
      <c r="T255">
        <v>3</v>
      </c>
      <c r="U255">
        <v>2</v>
      </c>
      <c r="V255" t="s">
        <v>93</v>
      </c>
      <c r="W255" t="s">
        <v>503</v>
      </c>
      <c r="X255">
        <v>9</v>
      </c>
      <c r="Y255">
        <v>9</v>
      </c>
      <c r="Z255" t="s">
        <v>498</v>
      </c>
      <c r="AA255" t="s">
        <v>499</v>
      </c>
      <c r="AB255" t="s">
        <v>96</v>
      </c>
      <c r="AC255" t="s">
        <v>97</v>
      </c>
      <c r="AD255" t="s">
        <v>142</v>
      </c>
      <c r="AG255" t="s">
        <v>500</v>
      </c>
      <c r="AH255">
        <v>0</v>
      </c>
      <c r="AI255">
        <v>455</v>
      </c>
      <c r="AJ255">
        <v>69</v>
      </c>
      <c r="AK255">
        <v>16</v>
      </c>
      <c r="AL255">
        <v>1</v>
      </c>
    </row>
    <row r="256" spans="1:38" x14ac:dyDescent="0.3">
      <c r="A256" t="s">
        <v>136</v>
      </c>
      <c r="B256">
        <v>119305</v>
      </c>
      <c r="C256">
        <v>13</v>
      </c>
      <c r="D256" t="s">
        <v>496</v>
      </c>
      <c r="E256" t="s">
        <v>497</v>
      </c>
      <c r="F256">
        <v>16</v>
      </c>
      <c r="G256">
        <v>25.08</v>
      </c>
      <c r="H256">
        <v>82.93</v>
      </c>
      <c r="I256">
        <v>19.55</v>
      </c>
      <c r="J256">
        <v>64.66</v>
      </c>
      <c r="K256">
        <v>1</v>
      </c>
      <c r="T256">
        <v>3</v>
      </c>
      <c r="U256">
        <v>2</v>
      </c>
      <c r="V256" t="s">
        <v>93</v>
      </c>
      <c r="W256" t="s">
        <v>504</v>
      </c>
      <c r="X256">
        <v>9</v>
      </c>
      <c r="Y256">
        <v>9</v>
      </c>
      <c r="Z256" t="s">
        <v>498</v>
      </c>
      <c r="AA256" t="s">
        <v>499</v>
      </c>
      <c r="AB256" t="s">
        <v>96</v>
      </c>
      <c r="AC256" t="s">
        <v>97</v>
      </c>
      <c r="AD256" t="s">
        <v>142</v>
      </c>
      <c r="AG256" t="s">
        <v>500</v>
      </c>
      <c r="AH256">
        <v>0</v>
      </c>
      <c r="AI256">
        <v>455</v>
      </c>
      <c r="AJ256">
        <v>69</v>
      </c>
      <c r="AK256">
        <v>16</v>
      </c>
      <c r="AL256">
        <v>1</v>
      </c>
    </row>
    <row r="257" spans="1:38" x14ac:dyDescent="0.3">
      <c r="A257" t="s">
        <v>136</v>
      </c>
      <c r="B257">
        <v>119305</v>
      </c>
      <c r="C257">
        <v>14</v>
      </c>
      <c r="D257" t="s">
        <v>496</v>
      </c>
      <c r="E257" t="s">
        <v>497</v>
      </c>
      <c r="F257">
        <v>16</v>
      </c>
      <c r="G257">
        <v>25.1</v>
      </c>
      <c r="H257">
        <v>83</v>
      </c>
      <c r="I257">
        <v>19.52</v>
      </c>
      <c r="J257">
        <v>64.56</v>
      </c>
      <c r="K257">
        <v>1</v>
      </c>
      <c r="T257">
        <v>3</v>
      </c>
      <c r="U257">
        <v>2</v>
      </c>
      <c r="V257" t="s">
        <v>93</v>
      </c>
      <c r="W257" t="s">
        <v>505</v>
      </c>
      <c r="X257">
        <v>9</v>
      </c>
      <c r="Y257">
        <v>9</v>
      </c>
      <c r="Z257" t="s">
        <v>498</v>
      </c>
      <c r="AA257" t="s">
        <v>499</v>
      </c>
      <c r="AB257" t="s">
        <v>96</v>
      </c>
      <c r="AC257" t="s">
        <v>97</v>
      </c>
      <c r="AD257" t="s">
        <v>142</v>
      </c>
      <c r="AG257" t="s">
        <v>500</v>
      </c>
      <c r="AH257">
        <v>0</v>
      </c>
      <c r="AI257">
        <v>455</v>
      </c>
      <c r="AJ257">
        <v>69</v>
      </c>
      <c r="AK257">
        <v>16</v>
      </c>
      <c r="AL257">
        <v>1</v>
      </c>
    </row>
    <row r="258" spans="1:38" x14ac:dyDescent="0.3">
      <c r="A258" t="s">
        <v>136</v>
      </c>
      <c r="B258">
        <v>119305</v>
      </c>
      <c r="C258">
        <v>15</v>
      </c>
      <c r="D258" t="s">
        <v>496</v>
      </c>
      <c r="E258" t="s">
        <v>497</v>
      </c>
      <c r="F258">
        <v>16</v>
      </c>
      <c r="G258">
        <v>25.28</v>
      </c>
      <c r="H258">
        <v>83.58</v>
      </c>
      <c r="I258">
        <v>19.53</v>
      </c>
      <c r="J258">
        <v>64.59</v>
      </c>
      <c r="K258">
        <v>1</v>
      </c>
      <c r="T258">
        <v>3</v>
      </c>
      <c r="U258">
        <v>2</v>
      </c>
      <c r="V258" t="s">
        <v>93</v>
      </c>
      <c r="W258" t="s">
        <v>506</v>
      </c>
      <c r="X258">
        <v>9</v>
      </c>
      <c r="Y258">
        <v>9</v>
      </c>
      <c r="Z258" t="s">
        <v>498</v>
      </c>
      <c r="AA258" t="s">
        <v>499</v>
      </c>
      <c r="AB258" t="s">
        <v>96</v>
      </c>
      <c r="AC258" t="s">
        <v>97</v>
      </c>
      <c r="AD258" t="s">
        <v>142</v>
      </c>
      <c r="AG258" t="s">
        <v>500</v>
      </c>
      <c r="AH258">
        <v>0</v>
      </c>
      <c r="AI258">
        <v>455</v>
      </c>
      <c r="AJ258">
        <v>69</v>
      </c>
      <c r="AK258">
        <v>16</v>
      </c>
      <c r="AL258">
        <v>1</v>
      </c>
    </row>
    <row r="259" spans="1:38" x14ac:dyDescent="0.3">
      <c r="A259" t="s">
        <v>136</v>
      </c>
      <c r="B259">
        <v>119305</v>
      </c>
      <c r="C259">
        <v>16</v>
      </c>
      <c r="D259" t="s">
        <v>496</v>
      </c>
      <c r="E259" t="s">
        <v>497</v>
      </c>
      <c r="F259">
        <v>16</v>
      </c>
      <c r="G259">
        <v>26.12</v>
      </c>
      <c r="H259">
        <v>86.37</v>
      </c>
      <c r="I259">
        <v>20.27</v>
      </c>
      <c r="J259">
        <v>67.040000000000006</v>
      </c>
      <c r="K259">
        <v>1</v>
      </c>
      <c r="T259">
        <v>3</v>
      </c>
      <c r="U259">
        <v>2</v>
      </c>
      <c r="V259" t="s">
        <v>93</v>
      </c>
      <c r="W259">
        <v>86</v>
      </c>
      <c r="X259">
        <v>9</v>
      </c>
      <c r="Y259">
        <v>9</v>
      </c>
      <c r="Z259" t="s">
        <v>498</v>
      </c>
      <c r="AA259" t="s">
        <v>499</v>
      </c>
      <c r="AB259" t="s">
        <v>96</v>
      </c>
      <c r="AC259" t="s">
        <v>97</v>
      </c>
      <c r="AD259" t="s">
        <v>142</v>
      </c>
      <c r="AG259" t="s">
        <v>500</v>
      </c>
      <c r="AH259">
        <v>0</v>
      </c>
      <c r="AI259">
        <v>455</v>
      </c>
      <c r="AJ259">
        <v>69</v>
      </c>
      <c r="AK259">
        <v>16</v>
      </c>
      <c r="AL259">
        <v>1</v>
      </c>
    </row>
    <row r="260" spans="1:38" x14ac:dyDescent="0.3">
      <c r="A260" t="s">
        <v>136</v>
      </c>
      <c r="B260">
        <v>134147</v>
      </c>
      <c r="C260">
        <v>1</v>
      </c>
      <c r="D260" t="s">
        <v>507</v>
      </c>
      <c r="E260" t="s">
        <v>508</v>
      </c>
      <c r="F260">
        <v>26</v>
      </c>
      <c r="G260">
        <v>18.91</v>
      </c>
      <c r="H260">
        <v>62.54</v>
      </c>
      <c r="I260">
        <v>15.1</v>
      </c>
      <c r="J260">
        <v>49.94</v>
      </c>
      <c r="K260">
        <v>9</v>
      </c>
      <c r="T260">
        <v>3</v>
      </c>
      <c r="U260">
        <v>1</v>
      </c>
      <c r="V260" t="s">
        <v>93</v>
      </c>
      <c r="W260" t="s">
        <v>463</v>
      </c>
      <c r="X260">
        <v>10</v>
      </c>
      <c r="Y260">
        <v>9</v>
      </c>
      <c r="Z260" t="s">
        <v>509</v>
      </c>
      <c r="AA260" t="s">
        <v>510</v>
      </c>
      <c r="AB260" t="s">
        <v>96</v>
      </c>
      <c r="AC260" t="s">
        <v>97</v>
      </c>
      <c r="AD260" t="s">
        <v>142</v>
      </c>
      <c r="AG260" t="s">
        <v>511</v>
      </c>
      <c r="AH260">
        <v>0</v>
      </c>
      <c r="AI260">
        <v>698</v>
      </c>
      <c r="AJ260">
        <v>71</v>
      </c>
      <c r="AK260">
        <v>18</v>
      </c>
      <c r="AL260">
        <v>0.69</v>
      </c>
    </row>
    <row r="261" spans="1:38" x14ac:dyDescent="0.3">
      <c r="A261" t="s">
        <v>136</v>
      </c>
      <c r="B261">
        <v>134147</v>
      </c>
      <c r="C261">
        <v>2</v>
      </c>
      <c r="D261" t="s">
        <v>507</v>
      </c>
      <c r="E261" t="s">
        <v>508</v>
      </c>
      <c r="F261">
        <v>26</v>
      </c>
      <c r="G261">
        <v>19.03</v>
      </c>
      <c r="H261">
        <v>62.93</v>
      </c>
      <c r="I261">
        <v>15.11</v>
      </c>
      <c r="J261">
        <v>49.98</v>
      </c>
      <c r="K261">
        <v>9</v>
      </c>
      <c r="T261">
        <v>3</v>
      </c>
      <c r="U261">
        <v>1</v>
      </c>
      <c r="V261" t="s">
        <v>93</v>
      </c>
      <c r="W261" t="s">
        <v>512</v>
      </c>
      <c r="X261">
        <v>10</v>
      </c>
      <c r="Y261">
        <v>9</v>
      </c>
      <c r="Z261" t="s">
        <v>509</v>
      </c>
      <c r="AA261" t="s">
        <v>510</v>
      </c>
      <c r="AB261" t="s">
        <v>96</v>
      </c>
      <c r="AC261" t="s">
        <v>97</v>
      </c>
      <c r="AD261" t="s">
        <v>142</v>
      </c>
      <c r="AG261" t="s">
        <v>511</v>
      </c>
      <c r="AH261">
        <v>0</v>
      </c>
      <c r="AI261">
        <v>698</v>
      </c>
      <c r="AJ261">
        <v>71</v>
      </c>
      <c r="AK261">
        <v>18</v>
      </c>
      <c r="AL261">
        <v>0.69</v>
      </c>
    </row>
    <row r="262" spans="1:38" x14ac:dyDescent="0.3">
      <c r="A262" t="s">
        <v>136</v>
      </c>
      <c r="B262">
        <v>134147</v>
      </c>
      <c r="C262">
        <v>3</v>
      </c>
      <c r="D262" t="s">
        <v>507</v>
      </c>
      <c r="E262" t="s">
        <v>508</v>
      </c>
      <c r="F262">
        <v>26</v>
      </c>
      <c r="G262">
        <v>19.2</v>
      </c>
      <c r="H262">
        <v>63.5</v>
      </c>
      <c r="I262">
        <v>15.11</v>
      </c>
      <c r="J262">
        <v>49.96</v>
      </c>
      <c r="K262">
        <v>8</v>
      </c>
      <c r="T262">
        <v>3</v>
      </c>
      <c r="U262">
        <v>1</v>
      </c>
      <c r="V262" t="s">
        <v>93</v>
      </c>
      <c r="W262" t="s">
        <v>195</v>
      </c>
      <c r="X262">
        <v>10</v>
      </c>
      <c r="Y262">
        <v>9</v>
      </c>
      <c r="Z262" t="s">
        <v>509</v>
      </c>
      <c r="AA262" t="s">
        <v>510</v>
      </c>
      <c r="AB262" t="s">
        <v>96</v>
      </c>
      <c r="AC262" t="s">
        <v>97</v>
      </c>
      <c r="AD262" t="s">
        <v>142</v>
      </c>
      <c r="AG262" t="s">
        <v>511</v>
      </c>
      <c r="AH262">
        <v>0</v>
      </c>
      <c r="AI262">
        <v>698</v>
      </c>
      <c r="AJ262">
        <v>71</v>
      </c>
      <c r="AK262">
        <v>18</v>
      </c>
      <c r="AL262">
        <v>0.69</v>
      </c>
    </row>
    <row r="263" spans="1:38" x14ac:dyDescent="0.3">
      <c r="A263" t="s">
        <v>136</v>
      </c>
      <c r="B263">
        <v>8935</v>
      </c>
      <c r="C263">
        <v>1</v>
      </c>
      <c r="D263" t="s">
        <v>513</v>
      </c>
      <c r="E263" t="s">
        <v>514</v>
      </c>
      <c r="F263">
        <v>211</v>
      </c>
      <c r="G263">
        <v>27.17</v>
      </c>
      <c r="H263">
        <v>89.84</v>
      </c>
      <c r="I263">
        <v>18.100000000000001</v>
      </c>
      <c r="J263">
        <v>59.85</v>
      </c>
      <c r="K263">
        <v>97</v>
      </c>
      <c r="T263">
        <v>3</v>
      </c>
      <c r="U263">
        <v>1</v>
      </c>
      <c r="V263" t="s">
        <v>132</v>
      </c>
      <c r="W263">
        <v>89</v>
      </c>
      <c r="X263">
        <v>21</v>
      </c>
      <c r="Y263">
        <v>9</v>
      </c>
      <c r="Z263" t="s">
        <v>515</v>
      </c>
      <c r="AA263" t="s">
        <v>516</v>
      </c>
      <c r="AB263" t="s">
        <v>96</v>
      </c>
      <c r="AC263" t="s">
        <v>97</v>
      </c>
      <c r="AD263" t="s">
        <v>142</v>
      </c>
      <c r="AG263" t="s">
        <v>517</v>
      </c>
      <c r="AH263">
        <v>0</v>
      </c>
      <c r="AI263">
        <v>489</v>
      </c>
      <c r="AJ263">
        <v>67</v>
      </c>
      <c r="AK263">
        <v>214</v>
      </c>
      <c r="AL263">
        <v>1.01</v>
      </c>
    </row>
    <row r="264" spans="1:38" x14ac:dyDescent="0.3">
      <c r="A264" t="s">
        <v>136</v>
      </c>
      <c r="B264">
        <v>8935</v>
      </c>
      <c r="C264">
        <v>2</v>
      </c>
      <c r="D264" t="s">
        <v>513</v>
      </c>
      <c r="E264" t="s">
        <v>514</v>
      </c>
      <c r="F264">
        <v>211</v>
      </c>
      <c r="G264">
        <v>33.08</v>
      </c>
      <c r="H264">
        <v>109.37</v>
      </c>
      <c r="I264">
        <v>25.69</v>
      </c>
      <c r="J264">
        <v>84.93</v>
      </c>
      <c r="K264">
        <v>114</v>
      </c>
      <c r="T264">
        <v>3</v>
      </c>
      <c r="U264">
        <v>2</v>
      </c>
      <c r="V264" t="s">
        <v>93</v>
      </c>
      <c r="W264">
        <v>109</v>
      </c>
      <c r="X264">
        <v>21</v>
      </c>
      <c r="Y264">
        <v>9</v>
      </c>
      <c r="Z264" t="s">
        <v>515</v>
      </c>
      <c r="AA264" t="s">
        <v>516</v>
      </c>
      <c r="AB264" t="s">
        <v>96</v>
      </c>
      <c r="AC264" t="s">
        <v>97</v>
      </c>
      <c r="AD264" t="s">
        <v>142</v>
      </c>
      <c r="AG264" t="s">
        <v>517</v>
      </c>
      <c r="AH264">
        <v>0</v>
      </c>
      <c r="AI264">
        <v>489</v>
      </c>
      <c r="AJ264">
        <v>67</v>
      </c>
      <c r="AK264">
        <v>214</v>
      </c>
      <c r="AL264">
        <v>1.01</v>
      </c>
    </row>
    <row r="265" spans="1:38" x14ac:dyDescent="0.3">
      <c r="A265" t="s">
        <v>136</v>
      </c>
      <c r="B265">
        <v>8944</v>
      </c>
      <c r="C265">
        <v>1</v>
      </c>
      <c r="D265" t="s">
        <v>518</v>
      </c>
      <c r="E265" t="s">
        <v>519</v>
      </c>
      <c r="F265">
        <v>110</v>
      </c>
      <c r="G265">
        <v>18</v>
      </c>
      <c r="H265">
        <v>59.51</v>
      </c>
      <c r="I265">
        <v>12.88</v>
      </c>
      <c r="J265">
        <v>42.61</v>
      </c>
      <c r="K265">
        <v>50</v>
      </c>
      <c r="T265">
        <v>3</v>
      </c>
      <c r="U265">
        <v>1</v>
      </c>
      <c r="V265" t="s">
        <v>93</v>
      </c>
      <c r="W265">
        <v>59</v>
      </c>
      <c r="X265">
        <v>5</v>
      </c>
      <c r="Y265">
        <v>5</v>
      </c>
      <c r="Z265" t="s">
        <v>520</v>
      </c>
      <c r="AA265" t="s">
        <v>521</v>
      </c>
      <c r="AB265" t="s">
        <v>96</v>
      </c>
      <c r="AC265" t="s">
        <v>97</v>
      </c>
      <c r="AD265" t="s">
        <v>142</v>
      </c>
      <c r="AG265" t="s">
        <v>522</v>
      </c>
      <c r="AH265">
        <v>0</v>
      </c>
      <c r="AI265">
        <v>114</v>
      </c>
      <c r="AJ265">
        <v>24</v>
      </c>
      <c r="AK265">
        <v>0</v>
      </c>
      <c r="AL265">
        <v>0</v>
      </c>
    </row>
    <row r="266" spans="1:38" x14ac:dyDescent="0.3">
      <c r="A266" t="s">
        <v>136</v>
      </c>
      <c r="B266">
        <v>8944</v>
      </c>
      <c r="C266">
        <v>2</v>
      </c>
      <c r="D266" t="s">
        <v>518</v>
      </c>
      <c r="E266" t="s">
        <v>519</v>
      </c>
      <c r="F266">
        <v>110</v>
      </c>
      <c r="G266">
        <v>18.760000000000002</v>
      </c>
      <c r="H266">
        <v>62.03</v>
      </c>
      <c r="I266">
        <v>13.52</v>
      </c>
      <c r="J266">
        <v>44.71</v>
      </c>
      <c r="K266">
        <v>60</v>
      </c>
      <c r="T266">
        <v>3</v>
      </c>
      <c r="U266">
        <v>1</v>
      </c>
      <c r="V266" t="s">
        <v>93</v>
      </c>
      <c r="W266">
        <v>62</v>
      </c>
      <c r="X266">
        <v>5</v>
      </c>
      <c r="Y266">
        <v>5</v>
      </c>
      <c r="Z266" t="s">
        <v>520</v>
      </c>
      <c r="AA266" t="s">
        <v>521</v>
      </c>
      <c r="AB266" t="s">
        <v>96</v>
      </c>
      <c r="AC266" t="s">
        <v>97</v>
      </c>
      <c r="AD266" t="s">
        <v>142</v>
      </c>
      <c r="AG266" t="s">
        <v>522</v>
      </c>
      <c r="AH266">
        <v>0</v>
      </c>
      <c r="AI266">
        <v>114</v>
      </c>
      <c r="AJ266">
        <v>24</v>
      </c>
      <c r="AK266">
        <v>0</v>
      </c>
      <c r="AL266">
        <v>0</v>
      </c>
    </row>
    <row r="267" spans="1:38" x14ac:dyDescent="0.3">
      <c r="A267" t="s">
        <v>136</v>
      </c>
      <c r="B267">
        <v>8947</v>
      </c>
      <c r="C267">
        <v>1</v>
      </c>
      <c r="D267" t="s">
        <v>523</v>
      </c>
      <c r="E267" t="s">
        <v>492</v>
      </c>
      <c r="F267">
        <v>175</v>
      </c>
      <c r="G267">
        <v>17.510000000000002</v>
      </c>
      <c r="H267">
        <v>57.91</v>
      </c>
      <c r="I267">
        <v>14.81</v>
      </c>
      <c r="J267">
        <v>48.98</v>
      </c>
      <c r="K267">
        <v>60</v>
      </c>
      <c r="T267">
        <v>3</v>
      </c>
      <c r="U267">
        <v>1</v>
      </c>
      <c r="V267" t="s">
        <v>93</v>
      </c>
      <c r="W267" t="s">
        <v>353</v>
      </c>
      <c r="X267">
        <v>5</v>
      </c>
      <c r="Y267">
        <v>5</v>
      </c>
      <c r="Z267" t="s">
        <v>524</v>
      </c>
      <c r="AA267" t="s">
        <v>525</v>
      </c>
      <c r="AB267" t="s">
        <v>96</v>
      </c>
      <c r="AC267" t="s">
        <v>97</v>
      </c>
      <c r="AD267" t="s">
        <v>142</v>
      </c>
      <c r="AG267" t="s">
        <v>526</v>
      </c>
      <c r="AH267">
        <v>0</v>
      </c>
      <c r="AI267">
        <v>0</v>
      </c>
      <c r="AJ267">
        <v>0</v>
      </c>
      <c r="AK267">
        <v>0</v>
      </c>
      <c r="AL267">
        <v>0</v>
      </c>
    </row>
    <row r="268" spans="1:38" x14ac:dyDescent="0.3">
      <c r="A268" t="s">
        <v>136</v>
      </c>
      <c r="B268">
        <v>8947</v>
      </c>
      <c r="C268">
        <v>2</v>
      </c>
      <c r="D268" t="s">
        <v>523</v>
      </c>
      <c r="E268" t="s">
        <v>492</v>
      </c>
      <c r="F268">
        <v>175</v>
      </c>
      <c r="G268">
        <v>18.21</v>
      </c>
      <c r="H268">
        <v>60.22</v>
      </c>
      <c r="I268">
        <v>15.4</v>
      </c>
      <c r="J268">
        <v>50.91</v>
      </c>
      <c r="K268">
        <v>10</v>
      </c>
      <c r="T268">
        <v>3</v>
      </c>
      <c r="U268">
        <v>1</v>
      </c>
      <c r="V268" t="s">
        <v>93</v>
      </c>
      <c r="W268" t="s">
        <v>179</v>
      </c>
      <c r="X268">
        <v>5</v>
      </c>
      <c r="Y268">
        <v>5</v>
      </c>
      <c r="Z268" t="s">
        <v>524</v>
      </c>
      <c r="AA268" t="s">
        <v>525</v>
      </c>
      <c r="AB268" t="s">
        <v>96</v>
      </c>
      <c r="AC268" t="s">
        <v>97</v>
      </c>
      <c r="AD268" t="s">
        <v>142</v>
      </c>
      <c r="AG268" t="s">
        <v>526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 x14ac:dyDescent="0.3">
      <c r="A269" t="s">
        <v>136</v>
      </c>
      <c r="B269">
        <v>8947</v>
      </c>
      <c r="C269">
        <v>3</v>
      </c>
      <c r="D269" t="s">
        <v>523</v>
      </c>
      <c r="E269" t="s">
        <v>492</v>
      </c>
      <c r="F269">
        <v>175</v>
      </c>
      <c r="G269">
        <v>18.899999999999999</v>
      </c>
      <c r="H269">
        <v>62.5</v>
      </c>
      <c r="I269">
        <v>15.95</v>
      </c>
      <c r="J269">
        <v>52.76</v>
      </c>
      <c r="K269">
        <v>5</v>
      </c>
      <c r="T269">
        <v>3</v>
      </c>
      <c r="U269">
        <v>1</v>
      </c>
      <c r="V269" t="s">
        <v>93</v>
      </c>
      <c r="W269">
        <v>62</v>
      </c>
      <c r="X269">
        <v>5</v>
      </c>
      <c r="Y269">
        <v>5</v>
      </c>
      <c r="Z269" t="s">
        <v>524</v>
      </c>
      <c r="AA269" t="s">
        <v>525</v>
      </c>
      <c r="AB269" t="s">
        <v>96</v>
      </c>
      <c r="AC269" t="s">
        <v>97</v>
      </c>
      <c r="AD269" t="s">
        <v>142</v>
      </c>
      <c r="AG269" t="s">
        <v>526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38" x14ac:dyDescent="0.3">
      <c r="A270" t="s">
        <v>136</v>
      </c>
      <c r="B270">
        <v>8947</v>
      </c>
      <c r="C270">
        <v>4</v>
      </c>
      <c r="D270" t="s">
        <v>523</v>
      </c>
      <c r="E270" t="s">
        <v>492</v>
      </c>
      <c r="F270">
        <v>175</v>
      </c>
      <c r="G270">
        <v>20.059999999999999</v>
      </c>
      <c r="H270">
        <v>66.33</v>
      </c>
      <c r="I270">
        <v>16.93</v>
      </c>
      <c r="J270">
        <v>55.98</v>
      </c>
      <c r="K270">
        <v>65</v>
      </c>
      <c r="T270">
        <v>3</v>
      </c>
      <c r="U270">
        <v>1</v>
      </c>
      <c r="V270" t="s">
        <v>93</v>
      </c>
      <c r="W270">
        <v>66</v>
      </c>
      <c r="X270">
        <v>5</v>
      </c>
      <c r="Y270">
        <v>5</v>
      </c>
      <c r="Z270" t="s">
        <v>524</v>
      </c>
      <c r="AA270" t="s">
        <v>525</v>
      </c>
      <c r="AB270" t="s">
        <v>96</v>
      </c>
      <c r="AC270" t="s">
        <v>97</v>
      </c>
      <c r="AD270" t="s">
        <v>142</v>
      </c>
      <c r="AG270" t="s">
        <v>526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136</v>
      </c>
      <c r="B271">
        <v>8947</v>
      </c>
      <c r="C271">
        <v>5</v>
      </c>
      <c r="D271" t="s">
        <v>523</v>
      </c>
      <c r="E271" t="s">
        <v>492</v>
      </c>
      <c r="F271">
        <v>175</v>
      </c>
      <c r="G271">
        <v>21.06</v>
      </c>
      <c r="H271">
        <v>69.64</v>
      </c>
      <c r="I271">
        <v>18.02</v>
      </c>
      <c r="J271">
        <v>59.6</v>
      </c>
      <c r="K271">
        <v>5</v>
      </c>
      <c r="T271">
        <v>3</v>
      </c>
      <c r="U271">
        <v>1</v>
      </c>
      <c r="V271" t="s">
        <v>93</v>
      </c>
      <c r="W271">
        <v>69</v>
      </c>
      <c r="X271">
        <v>5</v>
      </c>
      <c r="Y271">
        <v>5</v>
      </c>
      <c r="Z271" t="s">
        <v>524</v>
      </c>
      <c r="AA271" t="s">
        <v>525</v>
      </c>
      <c r="AB271" t="s">
        <v>96</v>
      </c>
      <c r="AC271" t="s">
        <v>97</v>
      </c>
      <c r="AD271" t="s">
        <v>142</v>
      </c>
      <c r="AG271" t="s">
        <v>526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136</v>
      </c>
      <c r="B272">
        <v>8947</v>
      </c>
      <c r="C272">
        <v>6</v>
      </c>
      <c r="D272" t="s">
        <v>523</v>
      </c>
      <c r="E272" t="s">
        <v>492</v>
      </c>
      <c r="F272">
        <v>175</v>
      </c>
      <c r="G272">
        <v>23.96</v>
      </c>
      <c r="H272">
        <v>79.22</v>
      </c>
      <c r="I272">
        <v>20.170000000000002</v>
      </c>
      <c r="J272">
        <v>66.69</v>
      </c>
      <c r="K272">
        <v>30</v>
      </c>
      <c r="T272">
        <v>3</v>
      </c>
      <c r="U272">
        <v>1</v>
      </c>
      <c r="V272" t="s">
        <v>93</v>
      </c>
      <c r="W272">
        <v>79</v>
      </c>
      <c r="X272">
        <v>5</v>
      </c>
      <c r="Y272">
        <v>5</v>
      </c>
      <c r="Z272" t="s">
        <v>524</v>
      </c>
      <c r="AA272" t="s">
        <v>525</v>
      </c>
      <c r="AB272" t="s">
        <v>96</v>
      </c>
      <c r="AC272" t="s">
        <v>97</v>
      </c>
      <c r="AD272" t="s">
        <v>142</v>
      </c>
      <c r="AG272" t="s">
        <v>526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136</v>
      </c>
      <c r="B273">
        <v>141697</v>
      </c>
      <c r="C273">
        <v>1</v>
      </c>
      <c r="D273" t="s">
        <v>527</v>
      </c>
      <c r="E273" t="s">
        <v>528</v>
      </c>
      <c r="F273">
        <v>63</v>
      </c>
      <c r="G273">
        <v>25.02</v>
      </c>
      <c r="H273">
        <v>82.74</v>
      </c>
      <c r="I273">
        <v>19.440000000000001</v>
      </c>
      <c r="J273">
        <v>64.290000000000006</v>
      </c>
      <c r="K273">
        <v>18</v>
      </c>
      <c r="T273">
        <v>3</v>
      </c>
      <c r="U273">
        <v>2</v>
      </c>
      <c r="V273" t="s">
        <v>93</v>
      </c>
      <c r="W273" t="s">
        <v>152</v>
      </c>
      <c r="X273">
        <v>18</v>
      </c>
      <c r="Y273">
        <v>18</v>
      </c>
      <c r="Z273" t="s">
        <v>529</v>
      </c>
      <c r="AA273" t="s">
        <v>530</v>
      </c>
      <c r="AB273" t="s">
        <v>96</v>
      </c>
      <c r="AC273" t="s">
        <v>97</v>
      </c>
      <c r="AD273" t="s">
        <v>142</v>
      </c>
      <c r="AG273" t="s">
        <v>531</v>
      </c>
      <c r="AH273">
        <v>0</v>
      </c>
      <c r="AI273">
        <v>637</v>
      </c>
      <c r="AJ273">
        <v>59</v>
      </c>
      <c r="AK273">
        <v>64</v>
      </c>
      <c r="AL273">
        <v>1.02</v>
      </c>
    </row>
    <row r="274" spans="1:38" x14ac:dyDescent="0.3">
      <c r="A274" t="s">
        <v>136</v>
      </c>
      <c r="B274">
        <v>141697</v>
      </c>
      <c r="C274">
        <v>2</v>
      </c>
      <c r="D274" t="s">
        <v>527</v>
      </c>
      <c r="E274" t="s">
        <v>528</v>
      </c>
      <c r="F274">
        <v>63</v>
      </c>
      <c r="G274">
        <v>25.54</v>
      </c>
      <c r="H274">
        <v>84.43</v>
      </c>
      <c r="I274">
        <v>19.93</v>
      </c>
      <c r="J274">
        <v>65.91</v>
      </c>
      <c r="K274">
        <v>9</v>
      </c>
      <c r="T274">
        <v>3</v>
      </c>
      <c r="U274">
        <v>2</v>
      </c>
      <c r="V274" t="s">
        <v>93</v>
      </c>
      <c r="W274" t="s">
        <v>383</v>
      </c>
      <c r="X274">
        <v>18</v>
      </c>
      <c r="Y274">
        <v>18</v>
      </c>
      <c r="Z274" t="s">
        <v>529</v>
      </c>
      <c r="AA274" t="s">
        <v>530</v>
      </c>
      <c r="AB274" t="s">
        <v>96</v>
      </c>
      <c r="AC274" t="s">
        <v>97</v>
      </c>
      <c r="AD274" t="s">
        <v>142</v>
      </c>
      <c r="AG274" t="s">
        <v>531</v>
      </c>
      <c r="AH274">
        <v>0</v>
      </c>
      <c r="AI274">
        <v>637</v>
      </c>
      <c r="AJ274">
        <v>59</v>
      </c>
      <c r="AK274">
        <v>64</v>
      </c>
      <c r="AL274">
        <v>1.02</v>
      </c>
    </row>
    <row r="275" spans="1:38" x14ac:dyDescent="0.3">
      <c r="A275" t="s">
        <v>136</v>
      </c>
      <c r="B275">
        <v>141697</v>
      </c>
      <c r="C275">
        <v>3</v>
      </c>
      <c r="D275" t="s">
        <v>527</v>
      </c>
      <c r="E275" t="s">
        <v>528</v>
      </c>
      <c r="F275">
        <v>63</v>
      </c>
      <c r="G275">
        <v>25.49</v>
      </c>
      <c r="H275">
        <v>84.29</v>
      </c>
      <c r="I275">
        <v>19.989999999999998</v>
      </c>
      <c r="J275">
        <v>66.099999999999994</v>
      </c>
      <c r="K275">
        <v>9</v>
      </c>
      <c r="T275">
        <v>3</v>
      </c>
      <c r="U275">
        <v>2</v>
      </c>
      <c r="V275" t="s">
        <v>93</v>
      </c>
      <c r="W275" t="s">
        <v>221</v>
      </c>
      <c r="X275">
        <v>18</v>
      </c>
      <c r="Y275">
        <v>18</v>
      </c>
      <c r="Z275" t="s">
        <v>529</v>
      </c>
      <c r="AA275" t="s">
        <v>530</v>
      </c>
      <c r="AB275" t="s">
        <v>96</v>
      </c>
      <c r="AC275" t="s">
        <v>97</v>
      </c>
      <c r="AD275" t="s">
        <v>142</v>
      </c>
      <c r="AG275" t="s">
        <v>531</v>
      </c>
      <c r="AH275">
        <v>0</v>
      </c>
      <c r="AI275">
        <v>637</v>
      </c>
      <c r="AJ275">
        <v>59</v>
      </c>
      <c r="AK275">
        <v>64</v>
      </c>
      <c r="AL275">
        <v>1.02</v>
      </c>
    </row>
    <row r="276" spans="1:38" x14ac:dyDescent="0.3">
      <c r="A276" t="s">
        <v>136</v>
      </c>
      <c r="B276">
        <v>141697</v>
      </c>
      <c r="C276">
        <v>4</v>
      </c>
      <c r="D276" t="s">
        <v>527</v>
      </c>
      <c r="E276" t="s">
        <v>528</v>
      </c>
      <c r="F276">
        <v>63</v>
      </c>
      <c r="G276">
        <v>25.44</v>
      </c>
      <c r="H276">
        <v>84.11</v>
      </c>
      <c r="I276">
        <v>19.940000000000001</v>
      </c>
      <c r="J276">
        <v>65.95</v>
      </c>
      <c r="K276">
        <v>9</v>
      </c>
      <c r="T276">
        <v>3</v>
      </c>
      <c r="U276">
        <v>2</v>
      </c>
      <c r="V276" t="s">
        <v>93</v>
      </c>
      <c r="W276" t="s">
        <v>221</v>
      </c>
      <c r="X276">
        <v>18</v>
      </c>
      <c r="Y276">
        <v>18</v>
      </c>
      <c r="Z276" t="s">
        <v>529</v>
      </c>
      <c r="AA276" t="s">
        <v>530</v>
      </c>
      <c r="AB276" t="s">
        <v>96</v>
      </c>
      <c r="AC276" t="s">
        <v>97</v>
      </c>
      <c r="AD276" t="s">
        <v>142</v>
      </c>
      <c r="AG276" t="s">
        <v>531</v>
      </c>
      <c r="AH276">
        <v>0</v>
      </c>
      <c r="AI276">
        <v>637</v>
      </c>
      <c r="AJ276">
        <v>59</v>
      </c>
      <c r="AK276">
        <v>64</v>
      </c>
      <c r="AL276">
        <v>1.02</v>
      </c>
    </row>
    <row r="277" spans="1:38" x14ac:dyDescent="0.3">
      <c r="A277" t="s">
        <v>136</v>
      </c>
      <c r="B277">
        <v>141697</v>
      </c>
      <c r="C277">
        <v>5</v>
      </c>
      <c r="D277" t="s">
        <v>527</v>
      </c>
      <c r="E277" t="s">
        <v>528</v>
      </c>
      <c r="F277">
        <v>63</v>
      </c>
      <c r="G277">
        <v>26.32</v>
      </c>
      <c r="H277">
        <v>87.02</v>
      </c>
      <c r="I277">
        <v>20.53</v>
      </c>
      <c r="J277">
        <v>67.900000000000006</v>
      </c>
      <c r="K277">
        <v>18</v>
      </c>
      <c r="T277">
        <v>3</v>
      </c>
      <c r="U277">
        <v>2</v>
      </c>
      <c r="V277" t="s">
        <v>93</v>
      </c>
      <c r="W277" t="s">
        <v>532</v>
      </c>
      <c r="X277">
        <v>18</v>
      </c>
      <c r="Y277">
        <v>18</v>
      </c>
      <c r="Z277" t="s">
        <v>529</v>
      </c>
      <c r="AA277" t="s">
        <v>530</v>
      </c>
      <c r="AB277" t="s">
        <v>96</v>
      </c>
      <c r="AC277" t="s">
        <v>97</v>
      </c>
      <c r="AD277" t="s">
        <v>142</v>
      </c>
      <c r="AG277" t="s">
        <v>531</v>
      </c>
      <c r="AH277">
        <v>0</v>
      </c>
      <c r="AI277">
        <v>637</v>
      </c>
      <c r="AJ277">
        <v>59</v>
      </c>
      <c r="AK277">
        <v>64</v>
      </c>
      <c r="AL277">
        <v>1.02</v>
      </c>
    </row>
    <row r="278" spans="1:38" x14ac:dyDescent="0.3">
      <c r="A278" t="s">
        <v>136</v>
      </c>
      <c r="B278">
        <v>117103</v>
      </c>
      <c r="C278">
        <v>1</v>
      </c>
      <c r="D278" t="s">
        <v>533</v>
      </c>
      <c r="E278" t="s">
        <v>534</v>
      </c>
      <c r="F278">
        <v>44</v>
      </c>
      <c r="G278">
        <v>27.14</v>
      </c>
      <c r="H278">
        <v>89.75</v>
      </c>
      <c r="I278">
        <v>21.39</v>
      </c>
      <c r="J278">
        <v>70.73</v>
      </c>
      <c r="K278">
        <v>44</v>
      </c>
      <c r="T278">
        <v>3</v>
      </c>
      <c r="U278">
        <v>2</v>
      </c>
      <c r="V278" t="s">
        <v>93</v>
      </c>
      <c r="W278">
        <v>89</v>
      </c>
      <c r="X278">
        <v>15</v>
      </c>
      <c r="Y278">
        <v>15</v>
      </c>
      <c r="Z278" t="s">
        <v>535</v>
      </c>
      <c r="AA278" t="s">
        <v>536</v>
      </c>
      <c r="AB278" t="s">
        <v>96</v>
      </c>
      <c r="AC278" t="s">
        <v>97</v>
      </c>
      <c r="AD278" t="s">
        <v>142</v>
      </c>
      <c r="AG278" t="s">
        <v>537</v>
      </c>
      <c r="AH278">
        <v>0</v>
      </c>
      <c r="AI278">
        <v>591</v>
      </c>
      <c r="AJ278">
        <v>66</v>
      </c>
      <c r="AK278">
        <v>45</v>
      </c>
      <c r="AL278">
        <v>1.02</v>
      </c>
    </row>
    <row r="279" spans="1:38" x14ac:dyDescent="0.3">
      <c r="A279" t="s">
        <v>136</v>
      </c>
      <c r="B279">
        <v>133570</v>
      </c>
      <c r="C279">
        <v>1</v>
      </c>
      <c r="D279" t="s">
        <v>538</v>
      </c>
      <c r="E279" t="s">
        <v>462</v>
      </c>
      <c r="F279">
        <v>8</v>
      </c>
      <c r="G279">
        <v>15.37</v>
      </c>
      <c r="H279">
        <v>50.81</v>
      </c>
      <c r="I279">
        <v>13.39</v>
      </c>
      <c r="J279">
        <v>44.29</v>
      </c>
      <c r="K279">
        <v>2</v>
      </c>
      <c r="T279">
        <v>2</v>
      </c>
      <c r="U279">
        <v>1</v>
      </c>
      <c r="V279" t="s">
        <v>93</v>
      </c>
      <c r="W279">
        <v>50</v>
      </c>
      <c r="X279">
        <v>10</v>
      </c>
      <c r="Y279">
        <v>10</v>
      </c>
      <c r="Z279" t="s">
        <v>539</v>
      </c>
      <c r="AA279" t="s">
        <v>540</v>
      </c>
      <c r="AB279" t="s">
        <v>96</v>
      </c>
      <c r="AC279" t="s">
        <v>97</v>
      </c>
      <c r="AD279" t="s">
        <v>142</v>
      </c>
      <c r="AG279" t="s">
        <v>541</v>
      </c>
      <c r="AH279">
        <v>0</v>
      </c>
      <c r="AI279">
        <v>706</v>
      </c>
      <c r="AJ279">
        <v>76</v>
      </c>
      <c r="AK279">
        <v>8</v>
      </c>
      <c r="AL279">
        <v>1</v>
      </c>
    </row>
    <row r="280" spans="1:38" x14ac:dyDescent="0.3">
      <c r="A280" t="s">
        <v>136</v>
      </c>
      <c r="B280">
        <v>133570</v>
      </c>
      <c r="C280">
        <v>2</v>
      </c>
      <c r="D280" t="s">
        <v>538</v>
      </c>
      <c r="E280" t="s">
        <v>462</v>
      </c>
      <c r="F280">
        <v>8</v>
      </c>
      <c r="G280">
        <v>16.14</v>
      </c>
      <c r="H280">
        <v>53.36</v>
      </c>
      <c r="I280">
        <v>14.06</v>
      </c>
      <c r="J280">
        <v>46.51</v>
      </c>
      <c r="K280">
        <v>2</v>
      </c>
      <c r="T280">
        <v>2</v>
      </c>
      <c r="U280">
        <v>1</v>
      </c>
      <c r="V280" t="s">
        <v>93</v>
      </c>
      <c r="W280">
        <v>53</v>
      </c>
      <c r="X280">
        <v>10</v>
      </c>
      <c r="Y280">
        <v>10</v>
      </c>
      <c r="Z280" t="s">
        <v>539</v>
      </c>
      <c r="AA280" t="s">
        <v>540</v>
      </c>
      <c r="AB280" t="s">
        <v>96</v>
      </c>
      <c r="AC280" t="s">
        <v>97</v>
      </c>
      <c r="AD280" t="s">
        <v>142</v>
      </c>
      <c r="AG280" t="s">
        <v>541</v>
      </c>
      <c r="AH280">
        <v>0</v>
      </c>
      <c r="AI280">
        <v>706</v>
      </c>
      <c r="AJ280">
        <v>76</v>
      </c>
      <c r="AK280">
        <v>8</v>
      </c>
      <c r="AL280">
        <v>1</v>
      </c>
    </row>
    <row r="281" spans="1:38" x14ac:dyDescent="0.3">
      <c r="A281" t="s">
        <v>136</v>
      </c>
      <c r="B281">
        <v>133570</v>
      </c>
      <c r="C281">
        <v>3</v>
      </c>
      <c r="D281" t="s">
        <v>538</v>
      </c>
      <c r="E281" t="s">
        <v>462</v>
      </c>
      <c r="F281">
        <v>8</v>
      </c>
      <c r="G281">
        <v>17.96</v>
      </c>
      <c r="H281">
        <v>59.39</v>
      </c>
      <c r="I281">
        <v>15.66</v>
      </c>
      <c r="J281">
        <v>51.77</v>
      </c>
      <c r="K281">
        <v>2</v>
      </c>
      <c r="T281">
        <v>2</v>
      </c>
      <c r="U281">
        <v>1</v>
      </c>
      <c r="V281" t="s">
        <v>93</v>
      </c>
      <c r="W281">
        <v>59</v>
      </c>
      <c r="X281">
        <v>10</v>
      </c>
      <c r="Y281">
        <v>10</v>
      </c>
      <c r="Z281" t="s">
        <v>539</v>
      </c>
      <c r="AA281" t="s">
        <v>540</v>
      </c>
      <c r="AB281" t="s">
        <v>96</v>
      </c>
      <c r="AC281" t="s">
        <v>97</v>
      </c>
      <c r="AD281" t="s">
        <v>142</v>
      </c>
      <c r="AG281" t="s">
        <v>541</v>
      </c>
      <c r="AH281">
        <v>0</v>
      </c>
      <c r="AI281">
        <v>706</v>
      </c>
      <c r="AJ281">
        <v>76</v>
      </c>
      <c r="AK281">
        <v>8</v>
      </c>
      <c r="AL281">
        <v>1</v>
      </c>
    </row>
    <row r="282" spans="1:38" x14ac:dyDescent="0.3">
      <c r="A282" t="s">
        <v>136</v>
      </c>
      <c r="B282">
        <v>133570</v>
      </c>
      <c r="C282">
        <v>4</v>
      </c>
      <c r="D282" t="s">
        <v>538</v>
      </c>
      <c r="E282" t="s">
        <v>462</v>
      </c>
      <c r="F282">
        <v>8</v>
      </c>
      <c r="G282">
        <v>20.170000000000002</v>
      </c>
      <c r="H282">
        <v>66.69</v>
      </c>
      <c r="I282">
        <v>17.579999999999998</v>
      </c>
      <c r="J282">
        <v>58.13</v>
      </c>
      <c r="K282">
        <v>2</v>
      </c>
      <c r="T282">
        <v>3</v>
      </c>
      <c r="U282">
        <v>1</v>
      </c>
      <c r="V282" t="s">
        <v>93</v>
      </c>
      <c r="W282">
        <v>66</v>
      </c>
      <c r="X282">
        <v>10</v>
      </c>
      <c r="Y282">
        <v>10</v>
      </c>
      <c r="Z282" t="s">
        <v>539</v>
      </c>
      <c r="AA282" t="s">
        <v>540</v>
      </c>
      <c r="AB282" t="s">
        <v>96</v>
      </c>
      <c r="AC282" t="s">
        <v>97</v>
      </c>
      <c r="AD282" t="s">
        <v>142</v>
      </c>
      <c r="AG282" t="s">
        <v>541</v>
      </c>
      <c r="AH282">
        <v>0</v>
      </c>
      <c r="AI282">
        <v>706</v>
      </c>
      <c r="AJ282">
        <v>76</v>
      </c>
      <c r="AK282">
        <v>8</v>
      </c>
      <c r="AL282">
        <v>1</v>
      </c>
    </row>
    <row r="283" spans="1:38" x14ac:dyDescent="0.3">
      <c r="A283" t="s">
        <v>136</v>
      </c>
      <c r="B283">
        <v>8951</v>
      </c>
      <c r="C283">
        <v>1</v>
      </c>
      <c r="D283" t="s">
        <v>542</v>
      </c>
      <c r="E283" t="s">
        <v>543</v>
      </c>
      <c r="F283">
        <v>25</v>
      </c>
      <c r="G283">
        <v>24.23</v>
      </c>
      <c r="H283">
        <v>80.13</v>
      </c>
      <c r="I283">
        <v>19.010000000000002</v>
      </c>
      <c r="J283">
        <v>62.85</v>
      </c>
      <c r="K283">
        <v>5</v>
      </c>
      <c r="T283">
        <v>2</v>
      </c>
      <c r="U283">
        <v>1</v>
      </c>
      <c r="V283" t="s">
        <v>93</v>
      </c>
      <c r="W283">
        <v>80</v>
      </c>
      <c r="X283">
        <v>5</v>
      </c>
      <c r="Y283">
        <v>5</v>
      </c>
      <c r="Z283" t="s">
        <v>544</v>
      </c>
      <c r="AA283" t="s">
        <v>545</v>
      </c>
      <c r="AB283" t="s">
        <v>96</v>
      </c>
      <c r="AC283" t="s">
        <v>97</v>
      </c>
      <c r="AD283" t="s">
        <v>142</v>
      </c>
      <c r="AG283" t="s">
        <v>546</v>
      </c>
      <c r="AH283">
        <v>0</v>
      </c>
      <c r="AI283">
        <v>0</v>
      </c>
      <c r="AJ283">
        <v>0</v>
      </c>
      <c r="AK283">
        <v>0</v>
      </c>
      <c r="AL283">
        <v>0</v>
      </c>
    </row>
    <row r="284" spans="1:38" x14ac:dyDescent="0.3">
      <c r="A284" t="s">
        <v>136</v>
      </c>
      <c r="B284">
        <v>8951</v>
      </c>
      <c r="C284">
        <v>2</v>
      </c>
      <c r="D284" t="s">
        <v>542</v>
      </c>
      <c r="E284" t="s">
        <v>543</v>
      </c>
      <c r="F284">
        <v>25</v>
      </c>
      <c r="G284">
        <v>25.07</v>
      </c>
      <c r="H284">
        <v>82.9</v>
      </c>
      <c r="I284">
        <v>19.72</v>
      </c>
      <c r="J284">
        <v>65.22</v>
      </c>
      <c r="K284">
        <v>10</v>
      </c>
      <c r="T284">
        <v>3</v>
      </c>
      <c r="U284">
        <v>1</v>
      </c>
      <c r="V284" t="s">
        <v>93</v>
      </c>
      <c r="W284">
        <v>82</v>
      </c>
      <c r="X284">
        <v>5</v>
      </c>
      <c r="Y284">
        <v>5</v>
      </c>
      <c r="Z284" t="s">
        <v>544</v>
      </c>
      <c r="AA284" t="s">
        <v>545</v>
      </c>
      <c r="AB284" t="s">
        <v>96</v>
      </c>
      <c r="AC284" t="s">
        <v>97</v>
      </c>
      <c r="AD284" t="s">
        <v>142</v>
      </c>
      <c r="AG284" t="s">
        <v>546</v>
      </c>
      <c r="AH284">
        <v>0</v>
      </c>
      <c r="AI284">
        <v>0</v>
      </c>
      <c r="AJ284">
        <v>0</v>
      </c>
      <c r="AK284">
        <v>0</v>
      </c>
      <c r="AL284">
        <v>0</v>
      </c>
    </row>
    <row r="285" spans="1:38" x14ac:dyDescent="0.3">
      <c r="A285" t="s">
        <v>136</v>
      </c>
      <c r="B285">
        <v>8951</v>
      </c>
      <c r="C285">
        <v>3</v>
      </c>
      <c r="D285" t="s">
        <v>542</v>
      </c>
      <c r="E285" t="s">
        <v>543</v>
      </c>
      <c r="F285">
        <v>25</v>
      </c>
      <c r="G285">
        <v>28.05</v>
      </c>
      <c r="H285">
        <v>92.73</v>
      </c>
      <c r="I285">
        <v>20.53</v>
      </c>
      <c r="J285">
        <v>67.89</v>
      </c>
      <c r="K285">
        <v>5</v>
      </c>
      <c r="T285">
        <v>3</v>
      </c>
      <c r="U285">
        <v>1</v>
      </c>
      <c r="V285" t="s">
        <v>93</v>
      </c>
      <c r="W285">
        <v>92</v>
      </c>
      <c r="X285">
        <v>5</v>
      </c>
      <c r="Y285">
        <v>5</v>
      </c>
      <c r="Z285" t="s">
        <v>544</v>
      </c>
      <c r="AA285" t="s">
        <v>545</v>
      </c>
      <c r="AB285" t="s">
        <v>96</v>
      </c>
      <c r="AC285" t="s">
        <v>97</v>
      </c>
      <c r="AD285" t="s">
        <v>142</v>
      </c>
      <c r="AG285" t="s">
        <v>546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38" x14ac:dyDescent="0.3">
      <c r="A286" t="s">
        <v>136</v>
      </c>
      <c r="B286">
        <v>8951</v>
      </c>
      <c r="C286">
        <v>4</v>
      </c>
      <c r="D286" t="s">
        <v>542</v>
      </c>
      <c r="E286" t="s">
        <v>543</v>
      </c>
      <c r="F286">
        <v>25</v>
      </c>
      <c r="G286">
        <v>31.06</v>
      </c>
      <c r="H286">
        <v>102.71</v>
      </c>
      <c r="I286">
        <v>24.86</v>
      </c>
      <c r="J286">
        <v>82.2</v>
      </c>
      <c r="K286">
        <v>5</v>
      </c>
      <c r="T286">
        <v>3</v>
      </c>
      <c r="U286">
        <v>1</v>
      </c>
      <c r="V286" t="s">
        <v>93</v>
      </c>
      <c r="W286">
        <v>102</v>
      </c>
      <c r="X286">
        <v>5</v>
      </c>
      <c r="Y286">
        <v>5</v>
      </c>
      <c r="Z286" t="s">
        <v>544</v>
      </c>
      <c r="AA286" t="s">
        <v>545</v>
      </c>
      <c r="AB286" t="s">
        <v>96</v>
      </c>
      <c r="AC286" t="s">
        <v>97</v>
      </c>
      <c r="AD286" t="s">
        <v>142</v>
      </c>
      <c r="AG286" t="s">
        <v>546</v>
      </c>
      <c r="AH286">
        <v>0</v>
      </c>
      <c r="AI286">
        <v>0</v>
      </c>
      <c r="AJ286">
        <v>0</v>
      </c>
      <c r="AK286">
        <v>0</v>
      </c>
      <c r="AL286">
        <v>0</v>
      </c>
    </row>
    <row r="287" spans="1:38" x14ac:dyDescent="0.3">
      <c r="A287" t="s">
        <v>136</v>
      </c>
      <c r="B287">
        <v>133741</v>
      </c>
      <c r="C287">
        <v>1</v>
      </c>
      <c r="D287" t="s">
        <v>547</v>
      </c>
      <c r="E287" t="s">
        <v>548</v>
      </c>
      <c r="F287">
        <v>345</v>
      </c>
      <c r="G287">
        <v>25.95</v>
      </c>
      <c r="H287">
        <v>85.8</v>
      </c>
      <c r="I287">
        <v>18.12</v>
      </c>
      <c r="J287">
        <v>59.93</v>
      </c>
      <c r="K287">
        <v>26</v>
      </c>
      <c r="T287">
        <v>3</v>
      </c>
      <c r="U287">
        <v>2</v>
      </c>
      <c r="V287" t="s">
        <v>93</v>
      </c>
      <c r="W287">
        <v>85</v>
      </c>
      <c r="X287">
        <v>27</v>
      </c>
      <c r="Y287">
        <v>27</v>
      </c>
      <c r="Z287" t="s">
        <v>549</v>
      </c>
      <c r="AA287" t="s">
        <v>550</v>
      </c>
      <c r="AB287" t="s">
        <v>96</v>
      </c>
      <c r="AC287" t="s">
        <v>97</v>
      </c>
      <c r="AD287" t="s">
        <v>142</v>
      </c>
      <c r="AG287" t="s">
        <v>285</v>
      </c>
      <c r="AH287">
        <v>0</v>
      </c>
      <c r="AI287">
        <v>805</v>
      </c>
      <c r="AJ287">
        <v>38</v>
      </c>
      <c r="AK287">
        <v>405</v>
      </c>
      <c r="AL287">
        <v>1.17</v>
      </c>
    </row>
    <row r="288" spans="1:38" x14ac:dyDescent="0.3">
      <c r="A288" t="s">
        <v>136</v>
      </c>
      <c r="B288">
        <v>133741</v>
      </c>
      <c r="C288">
        <v>2</v>
      </c>
      <c r="D288" t="s">
        <v>547</v>
      </c>
      <c r="E288" t="s">
        <v>548</v>
      </c>
      <c r="F288">
        <v>345</v>
      </c>
      <c r="G288">
        <v>32.03</v>
      </c>
      <c r="H288">
        <v>105.9</v>
      </c>
      <c r="I288">
        <v>22.52</v>
      </c>
      <c r="J288">
        <v>74.47</v>
      </c>
      <c r="K288">
        <v>52</v>
      </c>
      <c r="T288">
        <v>3</v>
      </c>
      <c r="U288">
        <v>2</v>
      </c>
      <c r="V288" t="s">
        <v>93</v>
      </c>
      <c r="W288" t="s">
        <v>551</v>
      </c>
      <c r="X288">
        <v>27</v>
      </c>
      <c r="Y288">
        <v>27</v>
      </c>
      <c r="Z288" t="s">
        <v>549</v>
      </c>
      <c r="AA288" t="s">
        <v>550</v>
      </c>
      <c r="AB288" t="s">
        <v>96</v>
      </c>
      <c r="AC288" t="s">
        <v>97</v>
      </c>
      <c r="AD288" t="s">
        <v>142</v>
      </c>
      <c r="AG288" t="s">
        <v>285</v>
      </c>
      <c r="AH288">
        <v>0</v>
      </c>
      <c r="AI288">
        <v>805</v>
      </c>
      <c r="AJ288">
        <v>38</v>
      </c>
      <c r="AK288">
        <v>405</v>
      </c>
      <c r="AL288">
        <v>1.17</v>
      </c>
    </row>
    <row r="289" spans="1:38" x14ac:dyDescent="0.3">
      <c r="A289" t="s">
        <v>136</v>
      </c>
      <c r="B289">
        <v>133741</v>
      </c>
      <c r="C289">
        <v>3</v>
      </c>
      <c r="D289" t="s">
        <v>547</v>
      </c>
      <c r="E289" t="s">
        <v>548</v>
      </c>
      <c r="F289">
        <v>345</v>
      </c>
      <c r="G289">
        <v>32.21</v>
      </c>
      <c r="H289">
        <v>106.5</v>
      </c>
      <c r="I289">
        <v>22.47</v>
      </c>
      <c r="J289">
        <v>74.3</v>
      </c>
      <c r="K289">
        <v>51</v>
      </c>
      <c r="T289">
        <v>3</v>
      </c>
      <c r="U289">
        <v>2</v>
      </c>
      <c r="V289" t="s">
        <v>93</v>
      </c>
      <c r="W289" t="s">
        <v>552</v>
      </c>
      <c r="X289">
        <v>27</v>
      </c>
      <c r="Y289">
        <v>27</v>
      </c>
      <c r="Z289" t="s">
        <v>549</v>
      </c>
      <c r="AA289" t="s">
        <v>550</v>
      </c>
      <c r="AB289" t="s">
        <v>96</v>
      </c>
      <c r="AC289" t="s">
        <v>97</v>
      </c>
      <c r="AD289" t="s">
        <v>142</v>
      </c>
      <c r="AG289" t="s">
        <v>285</v>
      </c>
      <c r="AH289">
        <v>0</v>
      </c>
      <c r="AI289">
        <v>805</v>
      </c>
      <c r="AJ289">
        <v>38</v>
      </c>
      <c r="AK289">
        <v>405</v>
      </c>
      <c r="AL289">
        <v>1.17</v>
      </c>
    </row>
    <row r="290" spans="1:38" x14ac:dyDescent="0.3">
      <c r="A290" t="s">
        <v>136</v>
      </c>
      <c r="B290">
        <v>133741</v>
      </c>
      <c r="C290">
        <v>4</v>
      </c>
      <c r="D290" t="s">
        <v>547</v>
      </c>
      <c r="E290" t="s">
        <v>548</v>
      </c>
      <c r="F290">
        <v>345</v>
      </c>
      <c r="G290">
        <v>36.159999999999997</v>
      </c>
      <c r="H290">
        <v>119.54</v>
      </c>
      <c r="I290">
        <v>25.66</v>
      </c>
      <c r="J290">
        <v>84.83</v>
      </c>
      <c r="K290">
        <v>104</v>
      </c>
      <c r="T290">
        <v>3</v>
      </c>
      <c r="U290">
        <v>2</v>
      </c>
      <c r="V290" t="s">
        <v>93</v>
      </c>
      <c r="W290" t="s">
        <v>553</v>
      </c>
      <c r="X290">
        <v>27</v>
      </c>
      <c r="Y290">
        <v>27</v>
      </c>
      <c r="Z290" t="s">
        <v>549</v>
      </c>
      <c r="AA290" t="s">
        <v>550</v>
      </c>
      <c r="AB290" t="s">
        <v>96</v>
      </c>
      <c r="AC290" t="s">
        <v>97</v>
      </c>
      <c r="AD290" t="s">
        <v>142</v>
      </c>
      <c r="AG290" t="s">
        <v>285</v>
      </c>
      <c r="AH290">
        <v>0</v>
      </c>
      <c r="AI290">
        <v>805</v>
      </c>
      <c r="AJ290">
        <v>38</v>
      </c>
      <c r="AK290">
        <v>405</v>
      </c>
      <c r="AL290">
        <v>1.17</v>
      </c>
    </row>
    <row r="291" spans="1:38" x14ac:dyDescent="0.3">
      <c r="A291" t="s">
        <v>136</v>
      </c>
      <c r="B291">
        <v>133741</v>
      </c>
      <c r="C291">
        <v>5</v>
      </c>
      <c r="D291" t="s">
        <v>547</v>
      </c>
      <c r="E291" t="s">
        <v>548</v>
      </c>
      <c r="F291">
        <v>345</v>
      </c>
      <c r="G291">
        <v>36.340000000000003</v>
      </c>
      <c r="H291">
        <v>120.16</v>
      </c>
      <c r="I291">
        <v>25.68</v>
      </c>
      <c r="J291">
        <v>84.9</v>
      </c>
      <c r="K291">
        <v>102</v>
      </c>
      <c r="T291">
        <v>3</v>
      </c>
      <c r="U291">
        <v>2</v>
      </c>
      <c r="V291" t="s">
        <v>93</v>
      </c>
      <c r="W291" t="s">
        <v>554</v>
      </c>
      <c r="X291">
        <v>27</v>
      </c>
      <c r="Y291">
        <v>27</v>
      </c>
      <c r="Z291" t="s">
        <v>549</v>
      </c>
      <c r="AA291" t="s">
        <v>550</v>
      </c>
      <c r="AB291" t="s">
        <v>96</v>
      </c>
      <c r="AC291" t="s">
        <v>97</v>
      </c>
      <c r="AD291" t="s">
        <v>142</v>
      </c>
      <c r="AG291" t="s">
        <v>285</v>
      </c>
      <c r="AH291">
        <v>0</v>
      </c>
      <c r="AI291">
        <v>805</v>
      </c>
      <c r="AJ291">
        <v>38</v>
      </c>
      <c r="AK291">
        <v>405</v>
      </c>
      <c r="AL291">
        <v>1.17</v>
      </c>
    </row>
    <row r="292" spans="1:38" x14ac:dyDescent="0.3">
      <c r="A292" t="s">
        <v>136</v>
      </c>
      <c r="B292">
        <v>133741</v>
      </c>
      <c r="C292">
        <v>6</v>
      </c>
      <c r="D292" t="s">
        <v>547</v>
      </c>
      <c r="E292" t="s">
        <v>548</v>
      </c>
      <c r="F292">
        <v>345</v>
      </c>
      <c r="G292">
        <v>36.450000000000003</v>
      </c>
      <c r="H292">
        <v>120.52</v>
      </c>
      <c r="I292">
        <v>25.43</v>
      </c>
      <c r="J292">
        <v>84.07</v>
      </c>
      <c r="K292">
        <v>2</v>
      </c>
      <c r="T292">
        <v>3</v>
      </c>
      <c r="U292">
        <v>2</v>
      </c>
      <c r="V292" t="s">
        <v>93</v>
      </c>
      <c r="W292" t="s">
        <v>555</v>
      </c>
      <c r="X292">
        <v>27</v>
      </c>
      <c r="Y292">
        <v>27</v>
      </c>
      <c r="Z292" t="s">
        <v>549</v>
      </c>
      <c r="AA292" t="s">
        <v>550</v>
      </c>
      <c r="AB292" t="s">
        <v>96</v>
      </c>
      <c r="AC292" t="s">
        <v>97</v>
      </c>
      <c r="AD292" t="s">
        <v>142</v>
      </c>
      <c r="AG292" t="s">
        <v>285</v>
      </c>
      <c r="AH292">
        <v>0</v>
      </c>
      <c r="AI292">
        <v>805</v>
      </c>
      <c r="AJ292">
        <v>38</v>
      </c>
      <c r="AK292">
        <v>405</v>
      </c>
      <c r="AL292">
        <v>1.17</v>
      </c>
    </row>
    <row r="293" spans="1:38" x14ac:dyDescent="0.3">
      <c r="A293" t="s">
        <v>136</v>
      </c>
      <c r="B293">
        <v>133741</v>
      </c>
      <c r="C293">
        <v>7</v>
      </c>
      <c r="D293" t="s">
        <v>547</v>
      </c>
      <c r="E293" t="s">
        <v>548</v>
      </c>
      <c r="F293">
        <v>345</v>
      </c>
      <c r="G293">
        <v>36.630000000000003</v>
      </c>
      <c r="H293">
        <v>121.11</v>
      </c>
      <c r="I293">
        <v>25.45</v>
      </c>
      <c r="J293">
        <v>84.15</v>
      </c>
      <c r="K293">
        <v>1</v>
      </c>
      <c r="T293">
        <v>3</v>
      </c>
      <c r="U293">
        <v>2</v>
      </c>
      <c r="V293" t="s">
        <v>93</v>
      </c>
      <c r="W293" t="s">
        <v>556</v>
      </c>
      <c r="X293">
        <v>27</v>
      </c>
      <c r="Y293">
        <v>27</v>
      </c>
      <c r="Z293" t="s">
        <v>549</v>
      </c>
      <c r="AA293" t="s">
        <v>550</v>
      </c>
      <c r="AB293" t="s">
        <v>96</v>
      </c>
      <c r="AC293" t="s">
        <v>97</v>
      </c>
      <c r="AD293" t="s">
        <v>142</v>
      </c>
      <c r="AG293" t="s">
        <v>285</v>
      </c>
      <c r="AH293">
        <v>0</v>
      </c>
      <c r="AI293">
        <v>805</v>
      </c>
      <c r="AJ293">
        <v>38</v>
      </c>
      <c r="AK293">
        <v>405</v>
      </c>
      <c r="AL293">
        <v>1.17</v>
      </c>
    </row>
    <row r="294" spans="1:38" x14ac:dyDescent="0.3">
      <c r="A294" t="s">
        <v>136</v>
      </c>
      <c r="B294">
        <v>133741</v>
      </c>
      <c r="C294">
        <v>8</v>
      </c>
      <c r="D294" t="s">
        <v>547</v>
      </c>
      <c r="E294" t="s">
        <v>548</v>
      </c>
      <c r="F294">
        <v>345</v>
      </c>
      <c r="G294">
        <v>37.06</v>
      </c>
      <c r="H294">
        <v>122.54</v>
      </c>
      <c r="I294">
        <v>25.62</v>
      </c>
      <c r="J294">
        <v>84.72</v>
      </c>
      <c r="K294">
        <v>1</v>
      </c>
      <c r="T294">
        <v>3</v>
      </c>
      <c r="U294">
        <v>2</v>
      </c>
      <c r="V294" t="s">
        <v>93</v>
      </c>
      <c r="W294" t="s">
        <v>557</v>
      </c>
      <c r="X294">
        <v>27</v>
      </c>
      <c r="Y294">
        <v>27</v>
      </c>
      <c r="Z294" t="s">
        <v>549</v>
      </c>
      <c r="AA294" t="s">
        <v>550</v>
      </c>
      <c r="AB294" t="s">
        <v>96</v>
      </c>
      <c r="AC294" t="s">
        <v>97</v>
      </c>
      <c r="AD294" t="s">
        <v>142</v>
      </c>
      <c r="AG294" t="s">
        <v>285</v>
      </c>
      <c r="AH294">
        <v>0</v>
      </c>
      <c r="AI294">
        <v>805</v>
      </c>
      <c r="AJ294">
        <v>38</v>
      </c>
      <c r="AK294">
        <v>405</v>
      </c>
      <c r="AL294">
        <v>1.17</v>
      </c>
    </row>
    <row r="295" spans="1:38" x14ac:dyDescent="0.3">
      <c r="A295" t="s">
        <v>136</v>
      </c>
      <c r="B295">
        <v>133741</v>
      </c>
      <c r="C295">
        <v>9</v>
      </c>
      <c r="D295" t="s">
        <v>547</v>
      </c>
      <c r="E295" t="s">
        <v>548</v>
      </c>
      <c r="F295">
        <v>345</v>
      </c>
      <c r="G295">
        <v>42.4</v>
      </c>
      <c r="H295">
        <v>140.19</v>
      </c>
      <c r="I295">
        <v>29.77</v>
      </c>
      <c r="J295">
        <v>98.44</v>
      </c>
      <c r="K295">
        <v>4</v>
      </c>
      <c r="T295">
        <v>3</v>
      </c>
      <c r="U295">
        <v>2</v>
      </c>
      <c r="V295" t="s">
        <v>93</v>
      </c>
      <c r="W295">
        <v>140</v>
      </c>
      <c r="X295">
        <v>27</v>
      </c>
      <c r="Y295">
        <v>27</v>
      </c>
      <c r="Z295" t="s">
        <v>549</v>
      </c>
      <c r="AA295" t="s">
        <v>550</v>
      </c>
      <c r="AB295" t="s">
        <v>96</v>
      </c>
      <c r="AC295" t="s">
        <v>97</v>
      </c>
      <c r="AD295" t="s">
        <v>142</v>
      </c>
      <c r="AG295" t="s">
        <v>285</v>
      </c>
      <c r="AH295">
        <v>0</v>
      </c>
      <c r="AI295">
        <v>805</v>
      </c>
      <c r="AJ295">
        <v>38</v>
      </c>
      <c r="AK295">
        <v>405</v>
      </c>
      <c r="AL295">
        <v>1.17</v>
      </c>
    </row>
    <row r="296" spans="1:38" x14ac:dyDescent="0.3">
      <c r="A296" t="s">
        <v>136</v>
      </c>
      <c r="B296">
        <v>133741</v>
      </c>
      <c r="C296">
        <v>10</v>
      </c>
      <c r="D296" t="s">
        <v>547</v>
      </c>
      <c r="E296" t="s">
        <v>548</v>
      </c>
      <c r="F296">
        <v>345</v>
      </c>
      <c r="G296">
        <v>46.84</v>
      </c>
      <c r="H296">
        <v>154.86000000000001</v>
      </c>
      <c r="I296">
        <v>32.950000000000003</v>
      </c>
      <c r="J296">
        <v>108.93</v>
      </c>
      <c r="K296">
        <v>2</v>
      </c>
      <c r="T296">
        <v>3</v>
      </c>
      <c r="U296">
        <v>2</v>
      </c>
      <c r="V296" t="s">
        <v>93</v>
      </c>
      <c r="W296">
        <v>154</v>
      </c>
      <c r="X296">
        <v>27</v>
      </c>
      <c r="Y296">
        <v>27</v>
      </c>
      <c r="Z296" t="s">
        <v>549</v>
      </c>
      <c r="AA296" t="s">
        <v>550</v>
      </c>
      <c r="AB296" t="s">
        <v>96</v>
      </c>
      <c r="AC296" t="s">
        <v>97</v>
      </c>
      <c r="AD296" t="s">
        <v>142</v>
      </c>
      <c r="AG296" t="s">
        <v>285</v>
      </c>
      <c r="AH296">
        <v>0</v>
      </c>
      <c r="AI296">
        <v>805</v>
      </c>
      <c r="AJ296">
        <v>38</v>
      </c>
      <c r="AK296">
        <v>405</v>
      </c>
      <c r="AL296">
        <v>1.17</v>
      </c>
    </row>
    <row r="297" spans="1:38" x14ac:dyDescent="0.3">
      <c r="A297" t="s">
        <v>136</v>
      </c>
      <c r="B297">
        <v>8953</v>
      </c>
      <c r="C297">
        <v>1</v>
      </c>
      <c r="D297" t="s">
        <v>115</v>
      </c>
      <c r="E297" t="s">
        <v>558</v>
      </c>
      <c r="F297">
        <v>496</v>
      </c>
      <c r="G297">
        <v>30.64</v>
      </c>
      <c r="H297">
        <v>101.29</v>
      </c>
      <c r="I297">
        <v>25.69</v>
      </c>
      <c r="J297">
        <v>84.95</v>
      </c>
      <c r="K297">
        <v>496</v>
      </c>
      <c r="T297">
        <v>3</v>
      </c>
      <c r="U297">
        <v>2</v>
      </c>
      <c r="V297" t="s">
        <v>93</v>
      </c>
      <c r="W297">
        <v>101</v>
      </c>
      <c r="X297">
        <v>19</v>
      </c>
      <c r="Y297">
        <v>16</v>
      </c>
      <c r="Z297" t="s">
        <v>559</v>
      </c>
      <c r="AA297" t="s">
        <v>560</v>
      </c>
      <c r="AB297" t="s">
        <v>96</v>
      </c>
      <c r="AC297" t="s">
        <v>97</v>
      </c>
      <c r="AD297" t="s">
        <v>142</v>
      </c>
      <c r="AG297" t="s">
        <v>561</v>
      </c>
      <c r="AH297">
        <v>0</v>
      </c>
      <c r="AI297">
        <v>316</v>
      </c>
      <c r="AJ297">
        <v>21</v>
      </c>
      <c r="AK297">
        <v>0</v>
      </c>
      <c r="AL297">
        <v>0</v>
      </c>
    </row>
    <row r="298" spans="1:38" x14ac:dyDescent="0.3">
      <c r="A298" t="s">
        <v>136</v>
      </c>
      <c r="B298">
        <v>8946</v>
      </c>
      <c r="C298">
        <v>1</v>
      </c>
      <c r="D298" t="s">
        <v>562</v>
      </c>
      <c r="E298" t="s">
        <v>563</v>
      </c>
      <c r="F298">
        <v>60</v>
      </c>
      <c r="G298">
        <v>18.850000000000001</v>
      </c>
      <c r="H298">
        <v>62.33</v>
      </c>
      <c r="I298">
        <v>13.39</v>
      </c>
      <c r="J298">
        <v>44.27</v>
      </c>
      <c r="K298">
        <v>60</v>
      </c>
      <c r="T298">
        <v>3</v>
      </c>
      <c r="U298">
        <v>1</v>
      </c>
      <c r="V298" t="s">
        <v>93</v>
      </c>
      <c r="W298">
        <v>62</v>
      </c>
      <c r="X298">
        <v>5</v>
      </c>
      <c r="Y298">
        <v>5</v>
      </c>
      <c r="Z298" t="s">
        <v>564</v>
      </c>
      <c r="AA298" t="s">
        <v>565</v>
      </c>
      <c r="AB298" t="s">
        <v>96</v>
      </c>
      <c r="AC298" t="s">
        <v>97</v>
      </c>
      <c r="AD298" t="s">
        <v>142</v>
      </c>
      <c r="AG298" t="s">
        <v>566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38" x14ac:dyDescent="0.3">
      <c r="A299" t="s">
        <v>136</v>
      </c>
      <c r="B299">
        <v>123251</v>
      </c>
      <c r="C299">
        <v>1</v>
      </c>
      <c r="D299" t="s">
        <v>567</v>
      </c>
      <c r="E299" t="s">
        <v>568</v>
      </c>
      <c r="F299">
        <v>104</v>
      </c>
      <c r="G299">
        <v>25</v>
      </c>
      <c r="H299">
        <v>82.66</v>
      </c>
      <c r="I299">
        <v>19.79</v>
      </c>
      <c r="J299">
        <v>65.45</v>
      </c>
      <c r="K299">
        <v>56</v>
      </c>
      <c r="T299">
        <v>3</v>
      </c>
      <c r="U299">
        <v>2</v>
      </c>
      <c r="V299" t="s">
        <v>93</v>
      </c>
      <c r="W299">
        <v>82</v>
      </c>
      <c r="X299">
        <v>26</v>
      </c>
      <c r="Y299">
        <v>24</v>
      </c>
      <c r="Z299" t="s">
        <v>569</v>
      </c>
      <c r="AA299" t="s">
        <v>570</v>
      </c>
      <c r="AB299" t="s">
        <v>96</v>
      </c>
      <c r="AC299" t="s">
        <v>97</v>
      </c>
      <c r="AD299" t="s">
        <v>142</v>
      </c>
      <c r="AG299" t="s">
        <v>571</v>
      </c>
      <c r="AH299">
        <v>0</v>
      </c>
      <c r="AI299">
        <v>770</v>
      </c>
      <c r="AJ299">
        <v>70</v>
      </c>
      <c r="AK299">
        <v>101</v>
      </c>
      <c r="AL299">
        <v>0.97</v>
      </c>
    </row>
    <row r="300" spans="1:38" x14ac:dyDescent="0.3">
      <c r="A300" t="s">
        <v>136</v>
      </c>
      <c r="B300">
        <v>123251</v>
      </c>
      <c r="C300">
        <v>2</v>
      </c>
      <c r="D300" t="s">
        <v>567</v>
      </c>
      <c r="E300" t="s">
        <v>568</v>
      </c>
      <c r="F300">
        <v>104</v>
      </c>
      <c r="G300">
        <v>28.75</v>
      </c>
      <c r="H300">
        <v>95.06</v>
      </c>
      <c r="I300">
        <v>23.04</v>
      </c>
      <c r="J300">
        <v>76.17</v>
      </c>
      <c r="K300">
        <v>48</v>
      </c>
      <c r="T300">
        <v>3</v>
      </c>
      <c r="U300">
        <v>2</v>
      </c>
      <c r="V300" t="s">
        <v>93</v>
      </c>
      <c r="W300">
        <v>95</v>
      </c>
      <c r="X300">
        <v>26</v>
      </c>
      <c r="Y300">
        <v>24</v>
      </c>
      <c r="Z300" t="s">
        <v>569</v>
      </c>
      <c r="AA300" t="s">
        <v>570</v>
      </c>
      <c r="AB300" t="s">
        <v>96</v>
      </c>
      <c r="AC300" t="s">
        <v>97</v>
      </c>
      <c r="AD300" t="s">
        <v>142</v>
      </c>
      <c r="AG300" t="s">
        <v>571</v>
      </c>
      <c r="AH300">
        <v>0</v>
      </c>
      <c r="AI300">
        <v>770</v>
      </c>
      <c r="AJ300">
        <v>70</v>
      </c>
      <c r="AK300">
        <v>101</v>
      </c>
      <c r="AL300">
        <v>0.97</v>
      </c>
    </row>
    <row r="301" spans="1:38" x14ac:dyDescent="0.3">
      <c r="A301" t="s">
        <v>136</v>
      </c>
      <c r="B301">
        <v>16517</v>
      </c>
      <c r="C301">
        <v>1</v>
      </c>
      <c r="D301" t="s">
        <v>572</v>
      </c>
      <c r="E301" t="s">
        <v>573</v>
      </c>
      <c r="F301">
        <v>36</v>
      </c>
      <c r="G301">
        <v>21.75</v>
      </c>
      <c r="H301">
        <v>71.930000000000007</v>
      </c>
      <c r="I301">
        <v>21.32</v>
      </c>
      <c r="J301">
        <v>70.48</v>
      </c>
      <c r="K301">
        <v>30</v>
      </c>
      <c r="T301">
        <v>2</v>
      </c>
      <c r="U301">
        <v>1</v>
      </c>
      <c r="V301" t="s">
        <v>93</v>
      </c>
      <c r="W301">
        <v>71</v>
      </c>
      <c r="X301">
        <v>5</v>
      </c>
      <c r="Y301">
        <v>5</v>
      </c>
      <c r="Z301" t="s">
        <v>574</v>
      </c>
      <c r="AA301" t="s">
        <v>575</v>
      </c>
      <c r="AB301" t="s">
        <v>96</v>
      </c>
      <c r="AC301" t="s">
        <v>97</v>
      </c>
      <c r="AD301" t="s">
        <v>142</v>
      </c>
      <c r="AG301" t="s">
        <v>576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136</v>
      </c>
      <c r="B302">
        <v>16517</v>
      </c>
      <c r="C302">
        <v>2</v>
      </c>
      <c r="D302" t="s">
        <v>572</v>
      </c>
      <c r="E302" t="s">
        <v>573</v>
      </c>
      <c r="F302">
        <v>36</v>
      </c>
      <c r="G302">
        <v>23.34</v>
      </c>
      <c r="H302">
        <v>77.180000000000007</v>
      </c>
      <c r="I302">
        <v>22.9</v>
      </c>
      <c r="J302">
        <v>75.73</v>
      </c>
      <c r="K302">
        <v>6</v>
      </c>
      <c r="T302">
        <v>2</v>
      </c>
      <c r="U302">
        <v>1</v>
      </c>
      <c r="V302" t="s">
        <v>211</v>
      </c>
      <c r="W302">
        <v>77</v>
      </c>
      <c r="X302">
        <v>5</v>
      </c>
      <c r="Y302">
        <v>5</v>
      </c>
      <c r="Z302" t="s">
        <v>574</v>
      </c>
      <c r="AA302" t="s">
        <v>575</v>
      </c>
      <c r="AB302" t="s">
        <v>96</v>
      </c>
      <c r="AC302" t="s">
        <v>97</v>
      </c>
      <c r="AD302" t="s">
        <v>142</v>
      </c>
      <c r="AG302" t="s">
        <v>576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136</v>
      </c>
      <c r="B303">
        <v>127680</v>
      </c>
      <c r="C303">
        <v>1</v>
      </c>
      <c r="D303" t="s">
        <v>577</v>
      </c>
      <c r="E303" t="s">
        <v>578</v>
      </c>
      <c r="F303">
        <v>120</v>
      </c>
      <c r="G303">
        <v>15.96</v>
      </c>
      <c r="H303">
        <v>52.78</v>
      </c>
      <c r="I303">
        <v>10.84</v>
      </c>
      <c r="J303">
        <v>35.86</v>
      </c>
      <c r="K303">
        <v>32</v>
      </c>
      <c r="T303">
        <v>1</v>
      </c>
      <c r="U303">
        <v>1</v>
      </c>
      <c r="V303" t="s">
        <v>132</v>
      </c>
      <c r="W303" t="s">
        <v>579</v>
      </c>
      <c r="X303">
        <v>21</v>
      </c>
      <c r="Y303">
        <v>21</v>
      </c>
      <c r="Z303" t="s">
        <v>580</v>
      </c>
      <c r="AA303" t="s">
        <v>581</v>
      </c>
      <c r="AB303" t="s">
        <v>96</v>
      </c>
      <c r="AC303" t="s">
        <v>97</v>
      </c>
      <c r="AD303" t="s">
        <v>142</v>
      </c>
      <c r="AG303" t="s">
        <v>582</v>
      </c>
      <c r="AH303">
        <v>0</v>
      </c>
      <c r="AI303">
        <v>738</v>
      </c>
      <c r="AJ303">
        <v>52</v>
      </c>
      <c r="AK303">
        <v>92</v>
      </c>
      <c r="AL303">
        <v>0.77</v>
      </c>
    </row>
    <row r="304" spans="1:38" x14ac:dyDescent="0.3">
      <c r="A304" t="s">
        <v>136</v>
      </c>
      <c r="B304">
        <v>127680</v>
      </c>
      <c r="C304">
        <v>2</v>
      </c>
      <c r="D304" t="s">
        <v>577</v>
      </c>
      <c r="E304" t="s">
        <v>578</v>
      </c>
      <c r="F304">
        <v>120</v>
      </c>
      <c r="G304">
        <v>15.8</v>
      </c>
      <c r="H304">
        <v>52.26</v>
      </c>
      <c r="I304">
        <v>10.73</v>
      </c>
      <c r="J304">
        <v>35.5</v>
      </c>
      <c r="K304">
        <v>19</v>
      </c>
      <c r="T304">
        <v>1</v>
      </c>
      <c r="U304">
        <v>1</v>
      </c>
      <c r="V304" t="s">
        <v>132</v>
      </c>
      <c r="W304" t="s">
        <v>583</v>
      </c>
      <c r="X304">
        <v>21</v>
      </c>
      <c r="Y304">
        <v>21</v>
      </c>
      <c r="Z304" t="s">
        <v>580</v>
      </c>
      <c r="AA304" t="s">
        <v>581</v>
      </c>
      <c r="AB304" t="s">
        <v>96</v>
      </c>
      <c r="AC304" t="s">
        <v>97</v>
      </c>
      <c r="AD304" t="s">
        <v>142</v>
      </c>
      <c r="AG304" t="s">
        <v>582</v>
      </c>
      <c r="AH304">
        <v>0</v>
      </c>
      <c r="AI304">
        <v>738</v>
      </c>
      <c r="AJ304">
        <v>52</v>
      </c>
      <c r="AK304">
        <v>92</v>
      </c>
      <c r="AL304">
        <v>0.77</v>
      </c>
    </row>
    <row r="305" spans="1:38" x14ac:dyDescent="0.3">
      <c r="A305" t="s">
        <v>136</v>
      </c>
      <c r="B305">
        <v>127680</v>
      </c>
      <c r="C305">
        <v>3</v>
      </c>
      <c r="D305" t="s">
        <v>577</v>
      </c>
      <c r="E305" t="s">
        <v>578</v>
      </c>
      <c r="F305">
        <v>120</v>
      </c>
      <c r="G305">
        <v>15.94</v>
      </c>
      <c r="H305">
        <v>52.72</v>
      </c>
      <c r="I305">
        <v>10.83</v>
      </c>
      <c r="J305">
        <v>35.81</v>
      </c>
      <c r="K305">
        <v>19</v>
      </c>
      <c r="T305">
        <v>1</v>
      </c>
      <c r="U305">
        <v>1</v>
      </c>
      <c r="V305" t="s">
        <v>132</v>
      </c>
      <c r="W305" t="s">
        <v>584</v>
      </c>
      <c r="X305">
        <v>21</v>
      </c>
      <c r="Y305">
        <v>21</v>
      </c>
      <c r="Z305" t="s">
        <v>580</v>
      </c>
      <c r="AA305" t="s">
        <v>581</v>
      </c>
      <c r="AB305" t="s">
        <v>96</v>
      </c>
      <c r="AC305" t="s">
        <v>97</v>
      </c>
      <c r="AD305" t="s">
        <v>142</v>
      </c>
      <c r="AG305" t="s">
        <v>582</v>
      </c>
      <c r="AH305">
        <v>0</v>
      </c>
      <c r="AI305">
        <v>738</v>
      </c>
      <c r="AJ305">
        <v>52</v>
      </c>
      <c r="AK305">
        <v>92</v>
      </c>
      <c r="AL305">
        <v>0.77</v>
      </c>
    </row>
    <row r="306" spans="1:38" x14ac:dyDescent="0.3">
      <c r="A306" t="s">
        <v>136</v>
      </c>
      <c r="B306">
        <v>127680</v>
      </c>
      <c r="C306">
        <v>4</v>
      </c>
      <c r="D306" t="s">
        <v>577</v>
      </c>
      <c r="E306" t="s">
        <v>578</v>
      </c>
      <c r="F306">
        <v>120</v>
      </c>
      <c r="G306">
        <v>15.96</v>
      </c>
      <c r="H306">
        <v>52.78</v>
      </c>
      <c r="I306">
        <v>10.84</v>
      </c>
      <c r="J306">
        <v>35.86</v>
      </c>
      <c r="K306">
        <v>6</v>
      </c>
      <c r="T306">
        <v>1</v>
      </c>
      <c r="U306">
        <v>1</v>
      </c>
      <c r="V306" t="s">
        <v>132</v>
      </c>
      <c r="W306" t="s">
        <v>585</v>
      </c>
      <c r="X306">
        <v>21</v>
      </c>
      <c r="Y306">
        <v>21</v>
      </c>
      <c r="Z306" t="s">
        <v>580</v>
      </c>
      <c r="AA306" t="s">
        <v>581</v>
      </c>
      <c r="AB306" t="s">
        <v>96</v>
      </c>
      <c r="AC306" t="s">
        <v>97</v>
      </c>
      <c r="AD306" t="s">
        <v>142</v>
      </c>
      <c r="AG306" t="s">
        <v>582</v>
      </c>
      <c r="AH306">
        <v>0</v>
      </c>
      <c r="AI306">
        <v>738</v>
      </c>
      <c r="AJ306">
        <v>52</v>
      </c>
      <c r="AK306">
        <v>92</v>
      </c>
      <c r="AL306">
        <v>0.77</v>
      </c>
    </row>
    <row r="307" spans="1:38" x14ac:dyDescent="0.3">
      <c r="A307" t="s">
        <v>136</v>
      </c>
      <c r="B307">
        <v>127680</v>
      </c>
      <c r="C307">
        <v>5</v>
      </c>
      <c r="D307" t="s">
        <v>577</v>
      </c>
      <c r="E307" t="s">
        <v>578</v>
      </c>
      <c r="F307">
        <v>120</v>
      </c>
      <c r="G307">
        <v>15.93</v>
      </c>
      <c r="H307">
        <v>52.68</v>
      </c>
      <c r="I307">
        <v>10.82</v>
      </c>
      <c r="J307">
        <v>35.79</v>
      </c>
      <c r="K307">
        <v>1</v>
      </c>
      <c r="T307">
        <v>1</v>
      </c>
      <c r="U307">
        <v>1</v>
      </c>
      <c r="V307" t="s">
        <v>132</v>
      </c>
      <c r="W307" t="s">
        <v>586</v>
      </c>
      <c r="X307">
        <v>21</v>
      </c>
      <c r="Y307">
        <v>21</v>
      </c>
      <c r="Z307" t="s">
        <v>580</v>
      </c>
      <c r="AA307" t="s">
        <v>581</v>
      </c>
      <c r="AB307" t="s">
        <v>96</v>
      </c>
      <c r="AC307" t="s">
        <v>97</v>
      </c>
      <c r="AD307" t="s">
        <v>142</v>
      </c>
      <c r="AG307" t="s">
        <v>582</v>
      </c>
      <c r="AH307">
        <v>0</v>
      </c>
      <c r="AI307">
        <v>738</v>
      </c>
      <c r="AJ307">
        <v>52</v>
      </c>
      <c r="AK307">
        <v>92</v>
      </c>
      <c r="AL307">
        <v>0.77</v>
      </c>
    </row>
    <row r="308" spans="1:38" x14ac:dyDescent="0.3">
      <c r="A308" t="s">
        <v>136</v>
      </c>
      <c r="B308">
        <v>127680</v>
      </c>
      <c r="C308">
        <v>6</v>
      </c>
      <c r="D308" t="s">
        <v>577</v>
      </c>
      <c r="E308" t="s">
        <v>578</v>
      </c>
      <c r="F308">
        <v>120</v>
      </c>
      <c r="G308">
        <v>16.32</v>
      </c>
      <c r="H308">
        <v>53.98</v>
      </c>
      <c r="I308">
        <v>11.09</v>
      </c>
      <c r="J308">
        <v>36.67</v>
      </c>
      <c r="K308">
        <v>19</v>
      </c>
      <c r="T308">
        <v>1</v>
      </c>
      <c r="U308">
        <v>1</v>
      </c>
      <c r="V308" t="s">
        <v>132</v>
      </c>
      <c r="W308" t="s">
        <v>587</v>
      </c>
      <c r="X308">
        <v>21</v>
      </c>
      <c r="Y308">
        <v>21</v>
      </c>
      <c r="Z308" t="s">
        <v>580</v>
      </c>
      <c r="AA308" t="s">
        <v>581</v>
      </c>
      <c r="AB308" t="s">
        <v>96</v>
      </c>
      <c r="AC308" t="s">
        <v>97</v>
      </c>
      <c r="AD308" t="s">
        <v>142</v>
      </c>
      <c r="AG308" t="s">
        <v>582</v>
      </c>
      <c r="AH308">
        <v>0</v>
      </c>
      <c r="AI308">
        <v>738</v>
      </c>
      <c r="AJ308">
        <v>52</v>
      </c>
      <c r="AK308">
        <v>92</v>
      </c>
      <c r="AL308">
        <v>0.77</v>
      </c>
    </row>
    <row r="309" spans="1:38" x14ac:dyDescent="0.3">
      <c r="A309" t="s">
        <v>136</v>
      </c>
      <c r="B309">
        <v>127680</v>
      </c>
      <c r="C309">
        <v>7</v>
      </c>
      <c r="D309" t="s">
        <v>577</v>
      </c>
      <c r="E309" t="s">
        <v>578</v>
      </c>
      <c r="F309">
        <v>120</v>
      </c>
      <c r="G309">
        <v>16.32</v>
      </c>
      <c r="H309">
        <v>53.96</v>
      </c>
      <c r="I309">
        <v>11.08</v>
      </c>
      <c r="J309">
        <v>36.659999999999997</v>
      </c>
      <c r="K309">
        <v>16</v>
      </c>
      <c r="T309">
        <v>1</v>
      </c>
      <c r="U309">
        <v>1</v>
      </c>
      <c r="V309" t="s">
        <v>132</v>
      </c>
      <c r="W309" t="s">
        <v>588</v>
      </c>
      <c r="X309">
        <v>21</v>
      </c>
      <c r="Y309">
        <v>21</v>
      </c>
      <c r="Z309" t="s">
        <v>580</v>
      </c>
      <c r="AA309" t="s">
        <v>581</v>
      </c>
      <c r="AB309" t="s">
        <v>96</v>
      </c>
      <c r="AC309" t="s">
        <v>97</v>
      </c>
      <c r="AD309" t="s">
        <v>142</v>
      </c>
      <c r="AG309" t="s">
        <v>582</v>
      </c>
      <c r="AH309">
        <v>0</v>
      </c>
      <c r="AI309">
        <v>738</v>
      </c>
      <c r="AJ309">
        <v>52</v>
      </c>
      <c r="AK309">
        <v>92</v>
      </c>
      <c r="AL309">
        <v>0.77</v>
      </c>
    </row>
    <row r="310" spans="1:38" x14ac:dyDescent="0.3">
      <c r="A310" t="s">
        <v>136</v>
      </c>
      <c r="B310">
        <v>127680</v>
      </c>
      <c r="C310">
        <v>8</v>
      </c>
      <c r="D310" t="s">
        <v>577</v>
      </c>
      <c r="E310" t="s">
        <v>578</v>
      </c>
      <c r="F310">
        <v>120</v>
      </c>
      <c r="G310">
        <v>16.32</v>
      </c>
      <c r="H310">
        <v>53.96</v>
      </c>
      <c r="I310">
        <v>11.08</v>
      </c>
      <c r="J310">
        <v>36.659999999999997</v>
      </c>
      <c r="K310">
        <v>3</v>
      </c>
      <c r="T310">
        <v>1</v>
      </c>
      <c r="U310">
        <v>1</v>
      </c>
      <c r="V310" t="s">
        <v>132</v>
      </c>
      <c r="W310" t="s">
        <v>589</v>
      </c>
      <c r="X310">
        <v>21</v>
      </c>
      <c r="Y310">
        <v>21</v>
      </c>
      <c r="Z310" t="s">
        <v>580</v>
      </c>
      <c r="AA310" t="s">
        <v>581</v>
      </c>
      <c r="AB310" t="s">
        <v>96</v>
      </c>
      <c r="AC310" t="s">
        <v>97</v>
      </c>
      <c r="AD310" t="s">
        <v>142</v>
      </c>
      <c r="AG310" t="s">
        <v>582</v>
      </c>
      <c r="AH310">
        <v>0</v>
      </c>
      <c r="AI310">
        <v>738</v>
      </c>
      <c r="AJ310">
        <v>52</v>
      </c>
      <c r="AK310">
        <v>92</v>
      </c>
      <c r="AL310">
        <v>0.77</v>
      </c>
    </row>
    <row r="311" spans="1:38" x14ac:dyDescent="0.3">
      <c r="A311" t="s">
        <v>136</v>
      </c>
      <c r="B311">
        <v>127680</v>
      </c>
      <c r="C311">
        <v>9</v>
      </c>
      <c r="D311" t="s">
        <v>577</v>
      </c>
      <c r="E311" t="s">
        <v>578</v>
      </c>
      <c r="F311">
        <v>120</v>
      </c>
      <c r="G311">
        <v>16.09</v>
      </c>
      <c r="H311">
        <v>53.2</v>
      </c>
      <c r="I311">
        <v>10.93</v>
      </c>
      <c r="J311">
        <v>36.14</v>
      </c>
      <c r="K311">
        <v>2</v>
      </c>
      <c r="T311">
        <v>1</v>
      </c>
      <c r="U311">
        <v>1</v>
      </c>
      <c r="V311" t="s">
        <v>132</v>
      </c>
      <c r="W311" t="s">
        <v>590</v>
      </c>
      <c r="X311">
        <v>21</v>
      </c>
      <c r="Y311">
        <v>21</v>
      </c>
      <c r="Z311" t="s">
        <v>580</v>
      </c>
      <c r="AA311" t="s">
        <v>581</v>
      </c>
      <c r="AB311" t="s">
        <v>96</v>
      </c>
      <c r="AC311" t="s">
        <v>97</v>
      </c>
      <c r="AD311" t="s">
        <v>142</v>
      </c>
      <c r="AG311" t="s">
        <v>582</v>
      </c>
      <c r="AH311">
        <v>0</v>
      </c>
      <c r="AI311">
        <v>738</v>
      </c>
      <c r="AJ311">
        <v>52</v>
      </c>
      <c r="AK311">
        <v>92</v>
      </c>
      <c r="AL311">
        <v>0.77</v>
      </c>
    </row>
    <row r="312" spans="1:38" x14ac:dyDescent="0.3">
      <c r="A312" t="s">
        <v>136</v>
      </c>
      <c r="B312">
        <v>127680</v>
      </c>
      <c r="C312">
        <v>10</v>
      </c>
      <c r="D312" t="s">
        <v>577</v>
      </c>
      <c r="E312" t="s">
        <v>578</v>
      </c>
      <c r="F312">
        <v>120</v>
      </c>
      <c r="G312">
        <v>16.079999999999998</v>
      </c>
      <c r="H312">
        <v>53.16</v>
      </c>
      <c r="I312">
        <v>10.92</v>
      </c>
      <c r="J312">
        <v>36.119999999999997</v>
      </c>
      <c r="K312">
        <v>1</v>
      </c>
      <c r="T312">
        <v>1</v>
      </c>
      <c r="U312">
        <v>1</v>
      </c>
      <c r="V312" t="s">
        <v>132</v>
      </c>
      <c r="W312" t="s">
        <v>591</v>
      </c>
      <c r="X312">
        <v>21</v>
      </c>
      <c r="Y312">
        <v>21</v>
      </c>
      <c r="Z312" t="s">
        <v>580</v>
      </c>
      <c r="AA312" t="s">
        <v>581</v>
      </c>
      <c r="AB312" t="s">
        <v>96</v>
      </c>
      <c r="AC312" t="s">
        <v>97</v>
      </c>
      <c r="AD312" t="s">
        <v>142</v>
      </c>
      <c r="AG312" t="s">
        <v>582</v>
      </c>
      <c r="AH312">
        <v>0</v>
      </c>
      <c r="AI312">
        <v>738</v>
      </c>
      <c r="AJ312">
        <v>52</v>
      </c>
      <c r="AK312">
        <v>92</v>
      </c>
      <c r="AL312">
        <v>0.77</v>
      </c>
    </row>
    <row r="313" spans="1:38" x14ac:dyDescent="0.3">
      <c r="A313" t="s">
        <v>136</v>
      </c>
      <c r="B313">
        <v>127680</v>
      </c>
      <c r="C313">
        <v>11</v>
      </c>
      <c r="D313" t="s">
        <v>577</v>
      </c>
      <c r="E313" t="s">
        <v>578</v>
      </c>
      <c r="F313">
        <v>120</v>
      </c>
      <c r="G313">
        <v>16.36</v>
      </c>
      <c r="H313">
        <v>54.09</v>
      </c>
      <c r="I313">
        <v>11.11</v>
      </c>
      <c r="J313">
        <v>36.75</v>
      </c>
      <c r="K313">
        <v>1</v>
      </c>
      <c r="T313">
        <v>1</v>
      </c>
      <c r="U313">
        <v>1</v>
      </c>
      <c r="V313" t="s">
        <v>132</v>
      </c>
      <c r="W313" t="s">
        <v>592</v>
      </c>
      <c r="X313">
        <v>21</v>
      </c>
      <c r="Y313">
        <v>21</v>
      </c>
      <c r="Z313" t="s">
        <v>580</v>
      </c>
      <c r="AA313" t="s">
        <v>581</v>
      </c>
      <c r="AB313" t="s">
        <v>96</v>
      </c>
      <c r="AC313" t="s">
        <v>97</v>
      </c>
      <c r="AD313" t="s">
        <v>142</v>
      </c>
      <c r="AG313" t="s">
        <v>582</v>
      </c>
      <c r="AH313">
        <v>0</v>
      </c>
      <c r="AI313">
        <v>738</v>
      </c>
      <c r="AJ313">
        <v>52</v>
      </c>
      <c r="AK313">
        <v>92</v>
      </c>
      <c r="AL313">
        <v>0.77</v>
      </c>
    </row>
    <row r="314" spans="1:38" x14ac:dyDescent="0.3">
      <c r="A314" t="s">
        <v>136</v>
      </c>
      <c r="B314">
        <v>127680</v>
      </c>
      <c r="C314">
        <v>12</v>
      </c>
      <c r="D314" t="s">
        <v>577</v>
      </c>
      <c r="E314" t="s">
        <v>578</v>
      </c>
      <c r="F314">
        <v>120</v>
      </c>
      <c r="G314">
        <v>16.36</v>
      </c>
      <c r="H314">
        <v>54.11</v>
      </c>
      <c r="I314">
        <v>11.11</v>
      </c>
      <c r="J314">
        <v>36.76</v>
      </c>
      <c r="K314">
        <v>1</v>
      </c>
      <c r="T314">
        <v>1</v>
      </c>
      <c r="U314">
        <v>1</v>
      </c>
      <c r="V314" t="s">
        <v>132</v>
      </c>
      <c r="W314" t="s">
        <v>593</v>
      </c>
      <c r="X314">
        <v>21</v>
      </c>
      <c r="Y314">
        <v>21</v>
      </c>
      <c r="Z314" t="s">
        <v>580</v>
      </c>
      <c r="AA314" t="s">
        <v>581</v>
      </c>
      <c r="AB314" t="s">
        <v>96</v>
      </c>
      <c r="AC314" t="s">
        <v>97</v>
      </c>
      <c r="AD314" t="s">
        <v>142</v>
      </c>
      <c r="AG314" t="s">
        <v>582</v>
      </c>
      <c r="AH314">
        <v>0</v>
      </c>
      <c r="AI314">
        <v>738</v>
      </c>
      <c r="AJ314">
        <v>52</v>
      </c>
      <c r="AK314">
        <v>92</v>
      </c>
      <c r="AL314">
        <v>0.77</v>
      </c>
    </row>
    <row r="315" spans="1:38" x14ac:dyDescent="0.3">
      <c r="A315" t="s">
        <v>136</v>
      </c>
      <c r="B315">
        <v>114654</v>
      </c>
      <c r="C315">
        <v>1</v>
      </c>
      <c r="D315" t="s">
        <v>594</v>
      </c>
      <c r="E315" t="s">
        <v>595</v>
      </c>
      <c r="F315">
        <v>18</v>
      </c>
      <c r="G315">
        <v>23.38</v>
      </c>
      <c r="H315">
        <v>77.31</v>
      </c>
      <c r="I315">
        <v>17.940000000000001</v>
      </c>
      <c r="J315">
        <v>59.32</v>
      </c>
      <c r="K315">
        <v>2</v>
      </c>
      <c r="T315">
        <v>3</v>
      </c>
      <c r="U315">
        <v>2</v>
      </c>
      <c r="V315" t="s">
        <v>93</v>
      </c>
      <c r="W315">
        <v>77</v>
      </c>
      <c r="X315">
        <v>10</v>
      </c>
      <c r="Y315">
        <v>8</v>
      </c>
      <c r="Z315" t="s">
        <v>596</v>
      </c>
      <c r="AA315" t="s">
        <v>597</v>
      </c>
      <c r="AB315" t="s">
        <v>96</v>
      </c>
      <c r="AC315" t="s">
        <v>97</v>
      </c>
      <c r="AD315" t="s">
        <v>142</v>
      </c>
      <c r="AG315" t="s">
        <v>598</v>
      </c>
      <c r="AH315">
        <v>0</v>
      </c>
      <c r="AI315">
        <v>553</v>
      </c>
      <c r="AJ315">
        <v>77</v>
      </c>
      <c r="AK315">
        <v>19</v>
      </c>
      <c r="AL315">
        <v>1.06</v>
      </c>
    </row>
    <row r="316" spans="1:38" x14ac:dyDescent="0.3">
      <c r="A316" t="s">
        <v>136</v>
      </c>
      <c r="B316">
        <v>114654</v>
      </c>
      <c r="C316">
        <v>2</v>
      </c>
      <c r="D316" t="s">
        <v>594</v>
      </c>
      <c r="E316" t="s">
        <v>595</v>
      </c>
      <c r="F316">
        <v>18</v>
      </c>
      <c r="G316">
        <v>23.78</v>
      </c>
      <c r="H316">
        <v>78.64</v>
      </c>
      <c r="I316">
        <v>18.079999999999998</v>
      </c>
      <c r="J316">
        <v>59.8</v>
      </c>
      <c r="K316">
        <v>2</v>
      </c>
      <c r="T316">
        <v>3</v>
      </c>
      <c r="U316">
        <v>2</v>
      </c>
      <c r="V316" t="s">
        <v>93</v>
      </c>
      <c r="W316" t="s">
        <v>354</v>
      </c>
      <c r="X316">
        <v>10</v>
      </c>
      <c r="Y316">
        <v>8</v>
      </c>
      <c r="Z316" t="s">
        <v>596</v>
      </c>
      <c r="AA316" t="s">
        <v>597</v>
      </c>
      <c r="AB316" t="s">
        <v>96</v>
      </c>
      <c r="AC316" t="s">
        <v>97</v>
      </c>
      <c r="AD316" t="s">
        <v>142</v>
      </c>
      <c r="AG316" t="s">
        <v>598</v>
      </c>
      <c r="AH316">
        <v>0</v>
      </c>
      <c r="AI316">
        <v>553</v>
      </c>
      <c r="AJ316">
        <v>77</v>
      </c>
      <c r="AK316">
        <v>19</v>
      </c>
      <c r="AL316">
        <v>1.06</v>
      </c>
    </row>
    <row r="317" spans="1:38" x14ac:dyDescent="0.3">
      <c r="A317" t="s">
        <v>136</v>
      </c>
      <c r="B317">
        <v>114654</v>
      </c>
      <c r="C317">
        <v>3</v>
      </c>
      <c r="D317" t="s">
        <v>594</v>
      </c>
      <c r="E317" t="s">
        <v>595</v>
      </c>
      <c r="F317">
        <v>18</v>
      </c>
      <c r="G317">
        <v>23.66</v>
      </c>
      <c r="H317">
        <v>78.239999999999995</v>
      </c>
      <c r="I317">
        <v>18.09</v>
      </c>
      <c r="J317">
        <v>59.81</v>
      </c>
      <c r="K317">
        <v>2</v>
      </c>
      <c r="T317">
        <v>3</v>
      </c>
      <c r="U317">
        <v>2</v>
      </c>
      <c r="V317" t="s">
        <v>93</v>
      </c>
      <c r="W317" t="s">
        <v>599</v>
      </c>
      <c r="X317">
        <v>10</v>
      </c>
      <c r="Y317">
        <v>8</v>
      </c>
      <c r="Z317" t="s">
        <v>596</v>
      </c>
      <c r="AA317" t="s">
        <v>597</v>
      </c>
      <c r="AB317" t="s">
        <v>96</v>
      </c>
      <c r="AC317" t="s">
        <v>97</v>
      </c>
      <c r="AD317" t="s">
        <v>142</v>
      </c>
      <c r="AG317" t="s">
        <v>598</v>
      </c>
      <c r="AH317">
        <v>0</v>
      </c>
      <c r="AI317">
        <v>553</v>
      </c>
      <c r="AJ317">
        <v>77</v>
      </c>
      <c r="AK317">
        <v>19</v>
      </c>
      <c r="AL317">
        <v>1.06</v>
      </c>
    </row>
    <row r="318" spans="1:38" x14ac:dyDescent="0.3">
      <c r="A318" t="s">
        <v>136</v>
      </c>
      <c r="B318">
        <v>114654</v>
      </c>
      <c r="C318">
        <v>4</v>
      </c>
      <c r="D318" t="s">
        <v>594</v>
      </c>
      <c r="E318" t="s">
        <v>595</v>
      </c>
      <c r="F318">
        <v>18</v>
      </c>
      <c r="G318">
        <v>24.13</v>
      </c>
      <c r="H318">
        <v>79.78</v>
      </c>
      <c r="I318">
        <v>18.059999999999999</v>
      </c>
      <c r="J318">
        <v>59.72</v>
      </c>
      <c r="K318">
        <v>2</v>
      </c>
      <c r="T318">
        <v>3</v>
      </c>
      <c r="U318">
        <v>2</v>
      </c>
      <c r="V318" t="s">
        <v>93</v>
      </c>
      <c r="W318" t="s">
        <v>474</v>
      </c>
      <c r="X318">
        <v>10</v>
      </c>
      <c r="Y318">
        <v>8</v>
      </c>
      <c r="Z318" t="s">
        <v>596</v>
      </c>
      <c r="AA318" t="s">
        <v>597</v>
      </c>
      <c r="AB318" t="s">
        <v>96</v>
      </c>
      <c r="AC318" t="s">
        <v>97</v>
      </c>
      <c r="AD318" t="s">
        <v>142</v>
      </c>
      <c r="AG318" t="s">
        <v>598</v>
      </c>
      <c r="AH318">
        <v>0</v>
      </c>
      <c r="AI318">
        <v>553</v>
      </c>
      <c r="AJ318">
        <v>77</v>
      </c>
      <c r="AK318">
        <v>19</v>
      </c>
      <c r="AL318">
        <v>1.06</v>
      </c>
    </row>
    <row r="319" spans="1:38" x14ac:dyDescent="0.3">
      <c r="A319" t="s">
        <v>136</v>
      </c>
      <c r="B319">
        <v>114654</v>
      </c>
      <c r="C319">
        <v>5</v>
      </c>
      <c r="D319" t="s">
        <v>594</v>
      </c>
      <c r="E319" t="s">
        <v>595</v>
      </c>
      <c r="F319">
        <v>18</v>
      </c>
      <c r="G319">
        <v>24.06</v>
      </c>
      <c r="H319">
        <v>79.56</v>
      </c>
      <c r="I319">
        <v>18.11</v>
      </c>
      <c r="J319">
        <v>59.88</v>
      </c>
      <c r="K319">
        <v>2</v>
      </c>
      <c r="T319">
        <v>3</v>
      </c>
      <c r="U319">
        <v>2</v>
      </c>
      <c r="V319" t="s">
        <v>93</v>
      </c>
      <c r="W319" t="s">
        <v>600</v>
      </c>
      <c r="X319">
        <v>10</v>
      </c>
      <c r="Y319">
        <v>8</v>
      </c>
      <c r="Z319" t="s">
        <v>596</v>
      </c>
      <c r="AA319" t="s">
        <v>597</v>
      </c>
      <c r="AB319" t="s">
        <v>96</v>
      </c>
      <c r="AC319" t="s">
        <v>97</v>
      </c>
      <c r="AD319" t="s">
        <v>142</v>
      </c>
      <c r="AG319" t="s">
        <v>598</v>
      </c>
      <c r="AH319">
        <v>0</v>
      </c>
      <c r="AI319">
        <v>553</v>
      </c>
      <c r="AJ319">
        <v>77</v>
      </c>
      <c r="AK319">
        <v>19</v>
      </c>
      <c r="AL319">
        <v>1.06</v>
      </c>
    </row>
    <row r="320" spans="1:38" x14ac:dyDescent="0.3">
      <c r="A320" t="s">
        <v>136</v>
      </c>
      <c r="B320">
        <v>114654</v>
      </c>
      <c r="C320">
        <v>6</v>
      </c>
      <c r="D320" t="s">
        <v>594</v>
      </c>
      <c r="E320" t="s">
        <v>595</v>
      </c>
      <c r="F320">
        <v>18</v>
      </c>
      <c r="G320">
        <v>30.48</v>
      </c>
      <c r="H320">
        <v>100.77</v>
      </c>
      <c r="I320">
        <v>23.3</v>
      </c>
      <c r="J320">
        <v>77.05</v>
      </c>
      <c r="K320">
        <v>2</v>
      </c>
      <c r="T320">
        <v>3</v>
      </c>
      <c r="U320">
        <v>2</v>
      </c>
      <c r="V320" t="s">
        <v>93</v>
      </c>
      <c r="W320">
        <v>100</v>
      </c>
      <c r="X320">
        <v>10</v>
      </c>
      <c r="Y320">
        <v>8</v>
      </c>
      <c r="Z320" t="s">
        <v>596</v>
      </c>
      <c r="AA320" t="s">
        <v>597</v>
      </c>
      <c r="AB320" t="s">
        <v>96</v>
      </c>
      <c r="AC320" t="s">
        <v>97</v>
      </c>
      <c r="AD320" t="s">
        <v>142</v>
      </c>
      <c r="AG320" t="s">
        <v>598</v>
      </c>
      <c r="AH320">
        <v>0</v>
      </c>
      <c r="AI320">
        <v>553</v>
      </c>
      <c r="AJ320">
        <v>77</v>
      </c>
      <c r="AK320">
        <v>19</v>
      </c>
      <c r="AL320">
        <v>1.06</v>
      </c>
    </row>
    <row r="321" spans="1:38" x14ac:dyDescent="0.3">
      <c r="A321" t="s">
        <v>136</v>
      </c>
      <c r="B321">
        <v>114654</v>
      </c>
      <c r="C321">
        <v>7</v>
      </c>
      <c r="D321" t="s">
        <v>594</v>
      </c>
      <c r="E321" t="s">
        <v>595</v>
      </c>
      <c r="F321">
        <v>18</v>
      </c>
      <c r="G321">
        <v>30.51</v>
      </c>
      <c r="H321">
        <v>100.88</v>
      </c>
      <c r="I321">
        <v>23.22</v>
      </c>
      <c r="J321">
        <v>76.77</v>
      </c>
      <c r="K321">
        <v>2</v>
      </c>
      <c r="T321">
        <v>3</v>
      </c>
      <c r="U321">
        <v>2</v>
      </c>
      <c r="V321" t="s">
        <v>93</v>
      </c>
      <c r="W321" t="s">
        <v>601</v>
      </c>
      <c r="X321">
        <v>10</v>
      </c>
      <c r="Y321">
        <v>8</v>
      </c>
      <c r="Z321" t="s">
        <v>596</v>
      </c>
      <c r="AA321" t="s">
        <v>597</v>
      </c>
      <c r="AB321" t="s">
        <v>96</v>
      </c>
      <c r="AC321" t="s">
        <v>97</v>
      </c>
      <c r="AD321" t="s">
        <v>142</v>
      </c>
      <c r="AG321" t="s">
        <v>598</v>
      </c>
      <c r="AH321">
        <v>0</v>
      </c>
      <c r="AI321">
        <v>553</v>
      </c>
      <c r="AJ321">
        <v>77</v>
      </c>
      <c r="AK321">
        <v>19</v>
      </c>
      <c r="AL321">
        <v>1.06</v>
      </c>
    </row>
    <row r="322" spans="1:38" x14ac:dyDescent="0.3">
      <c r="A322" t="s">
        <v>136</v>
      </c>
      <c r="B322">
        <v>114654</v>
      </c>
      <c r="C322">
        <v>8</v>
      </c>
      <c r="D322" t="s">
        <v>594</v>
      </c>
      <c r="E322" t="s">
        <v>595</v>
      </c>
      <c r="F322">
        <v>18</v>
      </c>
      <c r="G322">
        <v>31.16</v>
      </c>
      <c r="H322">
        <v>103.02</v>
      </c>
      <c r="I322">
        <v>23.58</v>
      </c>
      <c r="J322">
        <v>77.98</v>
      </c>
      <c r="K322">
        <v>2</v>
      </c>
      <c r="T322">
        <v>3</v>
      </c>
      <c r="U322">
        <v>2</v>
      </c>
      <c r="V322" t="s">
        <v>93</v>
      </c>
      <c r="W322" t="s">
        <v>602</v>
      </c>
      <c r="X322">
        <v>10</v>
      </c>
      <c r="Y322">
        <v>8</v>
      </c>
      <c r="Z322" t="s">
        <v>596</v>
      </c>
      <c r="AA322" t="s">
        <v>597</v>
      </c>
      <c r="AB322" t="s">
        <v>96</v>
      </c>
      <c r="AC322" t="s">
        <v>97</v>
      </c>
      <c r="AD322" t="s">
        <v>142</v>
      </c>
      <c r="AG322" t="s">
        <v>598</v>
      </c>
      <c r="AH322">
        <v>0</v>
      </c>
      <c r="AI322">
        <v>553</v>
      </c>
      <c r="AJ322">
        <v>77</v>
      </c>
      <c r="AK322">
        <v>19</v>
      </c>
      <c r="AL322">
        <v>1.06</v>
      </c>
    </row>
    <row r="323" spans="1:38" x14ac:dyDescent="0.3">
      <c r="A323" t="s">
        <v>136</v>
      </c>
      <c r="B323">
        <v>114654</v>
      </c>
      <c r="C323">
        <v>9</v>
      </c>
      <c r="D323" t="s">
        <v>594</v>
      </c>
      <c r="E323" t="s">
        <v>595</v>
      </c>
      <c r="F323">
        <v>18</v>
      </c>
      <c r="G323">
        <v>32.549999999999997</v>
      </c>
      <c r="H323">
        <v>107.61</v>
      </c>
      <c r="I323">
        <v>24.82</v>
      </c>
      <c r="J323">
        <v>82.05</v>
      </c>
      <c r="K323">
        <v>2</v>
      </c>
      <c r="T323">
        <v>3</v>
      </c>
      <c r="U323">
        <v>2</v>
      </c>
      <c r="V323" t="s">
        <v>93</v>
      </c>
      <c r="W323">
        <v>107</v>
      </c>
      <c r="X323">
        <v>10</v>
      </c>
      <c r="Y323">
        <v>8</v>
      </c>
      <c r="Z323" t="s">
        <v>596</v>
      </c>
      <c r="AA323" t="s">
        <v>597</v>
      </c>
      <c r="AB323" t="s">
        <v>96</v>
      </c>
      <c r="AC323" t="s">
        <v>97</v>
      </c>
      <c r="AD323" t="s">
        <v>142</v>
      </c>
      <c r="AG323" t="s">
        <v>598</v>
      </c>
      <c r="AH323">
        <v>0</v>
      </c>
      <c r="AI323">
        <v>553</v>
      </c>
      <c r="AJ323">
        <v>77</v>
      </c>
      <c r="AK323">
        <v>19</v>
      </c>
      <c r="AL323">
        <v>1.06</v>
      </c>
    </row>
    <row r="324" spans="1:38" x14ac:dyDescent="0.3">
      <c r="A324" t="s">
        <v>136</v>
      </c>
      <c r="B324">
        <v>142205</v>
      </c>
      <c r="C324">
        <v>1</v>
      </c>
      <c r="D324" t="s">
        <v>603</v>
      </c>
      <c r="E324" t="s">
        <v>348</v>
      </c>
      <c r="F324">
        <v>16</v>
      </c>
      <c r="G324">
        <v>21.51</v>
      </c>
      <c r="H324">
        <v>71.14</v>
      </c>
      <c r="I324">
        <v>18.03</v>
      </c>
      <c r="J324">
        <v>59.63</v>
      </c>
      <c r="K324">
        <v>4</v>
      </c>
      <c r="T324">
        <v>3</v>
      </c>
      <c r="U324">
        <v>2</v>
      </c>
      <c r="V324" t="s">
        <v>93</v>
      </c>
      <c r="W324" t="s">
        <v>460</v>
      </c>
      <c r="X324">
        <v>14</v>
      </c>
      <c r="Y324">
        <v>14</v>
      </c>
      <c r="Z324" t="s">
        <v>604</v>
      </c>
      <c r="AA324" t="s">
        <v>605</v>
      </c>
      <c r="AB324" t="s">
        <v>96</v>
      </c>
      <c r="AC324" t="s">
        <v>97</v>
      </c>
      <c r="AD324" t="s">
        <v>142</v>
      </c>
      <c r="AG324" t="s">
        <v>606</v>
      </c>
      <c r="AH324">
        <v>0</v>
      </c>
      <c r="AI324">
        <v>753</v>
      </c>
      <c r="AJ324">
        <v>71</v>
      </c>
      <c r="AK324">
        <v>14</v>
      </c>
      <c r="AL324">
        <v>0.88</v>
      </c>
    </row>
    <row r="325" spans="1:38" x14ac:dyDescent="0.3">
      <c r="A325" t="s">
        <v>136</v>
      </c>
      <c r="B325">
        <v>142205</v>
      </c>
      <c r="C325">
        <v>2</v>
      </c>
      <c r="D325" t="s">
        <v>603</v>
      </c>
      <c r="E325" t="s">
        <v>348</v>
      </c>
      <c r="F325">
        <v>16</v>
      </c>
      <c r="G325">
        <v>22.07</v>
      </c>
      <c r="H325">
        <v>72.959999999999994</v>
      </c>
      <c r="I325">
        <v>18.11</v>
      </c>
      <c r="J325">
        <v>59.87</v>
      </c>
      <c r="K325">
        <v>4</v>
      </c>
      <c r="T325">
        <v>3</v>
      </c>
      <c r="U325">
        <v>2</v>
      </c>
      <c r="V325" t="s">
        <v>93</v>
      </c>
      <c r="W325" t="s">
        <v>296</v>
      </c>
      <c r="X325">
        <v>14</v>
      </c>
      <c r="Y325">
        <v>14</v>
      </c>
      <c r="Z325" t="s">
        <v>604</v>
      </c>
      <c r="AA325" t="s">
        <v>605</v>
      </c>
      <c r="AB325" t="s">
        <v>96</v>
      </c>
      <c r="AC325" t="s">
        <v>97</v>
      </c>
      <c r="AD325" t="s">
        <v>142</v>
      </c>
      <c r="AG325" t="s">
        <v>606</v>
      </c>
      <c r="AH325">
        <v>0</v>
      </c>
      <c r="AI325">
        <v>753</v>
      </c>
      <c r="AJ325">
        <v>71</v>
      </c>
      <c r="AK325">
        <v>14</v>
      </c>
      <c r="AL325">
        <v>0.88</v>
      </c>
    </row>
    <row r="326" spans="1:38" x14ac:dyDescent="0.3">
      <c r="A326" t="s">
        <v>136</v>
      </c>
      <c r="B326">
        <v>142205</v>
      </c>
      <c r="C326">
        <v>3</v>
      </c>
      <c r="D326" t="s">
        <v>603</v>
      </c>
      <c r="E326" t="s">
        <v>348</v>
      </c>
      <c r="F326">
        <v>16</v>
      </c>
      <c r="G326">
        <v>21.87</v>
      </c>
      <c r="H326">
        <v>72.319999999999993</v>
      </c>
      <c r="I326">
        <v>18.12</v>
      </c>
      <c r="J326">
        <v>59.92</v>
      </c>
      <c r="K326">
        <v>4</v>
      </c>
      <c r="T326">
        <v>3</v>
      </c>
      <c r="U326">
        <v>2</v>
      </c>
      <c r="V326" t="s">
        <v>93</v>
      </c>
      <c r="W326" t="s">
        <v>607</v>
      </c>
      <c r="X326">
        <v>14</v>
      </c>
      <c r="Y326">
        <v>14</v>
      </c>
      <c r="Z326" t="s">
        <v>604</v>
      </c>
      <c r="AA326" t="s">
        <v>605</v>
      </c>
      <c r="AB326" t="s">
        <v>96</v>
      </c>
      <c r="AC326" t="s">
        <v>97</v>
      </c>
      <c r="AD326" t="s">
        <v>142</v>
      </c>
      <c r="AG326" t="s">
        <v>606</v>
      </c>
      <c r="AH326">
        <v>0</v>
      </c>
      <c r="AI326">
        <v>753</v>
      </c>
      <c r="AJ326">
        <v>71</v>
      </c>
      <c r="AK326">
        <v>14</v>
      </c>
      <c r="AL326">
        <v>0.88</v>
      </c>
    </row>
    <row r="327" spans="1:38" x14ac:dyDescent="0.3">
      <c r="A327" t="s">
        <v>136</v>
      </c>
      <c r="B327">
        <v>142205</v>
      </c>
      <c r="C327">
        <v>4</v>
      </c>
      <c r="D327" t="s">
        <v>603</v>
      </c>
      <c r="E327" t="s">
        <v>348</v>
      </c>
      <c r="F327">
        <v>16</v>
      </c>
      <c r="G327">
        <v>22.61</v>
      </c>
      <c r="H327">
        <v>74.77</v>
      </c>
      <c r="I327">
        <v>18.850000000000001</v>
      </c>
      <c r="J327">
        <v>62.32</v>
      </c>
      <c r="K327">
        <v>4</v>
      </c>
      <c r="T327">
        <v>3</v>
      </c>
      <c r="U327">
        <v>2</v>
      </c>
      <c r="V327" t="s">
        <v>93</v>
      </c>
      <c r="W327">
        <v>74</v>
      </c>
      <c r="X327">
        <v>14</v>
      </c>
      <c r="Y327">
        <v>14</v>
      </c>
      <c r="Z327" t="s">
        <v>604</v>
      </c>
      <c r="AA327" t="s">
        <v>605</v>
      </c>
      <c r="AB327" t="s">
        <v>96</v>
      </c>
      <c r="AC327" t="s">
        <v>97</v>
      </c>
      <c r="AD327" t="s">
        <v>142</v>
      </c>
      <c r="AG327" t="s">
        <v>606</v>
      </c>
      <c r="AH327">
        <v>0</v>
      </c>
      <c r="AI327">
        <v>753</v>
      </c>
      <c r="AJ327">
        <v>71</v>
      </c>
      <c r="AK327">
        <v>14</v>
      </c>
      <c r="AL327">
        <v>0.88</v>
      </c>
    </row>
    <row r="328" spans="1:38" x14ac:dyDescent="0.3">
      <c r="A328" t="s">
        <v>136</v>
      </c>
      <c r="B328">
        <v>8940</v>
      </c>
      <c r="C328">
        <v>1</v>
      </c>
      <c r="D328" t="s">
        <v>608</v>
      </c>
      <c r="E328" t="s">
        <v>609</v>
      </c>
      <c r="F328">
        <v>375</v>
      </c>
      <c r="G328">
        <v>18.71</v>
      </c>
      <c r="H328">
        <v>61.86</v>
      </c>
      <c r="I328">
        <v>14.23</v>
      </c>
      <c r="J328">
        <v>47.07</v>
      </c>
      <c r="K328">
        <v>375</v>
      </c>
      <c r="T328">
        <v>3</v>
      </c>
      <c r="U328">
        <v>1</v>
      </c>
      <c r="V328" t="s">
        <v>93</v>
      </c>
      <c r="W328">
        <v>61</v>
      </c>
      <c r="X328">
        <v>5</v>
      </c>
      <c r="Y328">
        <v>5</v>
      </c>
      <c r="Z328" t="s">
        <v>610</v>
      </c>
      <c r="AA328" t="s">
        <v>611</v>
      </c>
      <c r="AB328" t="s">
        <v>96</v>
      </c>
      <c r="AC328" t="s">
        <v>97</v>
      </c>
      <c r="AD328" t="s">
        <v>142</v>
      </c>
      <c r="AG328" t="s">
        <v>612</v>
      </c>
      <c r="AH328">
        <v>0</v>
      </c>
      <c r="AI328">
        <v>125</v>
      </c>
      <c r="AJ328">
        <v>26</v>
      </c>
      <c r="AK328">
        <v>0</v>
      </c>
      <c r="AL328">
        <v>0</v>
      </c>
    </row>
    <row r="329" spans="1:38" x14ac:dyDescent="0.3">
      <c r="A329" t="s">
        <v>136</v>
      </c>
      <c r="B329">
        <v>8942</v>
      </c>
      <c r="C329">
        <v>1</v>
      </c>
      <c r="D329" t="s">
        <v>613</v>
      </c>
      <c r="E329" t="s">
        <v>614</v>
      </c>
      <c r="F329">
        <v>60</v>
      </c>
      <c r="G329">
        <v>9.75</v>
      </c>
      <c r="H329">
        <v>32.24</v>
      </c>
      <c r="I329">
        <v>6.53</v>
      </c>
      <c r="J329">
        <v>21.6</v>
      </c>
      <c r="K329">
        <v>1</v>
      </c>
      <c r="T329">
        <v>1</v>
      </c>
      <c r="U329">
        <v>1</v>
      </c>
      <c r="V329" t="s">
        <v>211</v>
      </c>
      <c r="W329">
        <v>32</v>
      </c>
      <c r="X329">
        <v>5</v>
      </c>
      <c r="Y329">
        <v>5</v>
      </c>
      <c r="Z329" t="s">
        <v>615</v>
      </c>
      <c r="AA329" t="s">
        <v>616</v>
      </c>
      <c r="AB329" t="s">
        <v>96</v>
      </c>
      <c r="AC329" t="s">
        <v>97</v>
      </c>
      <c r="AD329" t="s">
        <v>142</v>
      </c>
      <c r="AG329" t="s">
        <v>617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38" x14ac:dyDescent="0.3">
      <c r="A330" t="s">
        <v>136</v>
      </c>
      <c r="B330">
        <v>8942</v>
      </c>
      <c r="C330">
        <v>2</v>
      </c>
      <c r="D330" t="s">
        <v>613</v>
      </c>
      <c r="E330" t="s">
        <v>614</v>
      </c>
      <c r="F330">
        <v>60</v>
      </c>
      <c r="G330">
        <v>17.53</v>
      </c>
      <c r="H330">
        <v>57.98</v>
      </c>
      <c r="I330">
        <v>13.06</v>
      </c>
      <c r="J330">
        <v>43.2</v>
      </c>
      <c r="K330">
        <v>19</v>
      </c>
      <c r="T330">
        <v>3</v>
      </c>
      <c r="U330">
        <v>1</v>
      </c>
      <c r="V330" t="s">
        <v>93</v>
      </c>
      <c r="W330" t="s">
        <v>353</v>
      </c>
      <c r="X330">
        <v>5</v>
      </c>
      <c r="Y330">
        <v>5</v>
      </c>
      <c r="Z330" t="s">
        <v>615</v>
      </c>
      <c r="AA330" t="s">
        <v>616</v>
      </c>
      <c r="AB330" t="s">
        <v>96</v>
      </c>
      <c r="AC330" t="s">
        <v>97</v>
      </c>
      <c r="AD330" t="s">
        <v>142</v>
      </c>
      <c r="AG330" t="s">
        <v>617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 x14ac:dyDescent="0.3">
      <c r="A331" t="s">
        <v>136</v>
      </c>
      <c r="B331">
        <v>8942</v>
      </c>
      <c r="C331">
        <v>3</v>
      </c>
      <c r="D331" t="s">
        <v>613</v>
      </c>
      <c r="E331" t="s">
        <v>614</v>
      </c>
      <c r="F331">
        <v>60</v>
      </c>
      <c r="G331">
        <v>18.41</v>
      </c>
      <c r="H331">
        <v>60.89</v>
      </c>
      <c r="I331">
        <v>13.8</v>
      </c>
      <c r="J331">
        <v>45.63</v>
      </c>
      <c r="K331">
        <v>10</v>
      </c>
      <c r="T331">
        <v>3</v>
      </c>
      <c r="U331">
        <v>1</v>
      </c>
      <c r="V331" t="s">
        <v>93</v>
      </c>
      <c r="W331" t="s">
        <v>179</v>
      </c>
      <c r="X331">
        <v>5</v>
      </c>
      <c r="Y331">
        <v>5</v>
      </c>
      <c r="Z331" t="s">
        <v>615</v>
      </c>
      <c r="AA331" t="s">
        <v>616</v>
      </c>
      <c r="AB331" t="s">
        <v>96</v>
      </c>
      <c r="AC331" t="s">
        <v>97</v>
      </c>
      <c r="AD331" t="s">
        <v>142</v>
      </c>
      <c r="AG331" t="s">
        <v>617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136</v>
      </c>
      <c r="B332">
        <v>8942</v>
      </c>
      <c r="C332">
        <v>4</v>
      </c>
      <c r="D332" t="s">
        <v>613</v>
      </c>
      <c r="E332" t="s">
        <v>614</v>
      </c>
      <c r="F332">
        <v>60</v>
      </c>
      <c r="G332">
        <v>24.69</v>
      </c>
      <c r="H332">
        <v>81.64</v>
      </c>
      <c r="I332">
        <v>18.940000000000001</v>
      </c>
      <c r="J332">
        <v>62.64</v>
      </c>
      <c r="K332">
        <v>30</v>
      </c>
      <c r="T332">
        <v>3</v>
      </c>
      <c r="U332">
        <v>1</v>
      </c>
      <c r="V332" t="s">
        <v>93</v>
      </c>
      <c r="W332">
        <v>81</v>
      </c>
      <c r="X332">
        <v>5</v>
      </c>
      <c r="Y332">
        <v>5</v>
      </c>
      <c r="Z332" t="s">
        <v>615</v>
      </c>
      <c r="AA332" t="s">
        <v>616</v>
      </c>
      <c r="AB332" t="s">
        <v>96</v>
      </c>
      <c r="AC332" t="s">
        <v>97</v>
      </c>
      <c r="AD332" t="s">
        <v>142</v>
      </c>
      <c r="AG332" t="s">
        <v>617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136</v>
      </c>
      <c r="B333">
        <v>121254</v>
      </c>
      <c r="C333">
        <v>1</v>
      </c>
      <c r="D333" t="s">
        <v>618</v>
      </c>
      <c r="E333" t="s">
        <v>619</v>
      </c>
      <c r="F333">
        <v>72</v>
      </c>
      <c r="G333">
        <v>21.93</v>
      </c>
      <c r="H333">
        <v>72.510000000000005</v>
      </c>
      <c r="I333">
        <v>15.03</v>
      </c>
      <c r="J333">
        <v>49.71</v>
      </c>
      <c r="K333">
        <v>18</v>
      </c>
      <c r="T333">
        <v>3</v>
      </c>
      <c r="U333">
        <v>2</v>
      </c>
      <c r="V333" t="s">
        <v>93</v>
      </c>
      <c r="W333" t="s">
        <v>282</v>
      </c>
      <c r="X333">
        <v>14</v>
      </c>
      <c r="Y333">
        <v>14</v>
      </c>
      <c r="Z333" t="s">
        <v>620</v>
      </c>
      <c r="AA333" t="s">
        <v>621</v>
      </c>
      <c r="AB333" t="s">
        <v>96</v>
      </c>
      <c r="AC333" t="s">
        <v>97</v>
      </c>
      <c r="AD333" t="s">
        <v>142</v>
      </c>
      <c r="AG333" t="s">
        <v>622</v>
      </c>
      <c r="AH333">
        <v>0</v>
      </c>
      <c r="AI333">
        <v>748</v>
      </c>
      <c r="AJ333">
        <v>71</v>
      </c>
      <c r="AK333">
        <v>52</v>
      </c>
      <c r="AL333">
        <v>0.72</v>
      </c>
    </row>
    <row r="334" spans="1:38" x14ac:dyDescent="0.3">
      <c r="A334" t="s">
        <v>136</v>
      </c>
      <c r="B334">
        <v>121254</v>
      </c>
      <c r="C334">
        <v>2</v>
      </c>
      <c r="D334" t="s">
        <v>618</v>
      </c>
      <c r="E334" t="s">
        <v>619</v>
      </c>
      <c r="F334">
        <v>72</v>
      </c>
      <c r="G334">
        <v>21.96</v>
      </c>
      <c r="H334">
        <v>72.62</v>
      </c>
      <c r="I334">
        <v>15.04</v>
      </c>
      <c r="J334">
        <v>49.72</v>
      </c>
      <c r="K334">
        <v>18</v>
      </c>
      <c r="T334">
        <v>3</v>
      </c>
      <c r="U334">
        <v>2</v>
      </c>
      <c r="V334" t="s">
        <v>93</v>
      </c>
      <c r="W334" t="s">
        <v>296</v>
      </c>
      <c r="X334">
        <v>14</v>
      </c>
      <c r="Y334">
        <v>14</v>
      </c>
      <c r="Z334" t="s">
        <v>620</v>
      </c>
      <c r="AA334" t="s">
        <v>621</v>
      </c>
      <c r="AB334" t="s">
        <v>96</v>
      </c>
      <c r="AC334" t="s">
        <v>97</v>
      </c>
      <c r="AD334" t="s">
        <v>142</v>
      </c>
      <c r="AG334" t="s">
        <v>622</v>
      </c>
      <c r="AH334">
        <v>0</v>
      </c>
      <c r="AI334">
        <v>748</v>
      </c>
      <c r="AJ334">
        <v>71</v>
      </c>
      <c r="AK334">
        <v>52</v>
      </c>
      <c r="AL334">
        <v>0.72</v>
      </c>
    </row>
    <row r="335" spans="1:38" x14ac:dyDescent="0.3">
      <c r="A335" t="s">
        <v>136</v>
      </c>
      <c r="B335">
        <v>121254</v>
      </c>
      <c r="C335">
        <v>3</v>
      </c>
      <c r="D335" t="s">
        <v>618</v>
      </c>
      <c r="E335" t="s">
        <v>619</v>
      </c>
      <c r="F335">
        <v>72</v>
      </c>
      <c r="G335">
        <v>21.96</v>
      </c>
      <c r="H335">
        <v>72.61</v>
      </c>
      <c r="I335">
        <v>15.05</v>
      </c>
      <c r="J335">
        <v>49.78</v>
      </c>
      <c r="K335">
        <v>18</v>
      </c>
      <c r="T335">
        <v>3</v>
      </c>
      <c r="U335">
        <v>2</v>
      </c>
      <c r="V335" t="s">
        <v>93</v>
      </c>
      <c r="W335" t="s">
        <v>607</v>
      </c>
      <c r="X335">
        <v>14</v>
      </c>
      <c r="Y335">
        <v>14</v>
      </c>
      <c r="Z335" t="s">
        <v>620</v>
      </c>
      <c r="AA335" t="s">
        <v>621</v>
      </c>
      <c r="AB335" t="s">
        <v>96</v>
      </c>
      <c r="AC335" t="s">
        <v>97</v>
      </c>
      <c r="AD335" t="s">
        <v>142</v>
      </c>
      <c r="AG335" t="s">
        <v>622</v>
      </c>
      <c r="AH335">
        <v>0</v>
      </c>
      <c r="AI335">
        <v>748</v>
      </c>
      <c r="AJ335">
        <v>71</v>
      </c>
      <c r="AK335">
        <v>52</v>
      </c>
      <c r="AL335">
        <v>0.72</v>
      </c>
    </row>
    <row r="336" spans="1:38" x14ac:dyDescent="0.3">
      <c r="A336" t="s">
        <v>136</v>
      </c>
      <c r="B336">
        <v>121254</v>
      </c>
      <c r="C336">
        <v>4</v>
      </c>
      <c r="D336" t="s">
        <v>618</v>
      </c>
      <c r="E336" t="s">
        <v>619</v>
      </c>
      <c r="F336">
        <v>72</v>
      </c>
      <c r="G336">
        <v>21.95</v>
      </c>
      <c r="H336">
        <v>72.59</v>
      </c>
      <c r="I336">
        <v>15.11</v>
      </c>
      <c r="J336">
        <v>49.97</v>
      </c>
      <c r="K336">
        <v>18</v>
      </c>
      <c r="T336">
        <v>3</v>
      </c>
      <c r="U336">
        <v>2</v>
      </c>
      <c r="V336" t="s">
        <v>93</v>
      </c>
      <c r="W336" t="s">
        <v>623</v>
      </c>
      <c r="X336">
        <v>14</v>
      </c>
      <c r="Y336">
        <v>14</v>
      </c>
      <c r="Z336" t="s">
        <v>620</v>
      </c>
      <c r="AA336" t="s">
        <v>621</v>
      </c>
      <c r="AB336" t="s">
        <v>96</v>
      </c>
      <c r="AC336" t="s">
        <v>97</v>
      </c>
      <c r="AD336" t="s">
        <v>142</v>
      </c>
      <c r="AG336" t="s">
        <v>622</v>
      </c>
      <c r="AH336">
        <v>0</v>
      </c>
      <c r="AI336">
        <v>748</v>
      </c>
      <c r="AJ336">
        <v>71</v>
      </c>
      <c r="AK336">
        <v>52</v>
      </c>
      <c r="AL336">
        <v>0.72</v>
      </c>
    </row>
    <row r="337" spans="1:38" x14ac:dyDescent="0.3">
      <c r="A337" t="s">
        <v>136</v>
      </c>
      <c r="B337">
        <v>102921</v>
      </c>
      <c r="C337">
        <v>1</v>
      </c>
      <c r="D337" t="s">
        <v>624</v>
      </c>
      <c r="E337" t="s">
        <v>625</v>
      </c>
      <c r="F337">
        <v>70</v>
      </c>
      <c r="G337">
        <v>15.17</v>
      </c>
      <c r="H337">
        <v>50.18</v>
      </c>
      <c r="I337">
        <v>12.08</v>
      </c>
      <c r="J337">
        <v>39.96</v>
      </c>
      <c r="K337">
        <v>40</v>
      </c>
      <c r="T337">
        <v>2</v>
      </c>
      <c r="U337">
        <v>1</v>
      </c>
      <c r="V337" t="s">
        <v>132</v>
      </c>
      <c r="W337">
        <v>50</v>
      </c>
      <c r="X337">
        <v>5</v>
      </c>
      <c r="Y337">
        <v>5</v>
      </c>
      <c r="Z337" t="s">
        <v>626</v>
      </c>
      <c r="AA337" t="s">
        <v>627</v>
      </c>
      <c r="AB337" t="s">
        <v>96</v>
      </c>
      <c r="AC337" t="s">
        <v>97</v>
      </c>
      <c r="AD337" t="s">
        <v>142</v>
      </c>
      <c r="AG337" t="s">
        <v>628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136</v>
      </c>
      <c r="B338">
        <v>102921</v>
      </c>
      <c r="C338">
        <v>2</v>
      </c>
      <c r="D338" t="s">
        <v>624</v>
      </c>
      <c r="E338" t="s">
        <v>625</v>
      </c>
      <c r="F338">
        <v>70</v>
      </c>
      <c r="G338">
        <v>16.329999999999998</v>
      </c>
      <c r="H338">
        <v>54.01</v>
      </c>
      <c r="I338">
        <v>13.12</v>
      </c>
      <c r="J338">
        <v>43.38</v>
      </c>
      <c r="K338">
        <v>10</v>
      </c>
      <c r="T338">
        <v>2</v>
      </c>
      <c r="U338">
        <v>1</v>
      </c>
      <c r="V338" t="s">
        <v>132</v>
      </c>
      <c r="W338">
        <v>54</v>
      </c>
      <c r="X338">
        <v>5</v>
      </c>
      <c r="Y338">
        <v>5</v>
      </c>
      <c r="Z338" t="s">
        <v>626</v>
      </c>
      <c r="AA338" t="s">
        <v>627</v>
      </c>
      <c r="AB338" t="s">
        <v>96</v>
      </c>
      <c r="AC338" t="s">
        <v>97</v>
      </c>
      <c r="AD338" t="s">
        <v>142</v>
      </c>
      <c r="AG338" t="s">
        <v>628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136</v>
      </c>
      <c r="B339">
        <v>102921</v>
      </c>
      <c r="C339">
        <v>3</v>
      </c>
      <c r="D339" t="s">
        <v>624</v>
      </c>
      <c r="E339" t="s">
        <v>625</v>
      </c>
      <c r="F339">
        <v>70</v>
      </c>
      <c r="G339">
        <v>17.13</v>
      </c>
      <c r="H339">
        <v>56.64</v>
      </c>
      <c r="I339">
        <v>13.83</v>
      </c>
      <c r="J339">
        <v>45.72</v>
      </c>
      <c r="K339">
        <v>20</v>
      </c>
      <c r="T339">
        <v>2</v>
      </c>
      <c r="U339">
        <v>1</v>
      </c>
      <c r="V339" t="s">
        <v>132</v>
      </c>
      <c r="W339">
        <v>56</v>
      </c>
      <c r="X339">
        <v>5</v>
      </c>
      <c r="Y339">
        <v>5</v>
      </c>
      <c r="Z339" t="s">
        <v>626</v>
      </c>
      <c r="AA339" t="s">
        <v>627</v>
      </c>
      <c r="AB339" t="s">
        <v>96</v>
      </c>
      <c r="AC339" t="s">
        <v>97</v>
      </c>
      <c r="AD339" t="s">
        <v>142</v>
      </c>
      <c r="AG339" t="s">
        <v>628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136</v>
      </c>
      <c r="B340">
        <v>122709</v>
      </c>
      <c r="C340">
        <v>1</v>
      </c>
      <c r="D340" t="s">
        <v>629</v>
      </c>
      <c r="E340" t="s">
        <v>138</v>
      </c>
      <c r="F340">
        <v>19</v>
      </c>
      <c r="G340">
        <v>24.03</v>
      </c>
      <c r="H340">
        <v>79.45</v>
      </c>
      <c r="I340">
        <v>17.920000000000002</v>
      </c>
      <c r="J340">
        <v>59.27</v>
      </c>
      <c r="K340">
        <v>3</v>
      </c>
      <c r="T340">
        <v>3</v>
      </c>
      <c r="U340">
        <v>2</v>
      </c>
      <c r="V340" t="s">
        <v>93</v>
      </c>
      <c r="W340" t="s">
        <v>474</v>
      </c>
      <c r="X340">
        <v>10</v>
      </c>
      <c r="Y340">
        <v>9</v>
      </c>
      <c r="Z340" t="s">
        <v>630</v>
      </c>
      <c r="AA340" t="s">
        <v>631</v>
      </c>
      <c r="AB340" t="s">
        <v>96</v>
      </c>
      <c r="AC340" t="s">
        <v>97</v>
      </c>
      <c r="AD340" t="s">
        <v>142</v>
      </c>
      <c r="AG340" t="s">
        <v>632</v>
      </c>
      <c r="AH340">
        <v>0</v>
      </c>
      <c r="AI340">
        <v>559</v>
      </c>
      <c r="AJ340">
        <v>79</v>
      </c>
      <c r="AK340">
        <v>21</v>
      </c>
      <c r="AL340">
        <v>1.1100000000000001</v>
      </c>
    </row>
    <row r="341" spans="1:38" x14ac:dyDescent="0.3">
      <c r="A341" t="s">
        <v>136</v>
      </c>
      <c r="B341">
        <v>122709</v>
      </c>
      <c r="C341">
        <v>2</v>
      </c>
      <c r="D341" t="s">
        <v>629</v>
      </c>
      <c r="E341" t="s">
        <v>138</v>
      </c>
      <c r="F341">
        <v>19</v>
      </c>
      <c r="G341">
        <v>24.44</v>
      </c>
      <c r="H341">
        <v>80.81</v>
      </c>
      <c r="I341">
        <v>18.100000000000001</v>
      </c>
      <c r="J341">
        <v>59.85</v>
      </c>
      <c r="K341">
        <v>3</v>
      </c>
      <c r="T341">
        <v>3</v>
      </c>
      <c r="U341">
        <v>2</v>
      </c>
      <c r="V341" t="s">
        <v>93</v>
      </c>
      <c r="W341" t="s">
        <v>322</v>
      </c>
      <c r="X341">
        <v>10</v>
      </c>
      <c r="Y341">
        <v>9</v>
      </c>
      <c r="Z341" t="s">
        <v>630</v>
      </c>
      <c r="AA341" t="s">
        <v>631</v>
      </c>
      <c r="AB341" t="s">
        <v>96</v>
      </c>
      <c r="AC341" t="s">
        <v>97</v>
      </c>
      <c r="AD341" t="s">
        <v>142</v>
      </c>
      <c r="AG341" t="s">
        <v>632</v>
      </c>
      <c r="AH341">
        <v>0</v>
      </c>
      <c r="AI341">
        <v>559</v>
      </c>
      <c r="AJ341">
        <v>79</v>
      </c>
      <c r="AK341">
        <v>21</v>
      </c>
      <c r="AL341">
        <v>1.1100000000000001</v>
      </c>
    </row>
    <row r="342" spans="1:38" x14ac:dyDescent="0.3">
      <c r="A342" t="s">
        <v>136</v>
      </c>
      <c r="B342">
        <v>122709</v>
      </c>
      <c r="C342">
        <v>3</v>
      </c>
      <c r="D342" t="s">
        <v>629</v>
      </c>
      <c r="E342" t="s">
        <v>138</v>
      </c>
      <c r="F342">
        <v>19</v>
      </c>
      <c r="G342">
        <v>24.26</v>
      </c>
      <c r="H342">
        <v>80.209999999999994</v>
      </c>
      <c r="I342">
        <v>18.100000000000001</v>
      </c>
      <c r="J342">
        <v>59.86</v>
      </c>
      <c r="K342">
        <v>3</v>
      </c>
      <c r="T342">
        <v>3</v>
      </c>
      <c r="U342">
        <v>2</v>
      </c>
      <c r="V342" t="s">
        <v>93</v>
      </c>
      <c r="W342" t="s">
        <v>633</v>
      </c>
      <c r="X342">
        <v>10</v>
      </c>
      <c r="Y342">
        <v>9</v>
      </c>
      <c r="Z342" t="s">
        <v>630</v>
      </c>
      <c r="AA342" t="s">
        <v>631</v>
      </c>
      <c r="AB342" t="s">
        <v>96</v>
      </c>
      <c r="AC342" t="s">
        <v>97</v>
      </c>
      <c r="AD342" t="s">
        <v>142</v>
      </c>
      <c r="AG342" t="s">
        <v>632</v>
      </c>
      <c r="AH342">
        <v>0</v>
      </c>
      <c r="AI342">
        <v>559</v>
      </c>
      <c r="AJ342">
        <v>79</v>
      </c>
      <c r="AK342">
        <v>21</v>
      </c>
      <c r="AL342">
        <v>1.1100000000000001</v>
      </c>
    </row>
    <row r="343" spans="1:38" x14ac:dyDescent="0.3">
      <c r="A343" t="s">
        <v>136</v>
      </c>
      <c r="B343">
        <v>122709</v>
      </c>
      <c r="C343">
        <v>4</v>
      </c>
      <c r="D343" t="s">
        <v>629</v>
      </c>
      <c r="E343" t="s">
        <v>138</v>
      </c>
      <c r="F343">
        <v>19</v>
      </c>
      <c r="G343">
        <v>24.51</v>
      </c>
      <c r="H343">
        <v>81.03</v>
      </c>
      <c r="I343">
        <v>18.489999999999998</v>
      </c>
      <c r="J343">
        <v>61.13</v>
      </c>
      <c r="K343">
        <v>3</v>
      </c>
      <c r="T343">
        <v>3</v>
      </c>
      <c r="U343">
        <v>2</v>
      </c>
      <c r="V343" t="s">
        <v>93</v>
      </c>
      <c r="W343">
        <v>81</v>
      </c>
      <c r="X343">
        <v>10</v>
      </c>
      <c r="Y343">
        <v>9</v>
      </c>
      <c r="Z343" t="s">
        <v>630</v>
      </c>
      <c r="AA343" t="s">
        <v>631</v>
      </c>
      <c r="AB343" t="s">
        <v>96</v>
      </c>
      <c r="AC343" t="s">
        <v>97</v>
      </c>
      <c r="AD343" t="s">
        <v>142</v>
      </c>
      <c r="AG343" t="s">
        <v>632</v>
      </c>
      <c r="AH343">
        <v>0</v>
      </c>
      <c r="AI343">
        <v>559</v>
      </c>
      <c r="AJ343">
        <v>79</v>
      </c>
      <c r="AK343">
        <v>21</v>
      </c>
      <c r="AL343">
        <v>1.1100000000000001</v>
      </c>
    </row>
    <row r="344" spans="1:38" x14ac:dyDescent="0.3">
      <c r="A344" t="s">
        <v>136</v>
      </c>
      <c r="B344">
        <v>122709</v>
      </c>
      <c r="C344">
        <v>5</v>
      </c>
      <c r="D344" t="s">
        <v>629</v>
      </c>
      <c r="E344" t="s">
        <v>138</v>
      </c>
      <c r="F344">
        <v>19</v>
      </c>
      <c r="G344">
        <v>25.56</v>
      </c>
      <c r="H344">
        <v>84.5</v>
      </c>
      <c r="I344">
        <v>18.89</v>
      </c>
      <c r="J344">
        <v>62.46</v>
      </c>
      <c r="K344">
        <v>3</v>
      </c>
      <c r="T344">
        <v>3</v>
      </c>
      <c r="U344">
        <v>2</v>
      </c>
      <c r="V344" t="s">
        <v>93</v>
      </c>
      <c r="W344">
        <v>84</v>
      </c>
      <c r="X344">
        <v>10</v>
      </c>
      <c r="Y344">
        <v>9</v>
      </c>
      <c r="Z344" t="s">
        <v>630</v>
      </c>
      <c r="AA344" t="s">
        <v>631</v>
      </c>
      <c r="AB344" t="s">
        <v>96</v>
      </c>
      <c r="AC344" t="s">
        <v>97</v>
      </c>
      <c r="AD344" t="s">
        <v>142</v>
      </c>
      <c r="AG344" t="s">
        <v>632</v>
      </c>
      <c r="AH344">
        <v>0</v>
      </c>
      <c r="AI344">
        <v>559</v>
      </c>
      <c r="AJ344">
        <v>79</v>
      </c>
      <c r="AK344">
        <v>21</v>
      </c>
      <c r="AL344">
        <v>1.1100000000000001</v>
      </c>
    </row>
    <row r="345" spans="1:38" x14ac:dyDescent="0.3">
      <c r="A345" t="s">
        <v>136</v>
      </c>
      <c r="B345">
        <v>122709</v>
      </c>
      <c r="C345">
        <v>6</v>
      </c>
      <c r="D345" t="s">
        <v>629</v>
      </c>
      <c r="E345" t="s">
        <v>138</v>
      </c>
      <c r="F345">
        <v>19</v>
      </c>
      <c r="G345">
        <v>31.01</v>
      </c>
      <c r="H345">
        <v>102.52</v>
      </c>
      <c r="I345">
        <v>23.22</v>
      </c>
      <c r="J345">
        <v>76.78</v>
      </c>
      <c r="K345">
        <v>1</v>
      </c>
      <c r="T345">
        <v>3</v>
      </c>
      <c r="U345">
        <v>2</v>
      </c>
      <c r="V345" t="s">
        <v>93</v>
      </c>
      <c r="W345" t="s">
        <v>186</v>
      </c>
      <c r="X345">
        <v>10</v>
      </c>
      <c r="Y345">
        <v>9</v>
      </c>
      <c r="Z345" t="s">
        <v>630</v>
      </c>
      <c r="AA345" t="s">
        <v>631</v>
      </c>
      <c r="AB345" t="s">
        <v>96</v>
      </c>
      <c r="AC345" t="s">
        <v>97</v>
      </c>
      <c r="AD345" t="s">
        <v>142</v>
      </c>
      <c r="AG345" t="s">
        <v>632</v>
      </c>
      <c r="AH345">
        <v>0</v>
      </c>
      <c r="AI345">
        <v>559</v>
      </c>
      <c r="AJ345">
        <v>79</v>
      </c>
      <c r="AK345">
        <v>21</v>
      </c>
      <c r="AL345">
        <v>1.1100000000000001</v>
      </c>
    </row>
    <row r="346" spans="1:38" x14ac:dyDescent="0.3">
      <c r="A346" t="s">
        <v>136</v>
      </c>
      <c r="B346">
        <v>122709</v>
      </c>
      <c r="C346">
        <v>7</v>
      </c>
      <c r="D346" t="s">
        <v>629</v>
      </c>
      <c r="E346" t="s">
        <v>138</v>
      </c>
      <c r="F346">
        <v>19</v>
      </c>
      <c r="G346">
        <v>31.07</v>
      </c>
      <c r="H346">
        <v>102.74</v>
      </c>
      <c r="I346">
        <v>23.25</v>
      </c>
      <c r="J346">
        <v>76.86</v>
      </c>
      <c r="K346">
        <v>1</v>
      </c>
      <c r="T346">
        <v>3</v>
      </c>
      <c r="U346">
        <v>2</v>
      </c>
      <c r="V346" t="s">
        <v>93</v>
      </c>
      <c r="W346" t="s">
        <v>634</v>
      </c>
      <c r="X346">
        <v>10</v>
      </c>
      <c r="Y346">
        <v>9</v>
      </c>
      <c r="Z346" t="s">
        <v>630</v>
      </c>
      <c r="AA346" t="s">
        <v>631</v>
      </c>
      <c r="AB346" t="s">
        <v>96</v>
      </c>
      <c r="AC346" t="s">
        <v>97</v>
      </c>
      <c r="AD346" t="s">
        <v>142</v>
      </c>
      <c r="AG346" t="s">
        <v>632</v>
      </c>
      <c r="AH346">
        <v>0</v>
      </c>
      <c r="AI346">
        <v>559</v>
      </c>
      <c r="AJ346">
        <v>79</v>
      </c>
      <c r="AK346">
        <v>21</v>
      </c>
      <c r="AL346">
        <v>1.1100000000000001</v>
      </c>
    </row>
    <row r="347" spans="1:38" x14ac:dyDescent="0.3">
      <c r="A347" t="s">
        <v>136</v>
      </c>
      <c r="B347">
        <v>122709</v>
      </c>
      <c r="C347">
        <v>8</v>
      </c>
      <c r="D347" t="s">
        <v>629</v>
      </c>
      <c r="E347" t="s">
        <v>138</v>
      </c>
      <c r="F347">
        <v>19</v>
      </c>
      <c r="G347">
        <v>31.42</v>
      </c>
      <c r="H347">
        <v>103.87</v>
      </c>
      <c r="I347">
        <v>23.55</v>
      </c>
      <c r="J347">
        <v>77.88</v>
      </c>
      <c r="K347">
        <v>1</v>
      </c>
      <c r="T347">
        <v>3</v>
      </c>
      <c r="U347">
        <v>2</v>
      </c>
      <c r="V347" t="s">
        <v>93</v>
      </c>
      <c r="W347" t="s">
        <v>635</v>
      </c>
      <c r="X347">
        <v>10</v>
      </c>
      <c r="Y347">
        <v>9</v>
      </c>
      <c r="Z347" t="s">
        <v>630</v>
      </c>
      <c r="AA347" t="s">
        <v>631</v>
      </c>
      <c r="AB347" t="s">
        <v>96</v>
      </c>
      <c r="AC347" t="s">
        <v>97</v>
      </c>
      <c r="AD347" t="s">
        <v>142</v>
      </c>
      <c r="AG347" t="s">
        <v>632</v>
      </c>
      <c r="AH347">
        <v>0</v>
      </c>
      <c r="AI347">
        <v>559</v>
      </c>
      <c r="AJ347">
        <v>79</v>
      </c>
      <c r="AK347">
        <v>21</v>
      </c>
      <c r="AL347">
        <v>1.1100000000000001</v>
      </c>
    </row>
    <row r="348" spans="1:38" x14ac:dyDescent="0.3">
      <c r="A348" t="s">
        <v>136</v>
      </c>
      <c r="B348">
        <v>122709</v>
      </c>
      <c r="C348">
        <v>9</v>
      </c>
      <c r="D348" t="s">
        <v>629</v>
      </c>
      <c r="E348" t="s">
        <v>138</v>
      </c>
      <c r="F348">
        <v>19</v>
      </c>
      <c r="G348">
        <v>32.299999999999997</v>
      </c>
      <c r="H348">
        <v>106.78</v>
      </c>
      <c r="I348">
        <v>24.21</v>
      </c>
      <c r="J348">
        <v>80.040000000000006</v>
      </c>
      <c r="K348">
        <v>1</v>
      </c>
      <c r="T348">
        <v>3</v>
      </c>
      <c r="U348">
        <v>2</v>
      </c>
      <c r="V348" t="s">
        <v>93</v>
      </c>
      <c r="W348">
        <v>106</v>
      </c>
      <c r="X348">
        <v>10</v>
      </c>
      <c r="Y348">
        <v>9</v>
      </c>
      <c r="Z348" t="s">
        <v>630</v>
      </c>
      <c r="AA348" t="s">
        <v>631</v>
      </c>
      <c r="AB348" t="s">
        <v>96</v>
      </c>
      <c r="AC348" t="s">
        <v>97</v>
      </c>
      <c r="AD348" t="s">
        <v>142</v>
      </c>
      <c r="AG348" t="s">
        <v>632</v>
      </c>
      <c r="AH348">
        <v>0</v>
      </c>
      <c r="AI348">
        <v>559</v>
      </c>
      <c r="AJ348">
        <v>79</v>
      </c>
      <c r="AK348">
        <v>21</v>
      </c>
      <c r="AL348">
        <v>1.1100000000000001</v>
      </c>
    </row>
    <row r="349" spans="1:38" x14ac:dyDescent="0.3">
      <c r="A349" t="s">
        <v>136</v>
      </c>
      <c r="B349">
        <v>8945</v>
      </c>
      <c r="C349">
        <v>1</v>
      </c>
      <c r="D349" t="s">
        <v>636</v>
      </c>
      <c r="E349" t="s">
        <v>637</v>
      </c>
      <c r="F349">
        <v>46</v>
      </c>
      <c r="G349">
        <v>18.29</v>
      </c>
      <c r="H349">
        <v>60.49</v>
      </c>
      <c r="I349">
        <v>15.33</v>
      </c>
      <c r="J349">
        <v>50.69</v>
      </c>
      <c r="K349">
        <v>30</v>
      </c>
      <c r="T349">
        <v>2</v>
      </c>
      <c r="U349">
        <v>1</v>
      </c>
      <c r="V349" t="s">
        <v>93</v>
      </c>
      <c r="W349" t="s">
        <v>179</v>
      </c>
      <c r="X349">
        <v>5</v>
      </c>
      <c r="Y349">
        <v>4</v>
      </c>
      <c r="Z349" t="s">
        <v>638</v>
      </c>
      <c r="AA349" t="s">
        <v>639</v>
      </c>
      <c r="AB349" t="s">
        <v>96</v>
      </c>
      <c r="AC349" t="s">
        <v>97</v>
      </c>
      <c r="AD349" t="s">
        <v>142</v>
      </c>
      <c r="AG349" t="s">
        <v>640</v>
      </c>
      <c r="AH349">
        <v>0</v>
      </c>
      <c r="AI349">
        <v>0</v>
      </c>
      <c r="AJ349">
        <v>0</v>
      </c>
      <c r="AK349">
        <v>46</v>
      </c>
      <c r="AL349">
        <v>1</v>
      </c>
    </row>
    <row r="350" spans="1:38" x14ac:dyDescent="0.3">
      <c r="A350" t="s">
        <v>136</v>
      </c>
      <c r="B350">
        <v>8945</v>
      </c>
      <c r="C350">
        <v>2</v>
      </c>
      <c r="D350" t="s">
        <v>636</v>
      </c>
      <c r="E350" t="s">
        <v>637</v>
      </c>
      <c r="F350">
        <v>46</v>
      </c>
      <c r="G350">
        <v>18.239999999999998</v>
      </c>
      <c r="H350">
        <v>60.32</v>
      </c>
      <c r="I350">
        <v>14.69</v>
      </c>
      <c r="J350">
        <v>48.59</v>
      </c>
      <c r="K350">
        <v>16</v>
      </c>
      <c r="T350">
        <v>3</v>
      </c>
      <c r="U350">
        <v>1</v>
      </c>
      <c r="V350" t="s">
        <v>93</v>
      </c>
      <c r="W350" t="s">
        <v>254</v>
      </c>
      <c r="X350">
        <v>5</v>
      </c>
      <c r="Y350">
        <v>4</v>
      </c>
      <c r="Z350" t="s">
        <v>638</v>
      </c>
      <c r="AA350" t="s">
        <v>639</v>
      </c>
      <c r="AB350" t="s">
        <v>96</v>
      </c>
      <c r="AC350" t="s">
        <v>97</v>
      </c>
      <c r="AD350" t="s">
        <v>142</v>
      </c>
      <c r="AG350" t="s">
        <v>640</v>
      </c>
      <c r="AH350">
        <v>0</v>
      </c>
      <c r="AI350">
        <v>0</v>
      </c>
      <c r="AJ350">
        <v>0</v>
      </c>
      <c r="AK350">
        <v>46</v>
      </c>
      <c r="AL350">
        <v>1</v>
      </c>
    </row>
    <row r="351" spans="1:38" x14ac:dyDescent="0.3">
      <c r="A351" t="s">
        <v>136</v>
      </c>
      <c r="B351">
        <v>107751</v>
      </c>
      <c r="C351">
        <v>1</v>
      </c>
      <c r="D351" t="s">
        <v>641</v>
      </c>
      <c r="E351" t="s">
        <v>642</v>
      </c>
      <c r="F351">
        <v>14</v>
      </c>
      <c r="G351">
        <v>25.65</v>
      </c>
      <c r="H351">
        <v>84.82</v>
      </c>
      <c r="I351">
        <v>21.13</v>
      </c>
      <c r="J351">
        <v>69.88</v>
      </c>
      <c r="K351">
        <v>14</v>
      </c>
      <c r="T351">
        <v>3</v>
      </c>
      <c r="U351">
        <v>2</v>
      </c>
      <c r="V351" t="s">
        <v>211</v>
      </c>
      <c r="W351">
        <v>84</v>
      </c>
      <c r="X351">
        <v>10</v>
      </c>
      <c r="Y351">
        <v>10</v>
      </c>
      <c r="Z351" t="s">
        <v>643</v>
      </c>
      <c r="AA351" t="s">
        <v>644</v>
      </c>
      <c r="AB351" t="s">
        <v>96</v>
      </c>
      <c r="AC351" t="s">
        <v>97</v>
      </c>
      <c r="AD351" t="s">
        <v>142</v>
      </c>
      <c r="AG351" t="s">
        <v>645</v>
      </c>
      <c r="AH351">
        <v>0</v>
      </c>
      <c r="AI351">
        <v>321</v>
      </c>
      <c r="AJ351">
        <v>46</v>
      </c>
      <c r="AK351">
        <v>17</v>
      </c>
      <c r="AL351">
        <v>1.21</v>
      </c>
    </row>
    <row r="352" spans="1:38" x14ac:dyDescent="0.3">
      <c r="A352" t="s">
        <v>136</v>
      </c>
      <c r="B352">
        <v>115203</v>
      </c>
      <c r="C352">
        <v>1</v>
      </c>
      <c r="D352" t="s">
        <v>646</v>
      </c>
      <c r="E352" t="s">
        <v>647</v>
      </c>
      <c r="F352">
        <v>54</v>
      </c>
      <c r="G352">
        <v>6.96</v>
      </c>
      <c r="H352">
        <v>23.01</v>
      </c>
      <c r="I352">
        <v>5.93</v>
      </c>
      <c r="J352">
        <v>19.61</v>
      </c>
      <c r="K352">
        <v>9</v>
      </c>
      <c r="T352">
        <v>1</v>
      </c>
      <c r="U352">
        <v>1</v>
      </c>
      <c r="V352" t="s">
        <v>132</v>
      </c>
      <c r="W352">
        <v>23</v>
      </c>
      <c r="X352">
        <v>6</v>
      </c>
      <c r="Y352">
        <v>4</v>
      </c>
      <c r="Z352" t="s">
        <v>648</v>
      </c>
      <c r="AA352" t="s">
        <v>649</v>
      </c>
      <c r="AB352" t="s">
        <v>96</v>
      </c>
      <c r="AC352" t="s">
        <v>97</v>
      </c>
      <c r="AD352" t="s">
        <v>142</v>
      </c>
      <c r="AG352" t="s">
        <v>650</v>
      </c>
      <c r="AH352">
        <v>0</v>
      </c>
      <c r="AI352">
        <v>0</v>
      </c>
      <c r="AJ352">
        <v>0</v>
      </c>
      <c r="AK352">
        <v>19</v>
      </c>
      <c r="AL352">
        <v>0.35</v>
      </c>
    </row>
    <row r="353" spans="1:38" x14ac:dyDescent="0.3">
      <c r="A353" t="s">
        <v>136</v>
      </c>
      <c r="B353">
        <v>115203</v>
      </c>
      <c r="C353">
        <v>2</v>
      </c>
      <c r="D353" t="s">
        <v>646</v>
      </c>
      <c r="E353" t="s">
        <v>647</v>
      </c>
      <c r="F353">
        <v>54</v>
      </c>
      <c r="G353">
        <v>7.81</v>
      </c>
      <c r="H353">
        <v>25.82</v>
      </c>
      <c r="I353">
        <v>6.65</v>
      </c>
      <c r="J353">
        <v>22</v>
      </c>
      <c r="K353">
        <v>6</v>
      </c>
      <c r="T353">
        <v>1</v>
      </c>
      <c r="U353">
        <v>1</v>
      </c>
      <c r="V353" t="s">
        <v>132</v>
      </c>
      <c r="W353" t="s">
        <v>651</v>
      </c>
      <c r="X353">
        <v>6</v>
      </c>
      <c r="Y353">
        <v>4</v>
      </c>
      <c r="Z353" t="s">
        <v>648</v>
      </c>
      <c r="AA353" t="s">
        <v>649</v>
      </c>
      <c r="AB353" t="s">
        <v>96</v>
      </c>
      <c r="AC353" t="s">
        <v>97</v>
      </c>
      <c r="AD353" t="s">
        <v>142</v>
      </c>
      <c r="AG353" t="s">
        <v>650</v>
      </c>
      <c r="AH353">
        <v>0</v>
      </c>
      <c r="AI353">
        <v>0</v>
      </c>
      <c r="AJ353">
        <v>0</v>
      </c>
      <c r="AK353">
        <v>19</v>
      </c>
      <c r="AL353">
        <v>0.35</v>
      </c>
    </row>
    <row r="354" spans="1:38" x14ac:dyDescent="0.3">
      <c r="A354" t="s">
        <v>136</v>
      </c>
      <c r="B354">
        <v>115203</v>
      </c>
      <c r="C354">
        <v>3</v>
      </c>
      <c r="D354" t="s">
        <v>646</v>
      </c>
      <c r="E354" t="s">
        <v>647</v>
      </c>
      <c r="F354">
        <v>54</v>
      </c>
      <c r="G354">
        <v>8.07</v>
      </c>
      <c r="H354">
        <v>26.69</v>
      </c>
      <c r="I354">
        <v>6.88</v>
      </c>
      <c r="J354">
        <v>22.75</v>
      </c>
      <c r="K354">
        <v>3</v>
      </c>
      <c r="T354">
        <v>1</v>
      </c>
      <c r="U354">
        <v>1</v>
      </c>
      <c r="V354" t="s">
        <v>132</v>
      </c>
      <c r="W354" t="s">
        <v>652</v>
      </c>
      <c r="X354">
        <v>6</v>
      </c>
      <c r="Y354">
        <v>4</v>
      </c>
      <c r="Z354" t="s">
        <v>648</v>
      </c>
      <c r="AA354" t="s">
        <v>649</v>
      </c>
      <c r="AB354" t="s">
        <v>96</v>
      </c>
      <c r="AC354" t="s">
        <v>97</v>
      </c>
      <c r="AD354" t="s">
        <v>142</v>
      </c>
      <c r="AG354" t="s">
        <v>650</v>
      </c>
      <c r="AH354">
        <v>0</v>
      </c>
      <c r="AI354">
        <v>0</v>
      </c>
      <c r="AJ354">
        <v>0</v>
      </c>
      <c r="AK354">
        <v>19</v>
      </c>
      <c r="AL354">
        <v>0.35</v>
      </c>
    </row>
    <row r="355" spans="1:38" x14ac:dyDescent="0.3">
      <c r="A355" t="s">
        <v>136</v>
      </c>
      <c r="B355">
        <v>115203</v>
      </c>
      <c r="C355">
        <v>4</v>
      </c>
      <c r="D355" t="s">
        <v>646</v>
      </c>
      <c r="E355" t="s">
        <v>647</v>
      </c>
      <c r="F355">
        <v>54</v>
      </c>
      <c r="G355">
        <v>8.75</v>
      </c>
      <c r="H355">
        <v>28.95</v>
      </c>
      <c r="I355">
        <v>7.18</v>
      </c>
      <c r="J355">
        <v>23.74</v>
      </c>
      <c r="K355">
        <v>12</v>
      </c>
      <c r="T355">
        <v>1</v>
      </c>
      <c r="U355">
        <v>1</v>
      </c>
      <c r="V355" t="s">
        <v>132</v>
      </c>
      <c r="W355" t="s">
        <v>653</v>
      </c>
      <c r="X355">
        <v>6</v>
      </c>
      <c r="Y355">
        <v>4</v>
      </c>
      <c r="Z355" t="s">
        <v>648</v>
      </c>
      <c r="AA355" t="s">
        <v>649</v>
      </c>
      <c r="AB355" t="s">
        <v>96</v>
      </c>
      <c r="AC355" t="s">
        <v>97</v>
      </c>
      <c r="AD355" t="s">
        <v>142</v>
      </c>
      <c r="AG355" t="s">
        <v>650</v>
      </c>
      <c r="AH355">
        <v>0</v>
      </c>
      <c r="AI355">
        <v>0</v>
      </c>
      <c r="AJ355">
        <v>0</v>
      </c>
      <c r="AK355">
        <v>19</v>
      </c>
      <c r="AL355">
        <v>0.35</v>
      </c>
    </row>
    <row r="356" spans="1:38" x14ac:dyDescent="0.3">
      <c r="A356" t="s">
        <v>136</v>
      </c>
      <c r="B356">
        <v>115203</v>
      </c>
      <c r="C356">
        <v>5</v>
      </c>
      <c r="D356" t="s">
        <v>646</v>
      </c>
      <c r="E356" t="s">
        <v>647</v>
      </c>
      <c r="F356">
        <v>54</v>
      </c>
      <c r="G356">
        <v>8.59</v>
      </c>
      <c r="H356">
        <v>28.42</v>
      </c>
      <c r="I356">
        <v>7.04</v>
      </c>
      <c r="J356">
        <v>23.3</v>
      </c>
      <c r="K356">
        <v>3</v>
      </c>
      <c r="T356">
        <v>1</v>
      </c>
      <c r="U356">
        <v>1</v>
      </c>
      <c r="V356" t="s">
        <v>132</v>
      </c>
      <c r="W356" t="s">
        <v>654</v>
      </c>
      <c r="X356">
        <v>6</v>
      </c>
      <c r="Y356">
        <v>4</v>
      </c>
      <c r="Z356" t="s">
        <v>648</v>
      </c>
      <c r="AA356" t="s">
        <v>649</v>
      </c>
      <c r="AB356" t="s">
        <v>96</v>
      </c>
      <c r="AC356" t="s">
        <v>97</v>
      </c>
      <c r="AD356" t="s">
        <v>142</v>
      </c>
      <c r="AG356" t="s">
        <v>650</v>
      </c>
      <c r="AH356">
        <v>0</v>
      </c>
      <c r="AI356">
        <v>0</v>
      </c>
      <c r="AJ356">
        <v>0</v>
      </c>
      <c r="AK356">
        <v>19</v>
      </c>
      <c r="AL356">
        <v>0.35</v>
      </c>
    </row>
    <row r="357" spans="1:38" x14ac:dyDescent="0.3">
      <c r="A357" t="s">
        <v>136</v>
      </c>
      <c r="B357">
        <v>115203</v>
      </c>
      <c r="C357">
        <v>6</v>
      </c>
      <c r="D357" t="s">
        <v>646</v>
      </c>
      <c r="E357" t="s">
        <v>647</v>
      </c>
      <c r="F357">
        <v>54</v>
      </c>
      <c r="G357">
        <v>8.99</v>
      </c>
      <c r="H357">
        <v>29.72</v>
      </c>
      <c r="I357">
        <v>7.26</v>
      </c>
      <c r="J357">
        <v>24</v>
      </c>
      <c r="K357">
        <v>3</v>
      </c>
      <c r="T357">
        <v>1</v>
      </c>
      <c r="U357">
        <v>1</v>
      </c>
      <c r="V357" t="s">
        <v>132</v>
      </c>
      <c r="W357" t="s">
        <v>655</v>
      </c>
      <c r="X357">
        <v>6</v>
      </c>
      <c r="Y357">
        <v>4</v>
      </c>
      <c r="Z357" t="s">
        <v>648</v>
      </c>
      <c r="AA357" t="s">
        <v>649</v>
      </c>
      <c r="AB357" t="s">
        <v>96</v>
      </c>
      <c r="AC357" t="s">
        <v>97</v>
      </c>
      <c r="AD357" t="s">
        <v>142</v>
      </c>
      <c r="AG357" t="s">
        <v>650</v>
      </c>
      <c r="AH357">
        <v>0</v>
      </c>
      <c r="AI357">
        <v>0</v>
      </c>
      <c r="AJ357">
        <v>0</v>
      </c>
      <c r="AK357">
        <v>19</v>
      </c>
      <c r="AL357">
        <v>0.35</v>
      </c>
    </row>
    <row r="358" spans="1:38" x14ac:dyDescent="0.3">
      <c r="A358" t="s">
        <v>136</v>
      </c>
      <c r="B358">
        <v>115203</v>
      </c>
      <c r="C358">
        <v>7</v>
      </c>
      <c r="D358" t="s">
        <v>646</v>
      </c>
      <c r="E358" t="s">
        <v>647</v>
      </c>
      <c r="F358">
        <v>54</v>
      </c>
      <c r="G358">
        <v>8.91</v>
      </c>
      <c r="H358">
        <v>29.46</v>
      </c>
      <c r="I358">
        <v>7.3</v>
      </c>
      <c r="J358">
        <v>24.15</v>
      </c>
      <c r="K358">
        <v>3</v>
      </c>
      <c r="T358">
        <v>1</v>
      </c>
      <c r="U358">
        <v>1</v>
      </c>
      <c r="V358" t="s">
        <v>132</v>
      </c>
      <c r="W358" t="s">
        <v>656</v>
      </c>
      <c r="X358">
        <v>6</v>
      </c>
      <c r="Y358">
        <v>4</v>
      </c>
      <c r="Z358" t="s">
        <v>648</v>
      </c>
      <c r="AA358" t="s">
        <v>649</v>
      </c>
      <c r="AB358" t="s">
        <v>96</v>
      </c>
      <c r="AC358" t="s">
        <v>97</v>
      </c>
      <c r="AD358" t="s">
        <v>142</v>
      </c>
      <c r="AG358" t="s">
        <v>650</v>
      </c>
      <c r="AH358">
        <v>0</v>
      </c>
      <c r="AI358">
        <v>0</v>
      </c>
      <c r="AJ358">
        <v>0</v>
      </c>
      <c r="AK358">
        <v>19</v>
      </c>
      <c r="AL358">
        <v>0.35</v>
      </c>
    </row>
    <row r="359" spans="1:38" x14ac:dyDescent="0.3">
      <c r="A359" t="s">
        <v>136</v>
      </c>
      <c r="B359">
        <v>115203</v>
      </c>
      <c r="C359">
        <v>8</v>
      </c>
      <c r="D359" t="s">
        <v>646</v>
      </c>
      <c r="E359" t="s">
        <v>647</v>
      </c>
      <c r="F359">
        <v>54</v>
      </c>
      <c r="G359">
        <v>9.18</v>
      </c>
      <c r="H359">
        <v>30.35</v>
      </c>
      <c r="I359">
        <v>7.42</v>
      </c>
      <c r="J359">
        <v>24.54</v>
      </c>
      <c r="K359">
        <v>12</v>
      </c>
      <c r="T359">
        <v>1</v>
      </c>
      <c r="U359">
        <v>1</v>
      </c>
      <c r="V359" t="s">
        <v>132</v>
      </c>
      <c r="W359" t="s">
        <v>657</v>
      </c>
      <c r="X359">
        <v>6</v>
      </c>
      <c r="Y359">
        <v>4</v>
      </c>
      <c r="Z359" t="s">
        <v>648</v>
      </c>
      <c r="AA359" t="s">
        <v>649</v>
      </c>
      <c r="AB359" t="s">
        <v>96</v>
      </c>
      <c r="AC359" t="s">
        <v>97</v>
      </c>
      <c r="AD359" t="s">
        <v>142</v>
      </c>
      <c r="AG359" t="s">
        <v>650</v>
      </c>
      <c r="AH359">
        <v>0</v>
      </c>
      <c r="AI359">
        <v>0</v>
      </c>
      <c r="AJ359">
        <v>0</v>
      </c>
      <c r="AK359">
        <v>19</v>
      </c>
      <c r="AL359">
        <v>0.35</v>
      </c>
    </row>
    <row r="360" spans="1:38" x14ac:dyDescent="0.3">
      <c r="A360" t="s">
        <v>136</v>
      </c>
      <c r="B360">
        <v>115203</v>
      </c>
      <c r="C360">
        <v>9</v>
      </c>
      <c r="D360" t="s">
        <v>646</v>
      </c>
      <c r="E360" t="s">
        <v>647</v>
      </c>
      <c r="F360">
        <v>54</v>
      </c>
      <c r="G360">
        <v>9.36</v>
      </c>
      <c r="H360">
        <v>30.95</v>
      </c>
      <c r="I360">
        <v>7.56</v>
      </c>
      <c r="J360">
        <v>25.02</v>
      </c>
      <c r="K360">
        <v>3</v>
      </c>
      <c r="T360">
        <v>1</v>
      </c>
      <c r="U360">
        <v>1</v>
      </c>
      <c r="V360" t="s">
        <v>132</v>
      </c>
      <c r="W360" t="s">
        <v>658</v>
      </c>
      <c r="X360">
        <v>6</v>
      </c>
      <c r="Y360">
        <v>4</v>
      </c>
      <c r="Z360" t="s">
        <v>648</v>
      </c>
      <c r="AA360" t="s">
        <v>649</v>
      </c>
      <c r="AB360" t="s">
        <v>96</v>
      </c>
      <c r="AC360" t="s">
        <v>97</v>
      </c>
      <c r="AD360" t="s">
        <v>142</v>
      </c>
      <c r="AG360" t="s">
        <v>650</v>
      </c>
      <c r="AH360">
        <v>0</v>
      </c>
      <c r="AI360">
        <v>0</v>
      </c>
      <c r="AJ360">
        <v>0</v>
      </c>
      <c r="AK360">
        <v>19</v>
      </c>
      <c r="AL360">
        <v>0.35</v>
      </c>
    </row>
    <row r="361" spans="1:38" x14ac:dyDescent="0.3">
      <c r="A361" t="s">
        <v>136</v>
      </c>
      <c r="B361">
        <v>8952</v>
      </c>
      <c r="C361">
        <v>1</v>
      </c>
      <c r="D361" t="s">
        <v>659</v>
      </c>
      <c r="E361" t="s">
        <v>281</v>
      </c>
      <c r="F361">
        <v>180</v>
      </c>
      <c r="G361">
        <v>23.23</v>
      </c>
      <c r="H361">
        <v>76.819999999999993</v>
      </c>
      <c r="I361">
        <v>19.61</v>
      </c>
      <c r="J361">
        <v>64.849999999999994</v>
      </c>
      <c r="K361">
        <v>170</v>
      </c>
      <c r="T361">
        <v>3</v>
      </c>
      <c r="U361">
        <v>1</v>
      </c>
      <c r="V361" t="s">
        <v>93</v>
      </c>
      <c r="W361">
        <v>76</v>
      </c>
      <c r="X361">
        <v>5</v>
      </c>
      <c r="Y361">
        <v>5</v>
      </c>
      <c r="Z361" t="s">
        <v>660</v>
      </c>
      <c r="AA361" t="s">
        <v>661</v>
      </c>
      <c r="AB361" t="s">
        <v>96</v>
      </c>
      <c r="AC361" t="s">
        <v>97</v>
      </c>
      <c r="AD361" t="s">
        <v>142</v>
      </c>
      <c r="AG361" t="s">
        <v>662</v>
      </c>
      <c r="AH361">
        <v>0</v>
      </c>
      <c r="AI361">
        <v>152</v>
      </c>
      <c r="AJ361">
        <v>30</v>
      </c>
      <c r="AK361">
        <v>0</v>
      </c>
      <c r="AL361">
        <v>0</v>
      </c>
    </row>
    <row r="362" spans="1:38" x14ac:dyDescent="0.3">
      <c r="A362" t="s">
        <v>136</v>
      </c>
      <c r="B362">
        <v>8952</v>
      </c>
      <c r="C362">
        <v>2</v>
      </c>
      <c r="D362" t="s">
        <v>659</v>
      </c>
      <c r="E362" t="s">
        <v>281</v>
      </c>
      <c r="F362">
        <v>180</v>
      </c>
      <c r="G362">
        <v>25.26</v>
      </c>
      <c r="H362">
        <v>83.52</v>
      </c>
      <c r="I362">
        <v>21.25</v>
      </c>
      <c r="J362">
        <v>70.25</v>
      </c>
      <c r="K362">
        <v>10</v>
      </c>
      <c r="T362">
        <v>3</v>
      </c>
      <c r="U362">
        <v>1</v>
      </c>
      <c r="V362" t="s">
        <v>93</v>
      </c>
      <c r="W362">
        <v>83</v>
      </c>
      <c r="X362">
        <v>5</v>
      </c>
      <c r="Y362">
        <v>5</v>
      </c>
      <c r="Z362" t="s">
        <v>660</v>
      </c>
      <c r="AA362" t="s">
        <v>661</v>
      </c>
      <c r="AB362" t="s">
        <v>96</v>
      </c>
      <c r="AC362" t="s">
        <v>97</v>
      </c>
      <c r="AD362" t="s">
        <v>142</v>
      </c>
      <c r="AG362" t="s">
        <v>662</v>
      </c>
      <c r="AH362">
        <v>0</v>
      </c>
      <c r="AI362">
        <v>152</v>
      </c>
      <c r="AJ362">
        <v>30</v>
      </c>
      <c r="AK362">
        <v>0</v>
      </c>
      <c r="AL362">
        <v>0</v>
      </c>
    </row>
    <row r="363" spans="1:38" x14ac:dyDescent="0.3">
      <c r="A363" t="s">
        <v>663</v>
      </c>
      <c r="B363">
        <v>23294</v>
      </c>
      <c r="C363">
        <v>1</v>
      </c>
      <c r="D363" t="s">
        <v>664</v>
      </c>
      <c r="E363" t="s">
        <v>665</v>
      </c>
      <c r="F363">
        <v>10</v>
      </c>
      <c r="G363">
        <v>32.44</v>
      </c>
      <c r="H363">
        <v>107.27</v>
      </c>
      <c r="I363">
        <v>27.88</v>
      </c>
      <c r="J363">
        <v>92.19</v>
      </c>
      <c r="K363">
        <v>5</v>
      </c>
      <c r="T363">
        <v>3</v>
      </c>
      <c r="U363">
        <v>2</v>
      </c>
      <c r="V363" t="s">
        <v>211</v>
      </c>
      <c r="W363">
        <v>107</v>
      </c>
      <c r="X363">
        <v>5</v>
      </c>
      <c r="Y363">
        <v>5</v>
      </c>
      <c r="Z363" t="s">
        <v>666</v>
      </c>
      <c r="AA363" t="s">
        <v>667</v>
      </c>
      <c r="AB363" t="s">
        <v>96</v>
      </c>
      <c r="AC363" t="s">
        <v>97</v>
      </c>
      <c r="AD363" t="s">
        <v>668</v>
      </c>
      <c r="AG363" t="s">
        <v>669</v>
      </c>
      <c r="AH363">
        <v>0</v>
      </c>
      <c r="AI363">
        <v>285</v>
      </c>
      <c r="AJ363">
        <v>59</v>
      </c>
      <c r="AK363">
        <v>10</v>
      </c>
      <c r="AL363">
        <v>1</v>
      </c>
    </row>
    <row r="364" spans="1:38" x14ac:dyDescent="0.3">
      <c r="A364" t="s">
        <v>663</v>
      </c>
      <c r="B364">
        <v>23294</v>
      </c>
      <c r="C364">
        <v>2</v>
      </c>
      <c r="D364" t="s">
        <v>664</v>
      </c>
      <c r="E364" t="s">
        <v>665</v>
      </c>
      <c r="F364">
        <v>10</v>
      </c>
      <c r="G364">
        <v>33.04</v>
      </c>
      <c r="H364">
        <v>109.23</v>
      </c>
      <c r="I364">
        <v>28.39</v>
      </c>
      <c r="J364">
        <v>93.87</v>
      </c>
      <c r="K364">
        <v>5</v>
      </c>
      <c r="T364">
        <v>3</v>
      </c>
      <c r="U364">
        <v>2</v>
      </c>
      <c r="V364" t="s">
        <v>93</v>
      </c>
      <c r="W364">
        <v>109</v>
      </c>
      <c r="X364">
        <v>5</v>
      </c>
      <c r="Y364">
        <v>5</v>
      </c>
      <c r="Z364" t="s">
        <v>666</v>
      </c>
      <c r="AA364" t="s">
        <v>667</v>
      </c>
      <c r="AB364" t="s">
        <v>96</v>
      </c>
      <c r="AC364" t="s">
        <v>97</v>
      </c>
      <c r="AD364" t="s">
        <v>668</v>
      </c>
      <c r="AG364" t="s">
        <v>669</v>
      </c>
      <c r="AH364">
        <v>0</v>
      </c>
      <c r="AI364">
        <v>285</v>
      </c>
      <c r="AJ364">
        <v>59</v>
      </c>
      <c r="AK364">
        <v>10</v>
      </c>
      <c r="AL364">
        <v>1</v>
      </c>
    </row>
    <row r="365" spans="1:38" x14ac:dyDescent="0.3">
      <c r="A365" t="s">
        <v>663</v>
      </c>
      <c r="B365">
        <v>119243</v>
      </c>
      <c r="C365">
        <v>1</v>
      </c>
      <c r="D365" t="s">
        <v>670</v>
      </c>
      <c r="E365" t="s">
        <v>671</v>
      </c>
      <c r="F365">
        <v>12</v>
      </c>
      <c r="G365">
        <v>28.04</v>
      </c>
      <c r="H365">
        <v>92.7</v>
      </c>
      <c r="I365">
        <v>23.46</v>
      </c>
      <c r="J365">
        <v>77.58</v>
      </c>
      <c r="K365">
        <v>2</v>
      </c>
      <c r="T365">
        <v>3</v>
      </c>
      <c r="U365">
        <v>2</v>
      </c>
      <c r="V365" t="s">
        <v>93</v>
      </c>
      <c r="W365">
        <v>92</v>
      </c>
      <c r="X365">
        <v>7</v>
      </c>
      <c r="Y365">
        <v>7</v>
      </c>
      <c r="Z365" t="s">
        <v>672</v>
      </c>
      <c r="AA365" t="s">
        <v>673</v>
      </c>
      <c r="AB365" t="s">
        <v>96</v>
      </c>
      <c r="AC365" t="s">
        <v>97</v>
      </c>
      <c r="AD365" t="s">
        <v>668</v>
      </c>
      <c r="AG365" t="s">
        <v>674</v>
      </c>
      <c r="AH365">
        <v>0</v>
      </c>
      <c r="AI365">
        <v>239</v>
      </c>
      <c r="AJ365">
        <v>42</v>
      </c>
      <c r="AK365">
        <v>15</v>
      </c>
      <c r="AL365">
        <v>1.25</v>
      </c>
    </row>
    <row r="366" spans="1:38" x14ac:dyDescent="0.3">
      <c r="A366" t="s">
        <v>663</v>
      </c>
      <c r="B366">
        <v>119243</v>
      </c>
      <c r="C366">
        <v>2</v>
      </c>
      <c r="D366" t="s">
        <v>670</v>
      </c>
      <c r="E366" t="s">
        <v>671</v>
      </c>
      <c r="F366">
        <v>12</v>
      </c>
      <c r="G366">
        <v>32.049999999999997</v>
      </c>
      <c r="H366">
        <v>105.96</v>
      </c>
      <c r="I366">
        <v>26.82</v>
      </c>
      <c r="J366">
        <v>88.68</v>
      </c>
      <c r="K366">
        <v>10</v>
      </c>
      <c r="T366">
        <v>3</v>
      </c>
      <c r="U366">
        <v>2</v>
      </c>
      <c r="V366" t="s">
        <v>93</v>
      </c>
      <c r="W366">
        <v>105</v>
      </c>
      <c r="X366">
        <v>7</v>
      </c>
      <c r="Y366">
        <v>7</v>
      </c>
      <c r="Z366" t="s">
        <v>672</v>
      </c>
      <c r="AA366" t="s">
        <v>673</v>
      </c>
      <c r="AB366" t="s">
        <v>96</v>
      </c>
      <c r="AC366" t="s">
        <v>97</v>
      </c>
      <c r="AD366" t="s">
        <v>668</v>
      </c>
      <c r="AG366" t="s">
        <v>674</v>
      </c>
      <c r="AH366">
        <v>0</v>
      </c>
      <c r="AI366">
        <v>239</v>
      </c>
      <c r="AJ366">
        <v>42</v>
      </c>
      <c r="AK366">
        <v>15</v>
      </c>
      <c r="AL366">
        <v>1.25</v>
      </c>
    </row>
    <row r="367" spans="1:38" x14ac:dyDescent="0.3">
      <c r="A367" t="s">
        <v>663</v>
      </c>
      <c r="B367">
        <v>8709</v>
      </c>
      <c r="C367">
        <v>1</v>
      </c>
      <c r="D367" t="s">
        <v>675</v>
      </c>
      <c r="E367" t="s">
        <v>676</v>
      </c>
      <c r="F367">
        <v>105</v>
      </c>
      <c r="G367">
        <v>24.7</v>
      </c>
      <c r="H367">
        <v>81.680000000000007</v>
      </c>
      <c r="I367">
        <v>17.989999999999998</v>
      </c>
      <c r="J367">
        <v>59.5</v>
      </c>
      <c r="K367">
        <v>105</v>
      </c>
      <c r="T367">
        <v>3</v>
      </c>
      <c r="U367">
        <v>1</v>
      </c>
      <c r="V367" t="s">
        <v>132</v>
      </c>
      <c r="W367">
        <v>81</v>
      </c>
      <c r="X367">
        <v>13</v>
      </c>
      <c r="Y367">
        <v>8</v>
      </c>
      <c r="Z367" t="s">
        <v>677</v>
      </c>
      <c r="AA367" t="s">
        <v>678</v>
      </c>
      <c r="AB367" t="s">
        <v>96</v>
      </c>
      <c r="AC367" t="s">
        <v>97</v>
      </c>
      <c r="AD367" t="s">
        <v>668</v>
      </c>
      <c r="AG367" t="s">
        <v>679</v>
      </c>
      <c r="AH367">
        <v>0</v>
      </c>
      <c r="AI367">
        <v>251</v>
      </c>
      <c r="AJ367">
        <v>27</v>
      </c>
      <c r="AK367">
        <v>106</v>
      </c>
      <c r="AL367">
        <v>1.01</v>
      </c>
    </row>
    <row r="368" spans="1:38" x14ac:dyDescent="0.3">
      <c r="A368" t="s">
        <v>663</v>
      </c>
      <c r="B368">
        <v>8708</v>
      </c>
      <c r="C368">
        <v>1</v>
      </c>
      <c r="D368" t="s">
        <v>680</v>
      </c>
      <c r="E368" t="s">
        <v>681</v>
      </c>
      <c r="F368">
        <v>104</v>
      </c>
      <c r="G368">
        <v>25.05</v>
      </c>
      <c r="H368">
        <v>82.83</v>
      </c>
      <c r="I368">
        <v>18.11</v>
      </c>
      <c r="J368">
        <v>59.89</v>
      </c>
      <c r="K368">
        <v>104</v>
      </c>
      <c r="T368">
        <v>3</v>
      </c>
      <c r="U368">
        <v>1</v>
      </c>
      <c r="V368" t="s">
        <v>132</v>
      </c>
      <c r="W368">
        <v>82</v>
      </c>
      <c r="X368">
        <v>14</v>
      </c>
      <c r="Y368">
        <v>8</v>
      </c>
      <c r="Z368" t="s">
        <v>682</v>
      </c>
      <c r="AA368" t="s">
        <v>683</v>
      </c>
      <c r="AB368" t="s">
        <v>96</v>
      </c>
      <c r="AC368" t="s">
        <v>97</v>
      </c>
      <c r="AD368" t="s">
        <v>668</v>
      </c>
      <c r="AG368" t="s">
        <v>684</v>
      </c>
      <c r="AH368">
        <v>0</v>
      </c>
      <c r="AI368">
        <v>265</v>
      </c>
      <c r="AJ368">
        <v>26</v>
      </c>
      <c r="AK368">
        <v>62</v>
      </c>
      <c r="AL368">
        <v>0.6</v>
      </c>
    </row>
    <row r="369" spans="1:38" x14ac:dyDescent="0.3">
      <c r="A369" t="s">
        <v>685</v>
      </c>
      <c r="B369">
        <v>109033</v>
      </c>
      <c r="C369">
        <v>1</v>
      </c>
      <c r="D369" t="s">
        <v>686</v>
      </c>
      <c r="E369" t="s">
        <v>343</v>
      </c>
      <c r="F369">
        <v>15</v>
      </c>
      <c r="G369">
        <v>17.16</v>
      </c>
      <c r="H369">
        <v>56.75</v>
      </c>
      <c r="I369">
        <v>15.22</v>
      </c>
      <c r="J369">
        <v>50.33</v>
      </c>
      <c r="K369">
        <v>2</v>
      </c>
      <c r="T369">
        <v>2</v>
      </c>
      <c r="U369">
        <v>1</v>
      </c>
      <c r="V369" t="s">
        <v>93</v>
      </c>
      <c r="W369" t="s">
        <v>687</v>
      </c>
      <c r="X369">
        <v>6</v>
      </c>
      <c r="Y369">
        <v>6</v>
      </c>
      <c r="Z369" t="s">
        <v>688</v>
      </c>
      <c r="AA369" t="s">
        <v>689</v>
      </c>
      <c r="AB369" t="s">
        <v>96</v>
      </c>
      <c r="AC369" t="s">
        <v>97</v>
      </c>
      <c r="AD369" t="s">
        <v>690</v>
      </c>
      <c r="AG369" t="s">
        <v>691</v>
      </c>
      <c r="AH369">
        <v>0</v>
      </c>
      <c r="AI369">
        <v>358</v>
      </c>
      <c r="AJ369">
        <v>79</v>
      </c>
      <c r="AK369">
        <v>7</v>
      </c>
      <c r="AL369">
        <v>0.47</v>
      </c>
    </row>
    <row r="370" spans="1:38" x14ac:dyDescent="0.3">
      <c r="A370" t="s">
        <v>685</v>
      </c>
      <c r="B370">
        <v>109033</v>
      </c>
      <c r="C370">
        <v>2</v>
      </c>
      <c r="D370" t="s">
        <v>686</v>
      </c>
      <c r="E370" t="s">
        <v>343</v>
      </c>
      <c r="F370">
        <v>15</v>
      </c>
      <c r="G370">
        <v>17.47</v>
      </c>
      <c r="H370">
        <v>57.77</v>
      </c>
      <c r="I370">
        <v>15.54</v>
      </c>
      <c r="J370">
        <v>51.38</v>
      </c>
      <c r="K370">
        <v>8</v>
      </c>
      <c r="T370">
        <v>3</v>
      </c>
      <c r="U370">
        <v>1</v>
      </c>
      <c r="V370" t="s">
        <v>93</v>
      </c>
      <c r="W370" t="s">
        <v>349</v>
      </c>
      <c r="X370">
        <v>6</v>
      </c>
      <c r="Y370">
        <v>6</v>
      </c>
      <c r="Z370" t="s">
        <v>688</v>
      </c>
      <c r="AA370" t="s">
        <v>689</v>
      </c>
      <c r="AB370" t="s">
        <v>96</v>
      </c>
      <c r="AC370" t="s">
        <v>97</v>
      </c>
      <c r="AD370" t="s">
        <v>690</v>
      </c>
      <c r="AG370" t="s">
        <v>691</v>
      </c>
      <c r="AH370">
        <v>0</v>
      </c>
      <c r="AI370">
        <v>358</v>
      </c>
      <c r="AJ370">
        <v>79</v>
      </c>
      <c r="AK370">
        <v>7</v>
      </c>
      <c r="AL370">
        <v>0.47</v>
      </c>
    </row>
    <row r="371" spans="1:38" x14ac:dyDescent="0.3">
      <c r="A371" t="s">
        <v>685</v>
      </c>
      <c r="B371">
        <v>109033</v>
      </c>
      <c r="C371">
        <v>3</v>
      </c>
      <c r="D371" t="s">
        <v>686</v>
      </c>
      <c r="E371" t="s">
        <v>343</v>
      </c>
      <c r="F371">
        <v>15</v>
      </c>
      <c r="G371">
        <v>18.11</v>
      </c>
      <c r="H371">
        <v>59.89</v>
      </c>
      <c r="I371">
        <v>16.059999999999999</v>
      </c>
      <c r="J371">
        <v>53.12</v>
      </c>
      <c r="K371">
        <v>5</v>
      </c>
      <c r="T371">
        <v>2</v>
      </c>
      <c r="U371">
        <v>1</v>
      </c>
      <c r="V371" t="s">
        <v>93</v>
      </c>
      <c r="W371">
        <v>59</v>
      </c>
      <c r="X371">
        <v>6</v>
      </c>
      <c r="Y371">
        <v>6</v>
      </c>
      <c r="Z371" t="s">
        <v>688</v>
      </c>
      <c r="AA371" t="s">
        <v>689</v>
      </c>
      <c r="AB371" t="s">
        <v>96</v>
      </c>
      <c r="AC371" t="s">
        <v>97</v>
      </c>
      <c r="AD371" t="s">
        <v>690</v>
      </c>
      <c r="AG371" t="s">
        <v>691</v>
      </c>
      <c r="AH371">
        <v>0</v>
      </c>
      <c r="AI371">
        <v>358</v>
      </c>
      <c r="AJ371">
        <v>79</v>
      </c>
      <c r="AK371">
        <v>7</v>
      </c>
      <c r="AL371">
        <v>0.47</v>
      </c>
    </row>
    <row r="372" spans="1:38" x14ac:dyDescent="0.3">
      <c r="A372" t="s">
        <v>685</v>
      </c>
      <c r="B372">
        <v>123718</v>
      </c>
      <c r="C372">
        <v>1</v>
      </c>
      <c r="D372" t="s">
        <v>692</v>
      </c>
      <c r="E372" t="s">
        <v>348</v>
      </c>
      <c r="F372">
        <v>27</v>
      </c>
      <c r="G372">
        <v>18.54</v>
      </c>
      <c r="H372">
        <v>61.29</v>
      </c>
      <c r="I372">
        <v>15.03</v>
      </c>
      <c r="J372">
        <v>49.71</v>
      </c>
      <c r="K372">
        <v>9</v>
      </c>
      <c r="T372">
        <v>2</v>
      </c>
      <c r="U372">
        <v>1</v>
      </c>
      <c r="V372" t="s">
        <v>93</v>
      </c>
      <c r="W372" t="s">
        <v>693</v>
      </c>
      <c r="X372">
        <v>14</v>
      </c>
      <c r="Y372">
        <v>14</v>
      </c>
      <c r="Z372" t="s">
        <v>694</v>
      </c>
      <c r="AA372" t="s">
        <v>695</v>
      </c>
      <c r="AB372" t="s">
        <v>96</v>
      </c>
      <c r="AC372" t="s">
        <v>97</v>
      </c>
      <c r="AD372" t="s">
        <v>690</v>
      </c>
      <c r="AG372" t="s">
        <v>696</v>
      </c>
      <c r="AH372">
        <v>0</v>
      </c>
      <c r="AI372">
        <v>697</v>
      </c>
      <c r="AJ372">
        <v>74</v>
      </c>
      <c r="AK372">
        <v>20</v>
      </c>
      <c r="AL372">
        <v>0.74</v>
      </c>
    </row>
    <row r="373" spans="1:38" x14ac:dyDescent="0.3">
      <c r="A373" t="s">
        <v>685</v>
      </c>
      <c r="B373">
        <v>123718</v>
      </c>
      <c r="C373">
        <v>2</v>
      </c>
      <c r="D373" t="s">
        <v>692</v>
      </c>
      <c r="E373" t="s">
        <v>348</v>
      </c>
      <c r="F373">
        <v>27</v>
      </c>
      <c r="G373">
        <v>18.73</v>
      </c>
      <c r="H373">
        <v>61.94</v>
      </c>
      <c r="I373">
        <v>15.08</v>
      </c>
      <c r="J373">
        <v>49.88</v>
      </c>
      <c r="K373">
        <v>9</v>
      </c>
      <c r="T373">
        <v>2</v>
      </c>
      <c r="U373">
        <v>1</v>
      </c>
      <c r="V373" t="s">
        <v>93</v>
      </c>
      <c r="W373" t="s">
        <v>697</v>
      </c>
      <c r="X373">
        <v>14</v>
      </c>
      <c r="Y373">
        <v>14</v>
      </c>
      <c r="Z373" t="s">
        <v>694</v>
      </c>
      <c r="AA373" t="s">
        <v>695</v>
      </c>
      <c r="AB373" t="s">
        <v>96</v>
      </c>
      <c r="AC373" t="s">
        <v>97</v>
      </c>
      <c r="AD373" t="s">
        <v>690</v>
      </c>
      <c r="AG373" t="s">
        <v>696</v>
      </c>
      <c r="AH373">
        <v>0</v>
      </c>
      <c r="AI373">
        <v>697</v>
      </c>
      <c r="AJ373">
        <v>74</v>
      </c>
      <c r="AK373">
        <v>20</v>
      </c>
      <c r="AL373">
        <v>0.74</v>
      </c>
    </row>
    <row r="374" spans="1:38" x14ac:dyDescent="0.3">
      <c r="A374" t="s">
        <v>685</v>
      </c>
      <c r="B374">
        <v>123718</v>
      </c>
      <c r="C374">
        <v>3</v>
      </c>
      <c r="D374" t="s">
        <v>692</v>
      </c>
      <c r="E374" t="s">
        <v>348</v>
      </c>
      <c r="F374">
        <v>27</v>
      </c>
      <c r="G374">
        <v>18.57</v>
      </c>
      <c r="H374">
        <v>61.4</v>
      </c>
      <c r="I374">
        <v>15.1</v>
      </c>
      <c r="J374">
        <v>49.95</v>
      </c>
      <c r="K374">
        <v>9</v>
      </c>
      <c r="T374">
        <v>2</v>
      </c>
      <c r="U374">
        <v>1</v>
      </c>
      <c r="V374" t="s">
        <v>93</v>
      </c>
      <c r="W374" t="s">
        <v>698</v>
      </c>
      <c r="X374">
        <v>14</v>
      </c>
      <c r="Y374">
        <v>14</v>
      </c>
      <c r="Z374" t="s">
        <v>694</v>
      </c>
      <c r="AA374" t="s">
        <v>695</v>
      </c>
      <c r="AB374" t="s">
        <v>96</v>
      </c>
      <c r="AC374" t="s">
        <v>97</v>
      </c>
      <c r="AD374" t="s">
        <v>690</v>
      </c>
      <c r="AG374" t="s">
        <v>696</v>
      </c>
      <c r="AH374">
        <v>0</v>
      </c>
      <c r="AI374">
        <v>697</v>
      </c>
      <c r="AJ374">
        <v>74</v>
      </c>
      <c r="AK374">
        <v>20</v>
      </c>
      <c r="AL374">
        <v>0.74</v>
      </c>
    </row>
    <row r="375" spans="1:38" x14ac:dyDescent="0.3">
      <c r="A375" t="s">
        <v>685</v>
      </c>
      <c r="B375">
        <v>121831</v>
      </c>
      <c r="C375">
        <v>1</v>
      </c>
      <c r="D375" t="s">
        <v>699</v>
      </c>
      <c r="E375" t="s">
        <v>442</v>
      </c>
      <c r="F375">
        <v>36</v>
      </c>
      <c r="G375">
        <v>22.06</v>
      </c>
      <c r="H375">
        <v>72.930000000000007</v>
      </c>
      <c r="I375">
        <v>18.03</v>
      </c>
      <c r="J375">
        <v>59.62</v>
      </c>
      <c r="K375">
        <v>24</v>
      </c>
      <c r="T375">
        <v>3</v>
      </c>
      <c r="U375">
        <v>2</v>
      </c>
      <c r="V375" t="s">
        <v>93</v>
      </c>
      <c r="W375">
        <v>72</v>
      </c>
      <c r="X375">
        <v>13</v>
      </c>
      <c r="Y375">
        <v>13</v>
      </c>
      <c r="Z375" t="s">
        <v>700</v>
      </c>
      <c r="AA375" t="s">
        <v>701</v>
      </c>
      <c r="AB375" t="s">
        <v>96</v>
      </c>
      <c r="AC375" t="s">
        <v>97</v>
      </c>
      <c r="AD375" t="s">
        <v>690</v>
      </c>
      <c r="AG375" t="s">
        <v>702</v>
      </c>
      <c r="AH375">
        <v>0</v>
      </c>
      <c r="AI375">
        <v>738</v>
      </c>
      <c r="AJ375">
        <v>78</v>
      </c>
      <c r="AK375">
        <v>30</v>
      </c>
      <c r="AL375">
        <v>0.83</v>
      </c>
    </row>
    <row r="376" spans="1:38" x14ac:dyDescent="0.3">
      <c r="A376" t="s">
        <v>685</v>
      </c>
      <c r="B376">
        <v>121831</v>
      </c>
      <c r="C376">
        <v>2</v>
      </c>
      <c r="D376" t="s">
        <v>699</v>
      </c>
      <c r="E376" t="s">
        <v>442</v>
      </c>
      <c r="F376">
        <v>36</v>
      </c>
      <c r="G376">
        <v>22.56</v>
      </c>
      <c r="H376">
        <v>74.58</v>
      </c>
      <c r="I376">
        <v>18.03</v>
      </c>
      <c r="J376">
        <v>59.63</v>
      </c>
      <c r="K376">
        <v>12</v>
      </c>
      <c r="T376">
        <v>3</v>
      </c>
      <c r="U376">
        <v>2</v>
      </c>
      <c r="V376" t="s">
        <v>93</v>
      </c>
      <c r="W376">
        <v>74</v>
      </c>
      <c r="X376">
        <v>13</v>
      </c>
      <c r="Y376">
        <v>13</v>
      </c>
      <c r="Z376" t="s">
        <v>700</v>
      </c>
      <c r="AA376" t="s">
        <v>701</v>
      </c>
      <c r="AB376" t="s">
        <v>96</v>
      </c>
      <c r="AC376" t="s">
        <v>97</v>
      </c>
      <c r="AD376" t="s">
        <v>690</v>
      </c>
      <c r="AG376" t="s">
        <v>702</v>
      </c>
      <c r="AH376">
        <v>0</v>
      </c>
      <c r="AI376">
        <v>738</v>
      </c>
      <c r="AJ376">
        <v>78</v>
      </c>
      <c r="AK376">
        <v>30</v>
      </c>
      <c r="AL376">
        <v>0.83</v>
      </c>
    </row>
    <row r="377" spans="1:38" x14ac:dyDescent="0.3">
      <c r="A377" t="s">
        <v>685</v>
      </c>
      <c r="B377">
        <v>126223</v>
      </c>
      <c r="C377">
        <v>1</v>
      </c>
      <c r="D377" t="s">
        <v>703</v>
      </c>
      <c r="E377" t="s">
        <v>578</v>
      </c>
      <c r="F377">
        <v>51</v>
      </c>
      <c r="G377">
        <v>19.16</v>
      </c>
      <c r="H377">
        <v>63.37</v>
      </c>
      <c r="I377">
        <v>15.59</v>
      </c>
      <c r="J377">
        <v>51.57</v>
      </c>
      <c r="K377">
        <v>17</v>
      </c>
      <c r="T377">
        <v>3</v>
      </c>
      <c r="U377">
        <v>1</v>
      </c>
      <c r="V377" t="s">
        <v>93</v>
      </c>
      <c r="W377" t="s">
        <v>194</v>
      </c>
      <c r="X377">
        <v>20</v>
      </c>
      <c r="Y377">
        <v>20</v>
      </c>
      <c r="Z377" t="s">
        <v>704</v>
      </c>
      <c r="AA377" t="s">
        <v>705</v>
      </c>
      <c r="AB377" t="s">
        <v>96</v>
      </c>
      <c r="AC377" t="s">
        <v>97</v>
      </c>
      <c r="AD377" t="s">
        <v>690</v>
      </c>
      <c r="AG377" t="s">
        <v>706</v>
      </c>
      <c r="AH377">
        <v>0</v>
      </c>
      <c r="AI377">
        <v>954</v>
      </c>
      <c r="AJ377">
        <v>69</v>
      </c>
      <c r="AK377">
        <v>50</v>
      </c>
      <c r="AL377">
        <v>0.98</v>
      </c>
    </row>
    <row r="378" spans="1:38" x14ac:dyDescent="0.3">
      <c r="A378" t="s">
        <v>685</v>
      </c>
      <c r="B378">
        <v>126223</v>
      </c>
      <c r="C378">
        <v>2</v>
      </c>
      <c r="D378" t="s">
        <v>703</v>
      </c>
      <c r="E378" t="s">
        <v>578</v>
      </c>
      <c r="F378">
        <v>51</v>
      </c>
      <c r="G378">
        <v>19.2</v>
      </c>
      <c r="H378">
        <v>63.49</v>
      </c>
      <c r="I378">
        <v>15.68</v>
      </c>
      <c r="J378">
        <v>51.86</v>
      </c>
      <c r="K378">
        <v>17</v>
      </c>
      <c r="T378">
        <v>3</v>
      </c>
      <c r="U378">
        <v>1</v>
      </c>
      <c r="V378" t="s">
        <v>93</v>
      </c>
      <c r="W378" t="s">
        <v>195</v>
      </c>
      <c r="X378">
        <v>20</v>
      </c>
      <c r="Y378">
        <v>20</v>
      </c>
      <c r="Z378" t="s">
        <v>704</v>
      </c>
      <c r="AA378" t="s">
        <v>705</v>
      </c>
      <c r="AB378" t="s">
        <v>96</v>
      </c>
      <c r="AC378" t="s">
        <v>97</v>
      </c>
      <c r="AD378" t="s">
        <v>690</v>
      </c>
      <c r="AG378" t="s">
        <v>706</v>
      </c>
      <c r="AH378">
        <v>0</v>
      </c>
      <c r="AI378">
        <v>954</v>
      </c>
      <c r="AJ378">
        <v>69</v>
      </c>
      <c r="AK378">
        <v>50</v>
      </c>
      <c r="AL378">
        <v>0.98</v>
      </c>
    </row>
    <row r="379" spans="1:38" x14ac:dyDescent="0.3">
      <c r="A379" t="s">
        <v>685</v>
      </c>
      <c r="B379">
        <v>126223</v>
      </c>
      <c r="C379">
        <v>3</v>
      </c>
      <c r="D379" t="s">
        <v>703</v>
      </c>
      <c r="E379" t="s">
        <v>578</v>
      </c>
      <c r="F379">
        <v>51</v>
      </c>
      <c r="G379">
        <v>19.87</v>
      </c>
      <c r="H379">
        <v>65.709999999999994</v>
      </c>
      <c r="I379">
        <v>16.3</v>
      </c>
      <c r="J379">
        <v>53.9</v>
      </c>
      <c r="K379">
        <v>17</v>
      </c>
      <c r="T379">
        <v>3</v>
      </c>
      <c r="U379">
        <v>1</v>
      </c>
      <c r="V379" t="s">
        <v>93</v>
      </c>
      <c r="W379" t="s">
        <v>197</v>
      </c>
      <c r="X379">
        <v>20</v>
      </c>
      <c r="Y379">
        <v>20</v>
      </c>
      <c r="Z379" t="s">
        <v>704</v>
      </c>
      <c r="AA379" t="s">
        <v>705</v>
      </c>
      <c r="AB379" t="s">
        <v>96</v>
      </c>
      <c r="AC379" t="s">
        <v>97</v>
      </c>
      <c r="AD379" t="s">
        <v>690</v>
      </c>
      <c r="AG379" t="s">
        <v>706</v>
      </c>
      <c r="AH379">
        <v>0</v>
      </c>
      <c r="AI379">
        <v>954</v>
      </c>
      <c r="AJ379">
        <v>69</v>
      </c>
      <c r="AK379">
        <v>50</v>
      </c>
      <c r="AL379">
        <v>0.98</v>
      </c>
    </row>
    <row r="380" spans="1:38" x14ac:dyDescent="0.3">
      <c r="A380" t="s">
        <v>685</v>
      </c>
      <c r="B380">
        <v>134388</v>
      </c>
      <c r="C380">
        <v>1</v>
      </c>
      <c r="D380" t="s">
        <v>707</v>
      </c>
      <c r="E380" t="s">
        <v>190</v>
      </c>
      <c r="F380">
        <v>16</v>
      </c>
      <c r="G380">
        <v>20.76</v>
      </c>
      <c r="H380">
        <v>68.650000000000006</v>
      </c>
      <c r="I380">
        <v>18.55</v>
      </c>
      <c r="J380">
        <v>61.34</v>
      </c>
      <c r="K380">
        <v>1</v>
      </c>
      <c r="T380">
        <v>3</v>
      </c>
      <c r="U380">
        <v>1</v>
      </c>
      <c r="V380" t="s">
        <v>93</v>
      </c>
      <c r="W380" t="s">
        <v>226</v>
      </c>
      <c r="X380">
        <v>12</v>
      </c>
      <c r="Y380">
        <v>12</v>
      </c>
      <c r="Z380" t="s">
        <v>708</v>
      </c>
      <c r="AA380" t="s">
        <v>709</v>
      </c>
      <c r="AB380" t="s">
        <v>96</v>
      </c>
      <c r="AC380" t="s">
        <v>97</v>
      </c>
      <c r="AD380" t="s">
        <v>690</v>
      </c>
      <c r="AG380" t="s">
        <v>710</v>
      </c>
      <c r="AH380">
        <v>0</v>
      </c>
      <c r="AI380">
        <v>615</v>
      </c>
      <c r="AJ380">
        <v>65</v>
      </c>
      <c r="AK380">
        <v>16</v>
      </c>
      <c r="AL380">
        <v>1</v>
      </c>
    </row>
    <row r="381" spans="1:38" x14ac:dyDescent="0.3">
      <c r="A381" t="s">
        <v>685</v>
      </c>
      <c r="B381">
        <v>134388</v>
      </c>
      <c r="C381">
        <v>2</v>
      </c>
      <c r="D381" t="s">
        <v>707</v>
      </c>
      <c r="E381" t="s">
        <v>190</v>
      </c>
      <c r="F381">
        <v>16</v>
      </c>
      <c r="G381">
        <v>20.87</v>
      </c>
      <c r="H381">
        <v>69</v>
      </c>
      <c r="I381">
        <v>18.66</v>
      </c>
      <c r="J381">
        <v>61.69</v>
      </c>
      <c r="K381">
        <v>1</v>
      </c>
      <c r="T381">
        <v>3</v>
      </c>
      <c r="U381">
        <v>1</v>
      </c>
      <c r="V381" t="s">
        <v>93</v>
      </c>
      <c r="W381" t="s">
        <v>381</v>
      </c>
      <c r="X381">
        <v>12</v>
      </c>
      <c r="Y381">
        <v>12</v>
      </c>
      <c r="Z381" t="s">
        <v>708</v>
      </c>
      <c r="AA381" t="s">
        <v>709</v>
      </c>
      <c r="AB381" t="s">
        <v>96</v>
      </c>
      <c r="AC381" t="s">
        <v>97</v>
      </c>
      <c r="AD381" t="s">
        <v>690</v>
      </c>
      <c r="AG381" t="s">
        <v>710</v>
      </c>
      <c r="AH381">
        <v>0</v>
      </c>
      <c r="AI381">
        <v>615</v>
      </c>
      <c r="AJ381">
        <v>65</v>
      </c>
      <c r="AK381">
        <v>16</v>
      </c>
      <c r="AL381">
        <v>1</v>
      </c>
    </row>
    <row r="382" spans="1:38" x14ac:dyDescent="0.3">
      <c r="A382" t="s">
        <v>685</v>
      </c>
      <c r="B382">
        <v>134388</v>
      </c>
      <c r="C382">
        <v>3</v>
      </c>
      <c r="D382" t="s">
        <v>707</v>
      </c>
      <c r="E382" t="s">
        <v>190</v>
      </c>
      <c r="F382">
        <v>16</v>
      </c>
      <c r="G382">
        <v>21.72</v>
      </c>
      <c r="H382">
        <v>71.83</v>
      </c>
      <c r="I382">
        <v>19.41</v>
      </c>
      <c r="J382">
        <v>64.19</v>
      </c>
      <c r="K382">
        <v>1</v>
      </c>
      <c r="T382">
        <v>3</v>
      </c>
      <c r="U382">
        <v>1</v>
      </c>
      <c r="V382" t="s">
        <v>93</v>
      </c>
      <c r="W382">
        <v>71</v>
      </c>
      <c r="X382">
        <v>12</v>
      </c>
      <c r="Y382">
        <v>12</v>
      </c>
      <c r="Z382" t="s">
        <v>708</v>
      </c>
      <c r="AA382" t="s">
        <v>709</v>
      </c>
      <c r="AB382" t="s">
        <v>96</v>
      </c>
      <c r="AC382" t="s">
        <v>97</v>
      </c>
      <c r="AD382" t="s">
        <v>690</v>
      </c>
      <c r="AG382" t="s">
        <v>710</v>
      </c>
      <c r="AH382">
        <v>0</v>
      </c>
      <c r="AI382">
        <v>615</v>
      </c>
      <c r="AJ382">
        <v>65</v>
      </c>
      <c r="AK382">
        <v>16</v>
      </c>
      <c r="AL382">
        <v>1</v>
      </c>
    </row>
    <row r="383" spans="1:38" x14ac:dyDescent="0.3">
      <c r="A383" t="s">
        <v>685</v>
      </c>
      <c r="B383">
        <v>134388</v>
      </c>
      <c r="C383">
        <v>4</v>
      </c>
      <c r="D383" t="s">
        <v>707</v>
      </c>
      <c r="E383" t="s">
        <v>190</v>
      </c>
      <c r="F383">
        <v>16</v>
      </c>
      <c r="G383">
        <v>22.52</v>
      </c>
      <c r="H383">
        <v>74.45</v>
      </c>
      <c r="I383">
        <v>20.12</v>
      </c>
      <c r="J383">
        <v>66.540000000000006</v>
      </c>
      <c r="K383">
        <v>3</v>
      </c>
      <c r="T383">
        <v>3</v>
      </c>
      <c r="U383">
        <v>1</v>
      </c>
      <c r="V383" t="s">
        <v>93</v>
      </c>
      <c r="W383" t="s">
        <v>406</v>
      </c>
      <c r="X383">
        <v>12</v>
      </c>
      <c r="Y383">
        <v>12</v>
      </c>
      <c r="Z383" t="s">
        <v>708</v>
      </c>
      <c r="AA383" t="s">
        <v>709</v>
      </c>
      <c r="AB383" t="s">
        <v>96</v>
      </c>
      <c r="AC383" t="s">
        <v>97</v>
      </c>
      <c r="AD383" t="s">
        <v>690</v>
      </c>
      <c r="AG383" t="s">
        <v>710</v>
      </c>
      <c r="AH383">
        <v>0</v>
      </c>
      <c r="AI383">
        <v>615</v>
      </c>
      <c r="AJ383">
        <v>65</v>
      </c>
      <c r="AK383">
        <v>16</v>
      </c>
      <c r="AL383">
        <v>1</v>
      </c>
    </row>
    <row r="384" spans="1:38" x14ac:dyDescent="0.3">
      <c r="A384" t="s">
        <v>685</v>
      </c>
      <c r="B384">
        <v>134388</v>
      </c>
      <c r="C384">
        <v>5</v>
      </c>
      <c r="D384" t="s">
        <v>707</v>
      </c>
      <c r="E384" t="s">
        <v>190</v>
      </c>
      <c r="F384">
        <v>16</v>
      </c>
      <c r="G384">
        <v>22.88</v>
      </c>
      <c r="H384">
        <v>75.650000000000006</v>
      </c>
      <c r="I384">
        <v>20.440000000000001</v>
      </c>
      <c r="J384">
        <v>67.599999999999994</v>
      </c>
      <c r="K384">
        <v>6</v>
      </c>
      <c r="T384">
        <v>3</v>
      </c>
      <c r="U384">
        <v>1</v>
      </c>
      <c r="V384" t="s">
        <v>93</v>
      </c>
      <c r="W384" t="s">
        <v>407</v>
      </c>
      <c r="X384">
        <v>12</v>
      </c>
      <c r="Y384">
        <v>12</v>
      </c>
      <c r="Z384" t="s">
        <v>708</v>
      </c>
      <c r="AA384" t="s">
        <v>709</v>
      </c>
      <c r="AB384" t="s">
        <v>96</v>
      </c>
      <c r="AC384" t="s">
        <v>97</v>
      </c>
      <c r="AD384" t="s">
        <v>690</v>
      </c>
      <c r="AG384" t="s">
        <v>710</v>
      </c>
      <c r="AH384">
        <v>0</v>
      </c>
      <c r="AI384">
        <v>615</v>
      </c>
      <c r="AJ384">
        <v>65</v>
      </c>
      <c r="AK384">
        <v>16</v>
      </c>
      <c r="AL384">
        <v>1</v>
      </c>
    </row>
    <row r="385" spans="1:38" x14ac:dyDescent="0.3">
      <c r="A385" t="s">
        <v>685</v>
      </c>
      <c r="B385">
        <v>134388</v>
      </c>
      <c r="C385">
        <v>6</v>
      </c>
      <c r="D385" t="s">
        <v>707</v>
      </c>
      <c r="E385" t="s">
        <v>190</v>
      </c>
      <c r="F385">
        <v>16</v>
      </c>
      <c r="G385">
        <v>23.01</v>
      </c>
      <c r="H385">
        <v>76.08</v>
      </c>
      <c r="I385">
        <v>20.56</v>
      </c>
      <c r="J385">
        <v>67.989999999999995</v>
      </c>
      <c r="K385">
        <v>3</v>
      </c>
      <c r="T385">
        <v>3</v>
      </c>
      <c r="U385">
        <v>1</v>
      </c>
      <c r="V385" t="s">
        <v>93</v>
      </c>
      <c r="W385" t="s">
        <v>711</v>
      </c>
      <c r="X385">
        <v>12</v>
      </c>
      <c r="Y385">
        <v>12</v>
      </c>
      <c r="Z385" t="s">
        <v>708</v>
      </c>
      <c r="AA385" t="s">
        <v>709</v>
      </c>
      <c r="AB385" t="s">
        <v>96</v>
      </c>
      <c r="AC385" t="s">
        <v>97</v>
      </c>
      <c r="AD385" t="s">
        <v>690</v>
      </c>
      <c r="AG385" t="s">
        <v>710</v>
      </c>
      <c r="AH385">
        <v>0</v>
      </c>
      <c r="AI385">
        <v>615</v>
      </c>
      <c r="AJ385">
        <v>65</v>
      </c>
      <c r="AK385">
        <v>16</v>
      </c>
      <c r="AL385">
        <v>1</v>
      </c>
    </row>
    <row r="386" spans="1:38" x14ac:dyDescent="0.3">
      <c r="A386" t="s">
        <v>685</v>
      </c>
      <c r="B386">
        <v>134388</v>
      </c>
      <c r="C386">
        <v>7</v>
      </c>
      <c r="D386" t="s">
        <v>707</v>
      </c>
      <c r="E386" t="s">
        <v>190</v>
      </c>
      <c r="F386">
        <v>16</v>
      </c>
      <c r="G386">
        <v>24.82</v>
      </c>
      <c r="H386">
        <v>82.05</v>
      </c>
      <c r="I386">
        <v>22.18</v>
      </c>
      <c r="J386">
        <v>73.349999999999994</v>
      </c>
      <c r="K386">
        <v>1</v>
      </c>
      <c r="T386">
        <v>3</v>
      </c>
      <c r="U386">
        <v>2</v>
      </c>
      <c r="V386" t="s">
        <v>93</v>
      </c>
      <c r="W386">
        <v>82</v>
      </c>
      <c r="X386">
        <v>12</v>
      </c>
      <c r="Y386">
        <v>12</v>
      </c>
      <c r="Z386" t="s">
        <v>708</v>
      </c>
      <c r="AA386" t="s">
        <v>709</v>
      </c>
      <c r="AB386" t="s">
        <v>96</v>
      </c>
      <c r="AC386" t="s">
        <v>97</v>
      </c>
      <c r="AD386" t="s">
        <v>690</v>
      </c>
      <c r="AG386" t="s">
        <v>710</v>
      </c>
      <c r="AH386">
        <v>0</v>
      </c>
      <c r="AI386">
        <v>615</v>
      </c>
      <c r="AJ386">
        <v>65</v>
      </c>
      <c r="AK386">
        <v>16</v>
      </c>
      <c r="AL386">
        <v>1</v>
      </c>
    </row>
    <row r="387" spans="1:38" x14ac:dyDescent="0.3">
      <c r="A387" t="s">
        <v>685</v>
      </c>
      <c r="B387">
        <v>25160</v>
      </c>
      <c r="C387">
        <v>1</v>
      </c>
      <c r="D387" t="s">
        <v>712</v>
      </c>
      <c r="E387" t="s">
        <v>301</v>
      </c>
      <c r="F387">
        <v>11</v>
      </c>
      <c r="G387">
        <v>22.14</v>
      </c>
      <c r="H387">
        <v>73.209999999999994</v>
      </c>
      <c r="I387">
        <v>18.53</v>
      </c>
      <c r="J387">
        <v>61.28</v>
      </c>
      <c r="K387">
        <v>2</v>
      </c>
      <c r="T387">
        <v>3</v>
      </c>
      <c r="U387">
        <v>1</v>
      </c>
      <c r="V387" t="s">
        <v>211</v>
      </c>
      <c r="W387">
        <v>73</v>
      </c>
      <c r="X387">
        <v>6</v>
      </c>
      <c r="Y387">
        <v>5</v>
      </c>
      <c r="Z387" t="s">
        <v>713</v>
      </c>
      <c r="AA387" t="s">
        <v>714</v>
      </c>
      <c r="AB387" t="s">
        <v>96</v>
      </c>
      <c r="AC387" t="s">
        <v>97</v>
      </c>
      <c r="AD387" t="s">
        <v>690</v>
      </c>
      <c r="AG387" t="s">
        <v>715</v>
      </c>
      <c r="AH387">
        <v>0</v>
      </c>
      <c r="AI387">
        <v>352</v>
      </c>
      <c r="AJ387">
        <v>79</v>
      </c>
      <c r="AK387">
        <v>9</v>
      </c>
      <c r="AL387">
        <v>0.82</v>
      </c>
    </row>
    <row r="388" spans="1:38" x14ac:dyDescent="0.3">
      <c r="A388" t="s">
        <v>685</v>
      </c>
      <c r="B388">
        <v>25160</v>
      </c>
      <c r="C388">
        <v>2</v>
      </c>
      <c r="D388" t="s">
        <v>712</v>
      </c>
      <c r="E388" t="s">
        <v>301</v>
      </c>
      <c r="F388">
        <v>11</v>
      </c>
      <c r="G388">
        <v>24.18</v>
      </c>
      <c r="H388">
        <v>79.959999999999994</v>
      </c>
      <c r="I388">
        <v>20.3</v>
      </c>
      <c r="J388">
        <v>67.13</v>
      </c>
      <c r="K388">
        <v>4</v>
      </c>
      <c r="T388">
        <v>3</v>
      </c>
      <c r="U388">
        <v>1</v>
      </c>
      <c r="V388" t="s">
        <v>93</v>
      </c>
      <c r="W388">
        <v>79</v>
      </c>
      <c r="X388">
        <v>6</v>
      </c>
      <c r="Y388">
        <v>5</v>
      </c>
      <c r="Z388" t="s">
        <v>713</v>
      </c>
      <c r="AA388" t="s">
        <v>714</v>
      </c>
      <c r="AB388" t="s">
        <v>96</v>
      </c>
      <c r="AC388" t="s">
        <v>97</v>
      </c>
      <c r="AD388" t="s">
        <v>690</v>
      </c>
      <c r="AG388" t="s">
        <v>715</v>
      </c>
      <c r="AH388">
        <v>0</v>
      </c>
      <c r="AI388">
        <v>352</v>
      </c>
      <c r="AJ388">
        <v>79</v>
      </c>
      <c r="AK388">
        <v>9</v>
      </c>
      <c r="AL388">
        <v>0.82</v>
      </c>
    </row>
    <row r="389" spans="1:38" x14ac:dyDescent="0.3">
      <c r="A389" t="s">
        <v>685</v>
      </c>
      <c r="B389">
        <v>25160</v>
      </c>
      <c r="C389">
        <v>3</v>
      </c>
      <c r="D389" t="s">
        <v>712</v>
      </c>
      <c r="E389" t="s">
        <v>301</v>
      </c>
      <c r="F389">
        <v>11</v>
      </c>
      <c r="G389">
        <v>26.02</v>
      </c>
      <c r="H389">
        <v>86.03</v>
      </c>
      <c r="I389">
        <v>22.33</v>
      </c>
      <c r="J389">
        <v>73.849999999999994</v>
      </c>
      <c r="K389">
        <v>1</v>
      </c>
      <c r="T389">
        <v>3</v>
      </c>
      <c r="U389">
        <v>1</v>
      </c>
      <c r="V389" t="s">
        <v>211</v>
      </c>
      <c r="W389">
        <v>86</v>
      </c>
      <c r="X389">
        <v>6</v>
      </c>
      <c r="Y389">
        <v>5</v>
      </c>
      <c r="Z389" t="s">
        <v>713</v>
      </c>
      <c r="AA389" t="s">
        <v>714</v>
      </c>
      <c r="AB389" t="s">
        <v>96</v>
      </c>
      <c r="AC389" t="s">
        <v>97</v>
      </c>
      <c r="AD389" t="s">
        <v>690</v>
      </c>
      <c r="AG389" t="s">
        <v>715</v>
      </c>
      <c r="AH389">
        <v>0</v>
      </c>
      <c r="AI389">
        <v>352</v>
      </c>
      <c r="AJ389">
        <v>79</v>
      </c>
      <c r="AK389">
        <v>9</v>
      </c>
      <c r="AL389">
        <v>0.82</v>
      </c>
    </row>
    <row r="390" spans="1:38" x14ac:dyDescent="0.3">
      <c r="A390" t="s">
        <v>685</v>
      </c>
      <c r="B390">
        <v>25160</v>
      </c>
      <c r="C390">
        <v>4</v>
      </c>
      <c r="D390" t="s">
        <v>712</v>
      </c>
      <c r="E390" t="s">
        <v>301</v>
      </c>
      <c r="F390">
        <v>11</v>
      </c>
      <c r="G390">
        <v>26.75</v>
      </c>
      <c r="H390">
        <v>88.45</v>
      </c>
      <c r="I390">
        <v>22.58</v>
      </c>
      <c r="J390">
        <v>74.66</v>
      </c>
      <c r="K390">
        <v>3</v>
      </c>
      <c r="T390">
        <v>3</v>
      </c>
      <c r="U390">
        <v>2</v>
      </c>
      <c r="V390" t="s">
        <v>93</v>
      </c>
      <c r="W390">
        <v>88</v>
      </c>
      <c r="X390">
        <v>6</v>
      </c>
      <c r="Y390">
        <v>5</v>
      </c>
      <c r="Z390" t="s">
        <v>713</v>
      </c>
      <c r="AA390" t="s">
        <v>714</v>
      </c>
      <c r="AB390" t="s">
        <v>96</v>
      </c>
      <c r="AC390" t="s">
        <v>97</v>
      </c>
      <c r="AD390" t="s">
        <v>690</v>
      </c>
      <c r="AG390" t="s">
        <v>715</v>
      </c>
      <c r="AH390">
        <v>0</v>
      </c>
      <c r="AI390">
        <v>352</v>
      </c>
      <c r="AJ390">
        <v>79</v>
      </c>
      <c r="AK390">
        <v>9</v>
      </c>
      <c r="AL390">
        <v>0.82</v>
      </c>
    </row>
    <row r="391" spans="1:38" x14ac:dyDescent="0.3">
      <c r="A391" t="s">
        <v>685</v>
      </c>
      <c r="B391">
        <v>25160</v>
      </c>
      <c r="C391">
        <v>5</v>
      </c>
      <c r="D391" t="s">
        <v>712</v>
      </c>
      <c r="E391" t="s">
        <v>301</v>
      </c>
      <c r="F391">
        <v>11</v>
      </c>
      <c r="G391">
        <v>29.76</v>
      </c>
      <c r="H391">
        <v>98.4</v>
      </c>
      <c r="I391">
        <v>25.55</v>
      </c>
      <c r="J391">
        <v>84.48</v>
      </c>
      <c r="K391">
        <v>1</v>
      </c>
      <c r="T391">
        <v>3</v>
      </c>
      <c r="U391">
        <v>2</v>
      </c>
      <c r="V391" t="s">
        <v>211</v>
      </c>
      <c r="W391">
        <v>98</v>
      </c>
      <c r="X391">
        <v>6</v>
      </c>
      <c r="Y391">
        <v>5</v>
      </c>
      <c r="Z391" t="s">
        <v>713</v>
      </c>
      <c r="AA391" t="s">
        <v>714</v>
      </c>
      <c r="AB391" t="s">
        <v>96</v>
      </c>
      <c r="AC391" t="s">
        <v>97</v>
      </c>
      <c r="AD391" t="s">
        <v>690</v>
      </c>
      <c r="AG391" t="s">
        <v>715</v>
      </c>
      <c r="AH391">
        <v>0</v>
      </c>
      <c r="AI391">
        <v>352</v>
      </c>
      <c r="AJ391">
        <v>79</v>
      </c>
      <c r="AK391">
        <v>9</v>
      </c>
      <c r="AL391">
        <v>0.82</v>
      </c>
    </row>
    <row r="392" spans="1:38" x14ac:dyDescent="0.3">
      <c r="A392" t="s">
        <v>685</v>
      </c>
      <c r="B392">
        <v>119300</v>
      </c>
      <c r="C392">
        <v>1</v>
      </c>
      <c r="D392" t="s">
        <v>716</v>
      </c>
      <c r="E392" t="s">
        <v>717</v>
      </c>
      <c r="F392">
        <v>72</v>
      </c>
      <c r="G392">
        <v>15.51</v>
      </c>
      <c r="H392">
        <v>51.28</v>
      </c>
      <c r="I392">
        <v>12.13</v>
      </c>
      <c r="J392">
        <v>40.11</v>
      </c>
      <c r="K392">
        <v>12</v>
      </c>
      <c r="T392">
        <v>2</v>
      </c>
      <c r="U392">
        <v>1</v>
      </c>
      <c r="V392" t="s">
        <v>93</v>
      </c>
      <c r="W392">
        <v>51</v>
      </c>
      <c r="X392">
        <v>10</v>
      </c>
      <c r="Y392">
        <v>10</v>
      </c>
      <c r="Z392" t="s">
        <v>718</v>
      </c>
      <c r="AA392" t="s">
        <v>719</v>
      </c>
      <c r="AB392" t="s">
        <v>96</v>
      </c>
      <c r="AC392" t="s">
        <v>97</v>
      </c>
      <c r="AD392" t="s">
        <v>690</v>
      </c>
      <c r="AG392" t="s">
        <v>720</v>
      </c>
      <c r="AH392">
        <v>0</v>
      </c>
      <c r="AI392">
        <v>611</v>
      </c>
      <c r="AJ392">
        <v>75</v>
      </c>
      <c r="AK392">
        <v>54</v>
      </c>
      <c r="AL392">
        <v>0.75</v>
      </c>
    </row>
    <row r="393" spans="1:38" x14ac:dyDescent="0.3">
      <c r="A393" t="s">
        <v>685</v>
      </c>
      <c r="B393">
        <v>119300</v>
      </c>
      <c r="C393">
        <v>2</v>
      </c>
      <c r="D393" t="s">
        <v>716</v>
      </c>
      <c r="E393" t="s">
        <v>717</v>
      </c>
      <c r="F393">
        <v>72</v>
      </c>
      <c r="G393">
        <v>16.920000000000002</v>
      </c>
      <c r="H393">
        <v>55.94</v>
      </c>
      <c r="I393">
        <v>13.4</v>
      </c>
      <c r="J393">
        <v>44.32</v>
      </c>
      <c r="K393">
        <v>6</v>
      </c>
      <c r="T393">
        <v>2</v>
      </c>
      <c r="U393">
        <v>1</v>
      </c>
      <c r="V393" t="s">
        <v>93</v>
      </c>
      <c r="W393">
        <v>55</v>
      </c>
      <c r="X393">
        <v>10</v>
      </c>
      <c r="Y393">
        <v>10</v>
      </c>
      <c r="Z393" t="s">
        <v>718</v>
      </c>
      <c r="AA393" t="s">
        <v>719</v>
      </c>
      <c r="AB393" t="s">
        <v>96</v>
      </c>
      <c r="AC393" t="s">
        <v>97</v>
      </c>
      <c r="AD393" t="s">
        <v>690</v>
      </c>
      <c r="AG393" t="s">
        <v>720</v>
      </c>
      <c r="AH393">
        <v>0</v>
      </c>
      <c r="AI393">
        <v>611</v>
      </c>
      <c r="AJ393">
        <v>75</v>
      </c>
      <c r="AK393">
        <v>54</v>
      </c>
      <c r="AL393">
        <v>0.75</v>
      </c>
    </row>
    <row r="394" spans="1:38" x14ac:dyDescent="0.3">
      <c r="A394" t="s">
        <v>685</v>
      </c>
      <c r="B394">
        <v>119300</v>
      </c>
      <c r="C394">
        <v>3</v>
      </c>
      <c r="D394" t="s">
        <v>716</v>
      </c>
      <c r="E394" t="s">
        <v>717</v>
      </c>
      <c r="F394">
        <v>72</v>
      </c>
      <c r="G394">
        <v>19.21</v>
      </c>
      <c r="H394">
        <v>63.52</v>
      </c>
      <c r="I394">
        <v>15.06</v>
      </c>
      <c r="J394">
        <v>49.79</v>
      </c>
      <c r="K394">
        <v>18</v>
      </c>
      <c r="T394">
        <v>2</v>
      </c>
      <c r="U394">
        <v>1</v>
      </c>
      <c r="V394" t="s">
        <v>93</v>
      </c>
      <c r="W394" t="s">
        <v>194</v>
      </c>
      <c r="X394">
        <v>10</v>
      </c>
      <c r="Y394">
        <v>10</v>
      </c>
      <c r="Z394" t="s">
        <v>718</v>
      </c>
      <c r="AA394" t="s">
        <v>719</v>
      </c>
      <c r="AB394" t="s">
        <v>96</v>
      </c>
      <c r="AC394" t="s">
        <v>97</v>
      </c>
      <c r="AD394" t="s">
        <v>690</v>
      </c>
      <c r="AG394" t="s">
        <v>720</v>
      </c>
      <c r="AH394">
        <v>0</v>
      </c>
      <c r="AI394">
        <v>611</v>
      </c>
      <c r="AJ394">
        <v>75</v>
      </c>
      <c r="AK394">
        <v>54</v>
      </c>
      <c r="AL394">
        <v>0.75</v>
      </c>
    </row>
    <row r="395" spans="1:38" x14ac:dyDescent="0.3">
      <c r="A395" t="s">
        <v>685</v>
      </c>
      <c r="B395">
        <v>119300</v>
      </c>
      <c r="C395">
        <v>4</v>
      </c>
      <c r="D395" t="s">
        <v>716</v>
      </c>
      <c r="E395" t="s">
        <v>717</v>
      </c>
      <c r="F395">
        <v>72</v>
      </c>
      <c r="G395">
        <v>19.14</v>
      </c>
      <c r="H395">
        <v>63.3</v>
      </c>
      <c r="I395">
        <v>15.08</v>
      </c>
      <c r="J395">
        <v>49.87</v>
      </c>
      <c r="K395">
        <v>18</v>
      </c>
      <c r="T395">
        <v>2</v>
      </c>
      <c r="U395">
        <v>1</v>
      </c>
      <c r="V395" t="s">
        <v>93</v>
      </c>
      <c r="W395" t="s">
        <v>195</v>
      </c>
      <c r="X395">
        <v>10</v>
      </c>
      <c r="Y395">
        <v>10</v>
      </c>
      <c r="Z395" t="s">
        <v>718</v>
      </c>
      <c r="AA395" t="s">
        <v>719</v>
      </c>
      <c r="AB395" t="s">
        <v>96</v>
      </c>
      <c r="AC395" t="s">
        <v>97</v>
      </c>
      <c r="AD395" t="s">
        <v>690</v>
      </c>
      <c r="AG395" t="s">
        <v>720</v>
      </c>
      <c r="AH395">
        <v>0</v>
      </c>
      <c r="AI395">
        <v>611</v>
      </c>
      <c r="AJ395">
        <v>75</v>
      </c>
      <c r="AK395">
        <v>54</v>
      </c>
      <c r="AL395">
        <v>0.75</v>
      </c>
    </row>
    <row r="396" spans="1:38" x14ac:dyDescent="0.3">
      <c r="A396" t="s">
        <v>685</v>
      </c>
      <c r="B396">
        <v>119300</v>
      </c>
      <c r="C396">
        <v>5</v>
      </c>
      <c r="D396" t="s">
        <v>716</v>
      </c>
      <c r="E396" t="s">
        <v>717</v>
      </c>
      <c r="F396">
        <v>72</v>
      </c>
      <c r="G396">
        <v>19.309999999999999</v>
      </c>
      <c r="H396">
        <v>63.85</v>
      </c>
      <c r="I396">
        <v>15.1</v>
      </c>
      <c r="J396">
        <v>49.94</v>
      </c>
      <c r="K396">
        <v>12</v>
      </c>
      <c r="T396">
        <v>2</v>
      </c>
      <c r="U396">
        <v>1</v>
      </c>
      <c r="V396" t="s">
        <v>93</v>
      </c>
      <c r="W396" t="s">
        <v>721</v>
      </c>
      <c r="X396">
        <v>10</v>
      </c>
      <c r="Y396">
        <v>10</v>
      </c>
      <c r="Z396" t="s">
        <v>718</v>
      </c>
      <c r="AA396" t="s">
        <v>719</v>
      </c>
      <c r="AB396" t="s">
        <v>96</v>
      </c>
      <c r="AC396" t="s">
        <v>97</v>
      </c>
      <c r="AD396" t="s">
        <v>690</v>
      </c>
      <c r="AG396" t="s">
        <v>720</v>
      </c>
      <c r="AH396">
        <v>0</v>
      </c>
      <c r="AI396">
        <v>611</v>
      </c>
      <c r="AJ396">
        <v>75</v>
      </c>
      <c r="AK396">
        <v>54</v>
      </c>
      <c r="AL396">
        <v>0.75</v>
      </c>
    </row>
    <row r="397" spans="1:38" x14ac:dyDescent="0.3">
      <c r="A397" t="s">
        <v>685</v>
      </c>
      <c r="B397">
        <v>119300</v>
      </c>
      <c r="C397">
        <v>6</v>
      </c>
      <c r="D397" t="s">
        <v>716</v>
      </c>
      <c r="E397" t="s">
        <v>717</v>
      </c>
      <c r="F397">
        <v>72</v>
      </c>
      <c r="G397">
        <v>19.309999999999999</v>
      </c>
      <c r="H397">
        <v>63.86</v>
      </c>
      <c r="I397">
        <v>15.1</v>
      </c>
      <c r="J397">
        <v>49.93</v>
      </c>
      <c r="K397">
        <v>6</v>
      </c>
      <c r="T397">
        <v>2</v>
      </c>
      <c r="U397">
        <v>1</v>
      </c>
      <c r="V397" t="s">
        <v>93</v>
      </c>
      <c r="W397" t="s">
        <v>722</v>
      </c>
      <c r="X397">
        <v>10</v>
      </c>
      <c r="Y397">
        <v>10</v>
      </c>
      <c r="Z397" t="s">
        <v>718</v>
      </c>
      <c r="AA397" t="s">
        <v>719</v>
      </c>
      <c r="AB397" t="s">
        <v>96</v>
      </c>
      <c r="AC397" t="s">
        <v>97</v>
      </c>
      <c r="AD397" t="s">
        <v>690</v>
      </c>
      <c r="AG397" t="s">
        <v>720</v>
      </c>
      <c r="AH397">
        <v>0</v>
      </c>
      <c r="AI397">
        <v>611</v>
      </c>
      <c r="AJ397">
        <v>75</v>
      </c>
      <c r="AK397">
        <v>54</v>
      </c>
      <c r="AL397">
        <v>0.75</v>
      </c>
    </row>
    <row r="398" spans="1:38" x14ac:dyDescent="0.3">
      <c r="A398" t="s">
        <v>685</v>
      </c>
      <c r="B398">
        <v>122506</v>
      </c>
      <c r="C398">
        <v>1</v>
      </c>
      <c r="D398" t="s">
        <v>723</v>
      </c>
      <c r="E398" t="s">
        <v>724</v>
      </c>
      <c r="F398">
        <v>992</v>
      </c>
      <c r="G398">
        <v>26.39</v>
      </c>
      <c r="H398">
        <v>87.26</v>
      </c>
      <c r="I398">
        <v>18.12</v>
      </c>
      <c r="J398">
        <v>59.93</v>
      </c>
      <c r="K398">
        <v>174</v>
      </c>
      <c r="T398">
        <v>3</v>
      </c>
      <c r="U398">
        <v>2</v>
      </c>
      <c r="V398" t="s">
        <v>93</v>
      </c>
      <c r="W398" t="s">
        <v>725</v>
      </c>
      <c r="X398">
        <v>47</v>
      </c>
      <c r="Y398">
        <v>38</v>
      </c>
      <c r="Z398" t="s">
        <v>726</v>
      </c>
      <c r="AA398" t="s">
        <v>727</v>
      </c>
      <c r="AB398" t="s">
        <v>96</v>
      </c>
      <c r="AC398" t="s">
        <v>97</v>
      </c>
      <c r="AD398" t="s">
        <v>690</v>
      </c>
      <c r="AG398" t="s">
        <v>285</v>
      </c>
      <c r="AH398">
        <v>0</v>
      </c>
      <c r="AI398">
        <v>410</v>
      </c>
      <c r="AJ398">
        <v>19</v>
      </c>
      <c r="AK398">
        <v>1192</v>
      </c>
      <c r="AL398">
        <v>1.2</v>
      </c>
    </row>
    <row r="399" spans="1:38" x14ac:dyDescent="0.3">
      <c r="A399" t="s">
        <v>685</v>
      </c>
      <c r="B399">
        <v>122506</v>
      </c>
      <c r="C399">
        <v>2</v>
      </c>
      <c r="D399" t="s">
        <v>723</v>
      </c>
      <c r="E399" t="s">
        <v>724</v>
      </c>
      <c r="F399">
        <v>992</v>
      </c>
      <c r="G399">
        <v>26.68</v>
      </c>
      <c r="H399">
        <v>88.22</v>
      </c>
      <c r="I399">
        <v>18.14</v>
      </c>
      <c r="J399">
        <v>59.98</v>
      </c>
      <c r="K399">
        <v>83</v>
      </c>
      <c r="T399">
        <v>3</v>
      </c>
      <c r="U399">
        <v>2</v>
      </c>
      <c r="V399" t="s">
        <v>93</v>
      </c>
      <c r="W399" t="s">
        <v>298</v>
      </c>
      <c r="X399">
        <v>47</v>
      </c>
      <c r="Y399">
        <v>38</v>
      </c>
      <c r="Z399" t="s">
        <v>726</v>
      </c>
      <c r="AA399" t="s">
        <v>727</v>
      </c>
      <c r="AB399" t="s">
        <v>96</v>
      </c>
      <c r="AC399" t="s">
        <v>97</v>
      </c>
      <c r="AD399" t="s">
        <v>690</v>
      </c>
      <c r="AG399" t="s">
        <v>285</v>
      </c>
      <c r="AH399">
        <v>0</v>
      </c>
      <c r="AI399">
        <v>410</v>
      </c>
      <c r="AJ399">
        <v>19</v>
      </c>
      <c r="AK399">
        <v>1192</v>
      </c>
      <c r="AL399">
        <v>1.2</v>
      </c>
    </row>
    <row r="400" spans="1:38" x14ac:dyDescent="0.3">
      <c r="A400" t="s">
        <v>685</v>
      </c>
      <c r="B400">
        <v>122506</v>
      </c>
      <c r="C400">
        <v>3</v>
      </c>
      <c r="D400" t="s">
        <v>723</v>
      </c>
      <c r="E400" t="s">
        <v>724</v>
      </c>
      <c r="F400">
        <v>992</v>
      </c>
      <c r="G400">
        <v>30.88</v>
      </c>
      <c r="H400">
        <v>102.11</v>
      </c>
      <c r="I400">
        <v>22.65</v>
      </c>
      <c r="J400">
        <v>74.88</v>
      </c>
      <c r="K400">
        <v>267</v>
      </c>
      <c r="T400">
        <v>3</v>
      </c>
      <c r="U400">
        <v>2</v>
      </c>
      <c r="V400" t="s">
        <v>93</v>
      </c>
      <c r="W400" t="s">
        <v>186</v>
      </c>
      <c r="X400">
        <v>47</v>
      </c>
      <c r="Y400">
        <v>38</v>
      </c>
      <c r="Z400" t="s">
        <v>726</v>
      </c>
      <c r="AA400" t="s">
        <v>727</v>
      </c>
      <c r="AB400" t="s">
        <v>96</v>
      </c>
      <c r="AC400" t="s">
        <v>97</v>
      </c>
      <c r="AD400" t="s">
        <v>690</v>
      </c>
      <c r="AG400" t="s">
        <v>285</v>
      </c>
      <c r="AH400">
        <v>0</v>
      </c>
      <c r="AI400">
        <v>410</v>
      </c>
      <c r="AJ400">
        <v>19</v>
      </c>
      <c r="AK400">
        <v>1192</v>
      </c>
      <c r="AL400">
        <v>1.2</v>
      </c>
    </row>
    <row r="401" spans="1:38" x14ac:dyDescent="0.3">
      <c r="A401" t="s">
        <v>685</v>
      </c>
      <c r="B401">
        <v>122506</v>
      </c>
      <c r="C401">
        <v>4</v>
      </c>
      <c r="D401" t="s">
        <v>723</v>
      </c>
      <c r="E401" t="s">
        <v>724</v>
      </c>
      <c r="F401">
        <v>992</v>
      </c>
      <c r="G401">
        <v>31.69</v>
      </c>
      <c r="H401">
        <v>104.79</v>
      </c>
      <c r="I401">
        <v>22.66</v>
      </c>
      <c r="J401">
        <v>74.91</v>
      </c>
      <c r="K401">
        <v>37</v>
      </c>
      <c r="T401">
        <v>3</v>
      </c>
      <c r="U401">
        <v>2</v>
      </c>
      <c r="V401" t="s">
        <v>93</v>
      </c>
      <c r="W401" t="s">
        <v>728</v>
      </c>
      <c r="X401">
        <v>47</v>
      </c>
      <c r="Y401">
        <v>38</v>
      </c>
      <c r="Z401" t="s">
        <v>726</v>
      </c>
      <c r="AA401" t="s">
        <v>727</v>
      </c>
      <c r="AB401" t="s">
        <v>96</v>
      </c>
      <c r="AC401" t="s">
        <v>97</v>
      </c>
      <c r="AD401" t="s">
        <v>690</v>
      </c>
      <c r="AG401" t="s">
        <v>285</v>
      </c>
      <c r="AH401">
        <v>0</v>
      </c>
      <c r="AI401">
        <v>410</v>
      </c>
      <c r="AJ401">
        <v>19</v>
      </c>
      <c r="AK401">
        <v>1192</v>
      </c>
      <c r="AL401">
        <v>1.2</v>
      </c>
    </row>
    <row r="402" spans="1:38" x14ac:dyDescent="0.3">
      <c r="A402" t="s">
        <v>685</v>
      </c>
      <c r="B402">
        <v>122506</v>
      </c>
      <c r="C402">
        <v>5</v>
      </c>
      <c r="D402" t="s">
        <v>723</v>
      </c>
      <c r="E402" t="s">
        <v>724</v>
      </c>
      <c r="F402">
        <v>992</v>
      </c>
      <c r="G402">
        <v>34.04</v>
      </c>
      <c r="H402">
        <v>112.53</v>
      </c>
      <c r="I402">
        <v>25.68</v>
      </c>
      <c r="J402">
        <v>84.91</v>
      </c>
      <c r="K402">
        <v>356</v>
      </c>
      <c r="T402">
        <v>3</v>
      </c>
      <c r="U402">
        <v>2</v>
      </c>
      <c r="V402" t="s">
        <v>93</v>
      </c>
      <c r="W402" t="s">
        <v>729</v>
      </c>
      <c r="X402">
        <v>47</v>
      </c>
      <c r="Y402">
        <v>38</v>
      </c>
      <c r="Z402" t="s">
        <v>726</v>
      </c>
      <c r="AA402" t="s">
        <v>727</v>
      </c>
      <c r="AB402" t="s">
        <v>96</v>
      </c>
      <c r="AC402" t="s">
        <v>97</v>
      </c>
      <c r="AD402" t="s">
        <v>690</v>
      </c>
      <c r="AG402" t="s">
        <v>285</v>
      </c>
      <c r="AH402">
        <v>0</v>
      </c>
      <c r="AI402">
        <v>410</v>
      </c>
      <c r="AJ402">
        <v>19</v>
      </c>
      <c r="AK402">
        <v>1192</v>
      </c>
      <c r="AL402">
        <v>1.2</v>
      </c>
    </row>
    <row r="403" spans="1:38" x14ac:dyDescent="0.3">
      <c r="A403" t="s">
        <v>685</v>
      </c>
      <c r="B403">
        <v>122506</v>
      </c>
      <c r="C403">
        <v>6</v>
      </c>
      <c r="D403" t="s">
        <v>723</v>
      </c>
      <c r="E403" t="s">
        <v>724</v>
      </c>
      <c r="F403">
        <v>992</v>
      </c>
      <c r="G403">
        <v>34.24</v>
      </c>
      <c r="H403">
        <v>113.22</v>
      </c>
      <c r="I403">
        <v>25.69</v>
      </c>
      <c r="J403">
        <v>84.95</v>
      </c>
      <c r="K403">
        <v>75</v>
      </c>
      <c r="T403">
        <v>3</v>
      </c>
      <c r="U403">
        <v>2</v>
      </c>
      <c r="V403" t="s">
        <v>93</v>
      </c>
      <c r="W403" t="s">
        <v>730</v>
      </c>
      <c r="X403">
        <v>47</v>
      </c>
      <c r="Y403">
        <v>38</v>
      </c>
      <c r="Z403" t="s">
        <v>726</v>
      </c>
      <c r="AA403" t="s">
        <v>727</v>
      </c>
      <c r="AB403" t="s">
        <v>96</v>
      </c>
      <c r="AC403" t="s">
        <v>97</v>
      </c>
      <c r="AD403" t="s">
        <v>690</v>
      </c>
      <c r="AG403" t="s">
        <v>285</v>
      </c>
      <c r="AH403">
        <v>0</v>
      </c>
      <c r="AI403">
        <v>410</v>
      </c>
      <c r="AJ403">
        <v>19</v>
      </c>
      <c r="AK403">
        <v>1192</v>
      </c>
      <c r="AL403">
        <v>1.2</v>
      </c>
    </row>
    <row r="404" spans="1:38" x14ac:dyDescent="0.3">
      <c r="A404" t="s">
        <v>685</v>
      </c>
      <c r="B404">
        <v>122136</v>
      </c>
      <c r="C404">
        <v>1</v>
      </c>
      <c r="D404" t="s">
        <v>731</v>
      </c>
      <c r="E404" t="s">
        <v>732</v>
      </c>
      <c r="F404">
        <v>36</v>
      </c>
      <c r="G404">
        <v>18.21</v>
      </c>
      <c r="H404">
        <v>60.22</v>
      </c>
      <c r="I404">
        <v>14.37</v>
      </c>
      <c r="J404">
        <v>47.52</v>
      </c>
      <c r="K404">
        <v>9</v>
      </c>
      <c r="T404">
        <v>2</v>
      </c>
      <c r="U404">
        <v>1</v>
      </c>
      <c r="V404" t="s">
        <v>93</v>
      </c>
      <c r="W404">
        <v>60</v>
      </c>
      <c r="X404">
        <v>14</v>
      </c>
      <c r="Y404">
        <v>14</v>
      </c>
      <c r="Z404" t="s">
        <v>733</v>
      </c>
      <c r="AA404" t="s">
        <v>734</v>
      </c>
      <c r="AB404" t="s">
        <v>96</v>
      </c>
      <c r="AC404" t="s">
        <v>97</v>
      </c>
      <c r="AD404" t="s">
        <v>690</v>
      </c>
      <c r="AG404" t="s">
        <v>735</v>
      </c>
      <c r="AH404">
        <v>0</v>
      </c>
      <c r="AI404">
        <v>650</v>
      </c>
      <c r="AJ404">
        <v>66</v>
      </c>
      <c r="AK404">
        <v>28</v>
      </c>
      <c r="AL404">
        <v>0.78</v>
      </c>
    </row>
    <row r="405" spans="1:38" x14ac:dyDescent="0.3">
      <c r="A405" t="s">
        <v>685</v>
      </c>
      <c r="B405">
        <v>122136</v>
      </c>
      <c r="C405">
        <v>2</v>
      </c>
      <c r="D405" t="s">
        <v>731</v>
      </c>
      <c r="E405" t="s">
        <v>732</v>
      </c>
      <c r="F405">
        <v>36</v>
      </c>
      <c r="G405">
        <v>19.22</v>
      </c>
      <c r="H405">
        <v>63.54</v>
      </c>
      <c r="I405">
        <v>15.04</v>
      </c>
      <c r="J405">
        <v>49.72</v>
      </c>
      <c r="K405">
        <v>9</v>
      </c>
      <c r="T405">
        <v>3</v>
      </c>
      <c r="U405">
        <v>2</v>
      </c>
      <c r="V405" t="s">
        <v>93</v>
      </c>
      <c r="W405" t="s">
        <v>194</v>
      </c>
      <c r="X405">
        <v>14</v>
      </c>
      <c r="Y405">
        <v>14</v>
      </c>
      <c r="Z405" t="s">
        <v>733</v>
      </c>
      <c r="AA405" t="s">
        <v>734</v>
      </c>
      <c r="AB405" t="s">
        <v>96</v>
      </c>
      <c r="AC405" t="s">
        <v>97</v>
      </c>
      <c r="AD405" t="s">
        <v>690</v>
      </c>
      <c r="AG405" t="s">
        <v>735</v>
      </c>
      <c r="AH405">
        <v>0</v>
      </c>
      <c r="AI405">
        <v>650</v>
      </c>
      <c r="AJ405">
        <v>66</v>
      </c>
      <c r="AK405">
        <v>28</v>
      </c>
      <c r="AL405">
        <v>0.78</v>
      </c>
    </row>
    <row r="406" spans="1:38" x14ac:dyDescent="0.3">
      <c r="A406" t="s">
        <v>685</v>
      </c>
      <c r="B406">
        <v>122136</v>
      </c>
      <c r="C406">
        <v>3</v>
      </c>
      <c r="D406" t="s">
        <v>731</v>
      </c>
      <c r="E406" t="s">
        <v>732</v>
      </c>
      <c r="F406">
        <v>36</v>
      </c>
      <c r="G406">
        <v>19.43</v>
      </c>
      <c r="H406">
        <v>64.260000000000005</v>
      </c>
      <c r="I406">
        <v>15.09</v>
      </c>
      <c r="J406">
        <v>49.91</v>
      </c>
      <c r="K406">
        <v>18</v>
      </c>
      <c r="T406">
        <v>3</v>
      </c>
      <c r="U406">
        <v>2</v>
      </c>
      <c r="V406" t="s">
        <v>93</v>
      </c>
      <c r="W406" t="s">
        <v>275</v>
      </c>
      <c r="X406">
        <v>14</v>
      </c>
      <c r="Y406">
        <v>14</v>
      </c>
      <c r="Z406" t="s">
        <v>733</v>
      </c>
      <c r="AA406" t="s">
        <v>734</v>
      </c>
      <c r="AB406" t="s">
        <v>96</v>
      </c>
      <c r="AC406" t="s">
        <v>97</v>
      </c>
      <c r="AD406" t="s">
        <v>690</v>
      </c>
      <c r="AG406" t="s">
        <v>735</v>
      </c>
      <c r="AH406">
        <v>0</v>
      </c>
      <c r="AI406">
        <v>650</v>
      </c>
      <c r="AJ406">
        <v>66</v>
      </c>
      <c r="AK406">
        <v>28</v>
      </c>
      <c r="AL406">
        <v>0.78</v>
      </c>
    </row>
    <row r="407" spans="1:38" x14ac:dyDescent="0.3">
      <c r="A407" t="s">
        <v>685</v>
      </c>
      <c r="B407">
        <v>140401</v>
      </c>
      <c r="C407">
        <v>1</v>
      </c>
      <c r="D407" t="s">
        <v>736</v>
      </c>
      <c r="E407" t="s">
        <v>737</v>
      </c>
      <c r="F407">
        <v>13</v>
      </c>
      <c r="G407">
        <v>22.85</v>
      </c>
      <c r="H407">
        <v>75.540000000000006</v>
      </c>
      <c r="I407">
        <v>19.64</v>
      </c>
      <c r="J407">
        <v>64.930000000000007</v>
      </c>
      <c r="K407">
        <v>4</v>
      </c>
      <c r="T407">
        <v>3</v>
      </c>
      <c r="U407">
        <v>1</v>
      </c>
      <c r="V407" t="s">
        <v>93</v>
      </c>
      <c r="W407">
        <v>75</v>
      </c>
      <c r="X407">
        <v>12</v>
      </c>
      <c r="Y407">
        <v>12</v>
      </c>
      <c r="Z407" t="s">
        <v>738</v>
      </c>
      <c r="AA407" t="s">
        <v>739</v>
      </c>
      <c r="AB407" t="s">
        <v>96</v>
      </c>
      <c r="AC407" t="s">
        <v>97</v>
      </c>
      <c r="AD407" t="s">
        <v>690</v>
      </c>
      <c r="AG407" t="s">
        <v>740</v>
      </c>
      <c r="AH407">
        <v>0</v>
      </c>
      <c r="AI407">
        <v>594</v>
      </c>
      <c r="AJ407">
        <v>69</v>
      </c>
      <c r="AK407">
        <v>14</v>
      </c>
      <c r="AL407">
        <v>1.08</v>
      </c>
    </row>
    <row r="408" spans="1:38" x14ac:dyDescent="0.3">
      <c r="A408" t="s">
        <v>685</v>
      </c>
      <c r="B408">
        <v>140401</v>
      </c>
      <c r="C408">
        <v>2</v>
      </c>
      <c r="D408" t="s">
        <v>736</v>
      </c>
      <c r="E408" t="s">
        <v>737</v>
      </c>
      <c r="F408">
        <v>13</v>
      </c>
      <c r="G408">
        <v>23.65</v>
      </c>
      <c r="H408">
        <v>78.19</v>
      </c>
      <c r="I408">
        <v>20.32</v>
      </c>
      <c r="J408">
        <v>67.2</v>
      </c>
      <c r="K408">
        <v>5</v>
      </c>
      <c r="T408">
        <v>3</v>
      </c>
      <c r="U408">
        <v>1</v>
      </c>
      <c r="V408" t="s">
        <v>93</v>
      </c>
      <c r="W408" t="s">
        <v>318</v>
      </c>
      <c r="X408">
        <v>12</v>
      </c>
      <c r="Y408">
        <v>12</v>
      </c>
      <c r="Z408" t="s">
        <v>738</v>
      </c>
      <c r="AA408" t="s">
        <v>739</v>
      </c>
      <c r="AB408" t="s">
        <v>96</v>
      </c>
      <c r="AC408" t="s">
        <v>97</v>
      </c>
      <c r="AD408" t="s">
        <v>690</v>
      </c>
      <c r="AG408" t="s">
        <v>740</v>
      </c>
      <c r="AH408">
        <v>0</v>
      </c>
      <c r="AI408">
        <v>594</v>
      </c>
      <c r="AJ408">
        <v>69</v>
      </c>
      <c r="AK408">
        <v>14</v>
      </c>
      <c r="AL408">
        <v>1.08</v>
      </c>
    </row>
    <row r="409" spans="1:38" x14ac:dyDescent="0.3">
      <c r="A409" t="s">
        <v>685</v>
      </c>
      <c r="B409">
        <v>140401</v>
      </c>
      <c r="C409">
        <v>3</v>
      </c>
      <c r="D409" t="s">
        <v>736</v>
      </c>
      <c r="E409" t="s">
        <v>737</v>
      </c>
      <c r="F409">
        <v>13</v>
      </c>
      <c r="G409">
        <v>24.43</v>
      </c>
      <c r="H409">
        <v>80.77</v>
      </c>
      <c r="I409">
        <v>20.99</v>
      </c>
      <c r="J409">
        <v>69.42</v>
      </c>
      <c r="K409">
        <v>3</v>
      </c>
      <c r="T409">
        <v>3</v>
      </c>
      <c r="U409">
        <v>1</v>
      </c>
      <c r="V409" t="s">
        <v>93</v>
      </c>
      <c r="W409" t="s">
        <v>633</v>
      </c>
      <c r="X409">
        <v>12</v>
      </c>
      <c r="Y409">
        <v>12</v>
      </c>
      <c r="Z409" t="s">
        <v>738</v>
      </c>
      <c r="AA409" t="s">
        <v>739</v>
      </c>
      <c r="AB409" t="s">
        <v>96</v>
      </c>
      <c r="AC409" t="s">
        <v>97</v>
      </c>
      <c r="AD409" t="s">
        <v>690</v>
      </c>
      <c r="AG409" t="s">
        <v>740</v>
      </c>
      <c r="AH409">
        <v>0</v>
      </c>
      <c r="AI409">
        <v>594</v>
      </c>
      <c r="AJ409">
        <v>69</v>
      </c>
      <c r="AK409">
        <v>14</v>
      </c>
      <c r="AL409">
        <v>1.08</v>
      </c>
    </row>
    <row r="410" spans="1:38" x14ac:dyDescent="0.3">
      <c r="A410" t="s">
        <v>685</v>
      </c>
      <c r="B410">
        <v>140401</v>
      </c>
      <c r="C410">
        <v>4</v>
      </c>
      <c r="D410" t="s">
        <v>736</v>
      </c>
      <c r="E410" t="s">
        <v>737</v>
      </c>
      <c r="F410">
        <v>13</v>
      </c>
      <c r="G410">
        <v>24.39</v>
      </c>
      <c r="H410">
        <v>80.64</v>
      </c>
      <c r="I410">
        <v>20.96</v>
      </c>
      <c r="J410">
        <v>69.319999999999993</v>
      </c>
      <c r="K410">
        <v>1</v>
      </c>
      <c r="T410">
        <v>3</v>
      </c>
      <c r="U410">
        <v>1</v>
      </c>
      <c r="V410" t="s">
        <v>93</v>
      </c>
      <c r="W410" t="s">
        <v>322</v>
      </c>
      <c r="X410">
        <v>12</v>
      </c>
      <c r="Y410">
        <v>12</v>
      </c>
      <c r="Z410" t="s">
        <v>738</v>
      </c>
      <c r="AA410" t="s">
        <v>739</v>
      </c>
      <c r="AB410" t="s">
        <v>96</v>
      </c>
      <c r="AC410" t="s">
        <v>97</v>
      </c>
      <c r="AD410" t="s">
        <v>690</v>
      </c>
      <c r="AG410" t="s">
        <v>740</v>
      </c>
      <c r="AH410">
        <v>0</v>
      </c>
      <c r="AI410">
        <v>594</v>
      </c>
      <c r="AJ410">
        <v>69</v>
      </c>
      <c r="AK410">
        <v>14</v>
      </c>
      <c r="AL410">
        <v>1.08</v>
      </c>
    </row>
    <row r="411" spans="1:38" x14ac:dyDescent="0.3">
      <c r="A411" t="s">
        <v>685</v>
      </c>
      <c r="B411">
        <v>12092</v>
      </c>
      <c r="C411">
        <v>1</v>
      </c>
      <c r="D411" t="s">
        <v>741</v>
      </c>
      <c r="E411" t="s">
        <v>742</v>
      </c>
      <c r="F411">
        <v>19</v>
      </c>
      <c r="G411">
        <v>24.48</v>
      </c>
      <c r="H411">
        <v>80.930000000000007</v>
      </c>
      <c r="I411">
        <v>21.32</v>
      </c>
      <c r="J411">
        <v>70.489999999999995</v>
      </c>
      <c r="K411">
        <v>2</v>
      </c>
      <c r="T411">
        <v>3</v>
      </c>
      <c r="U411">
        <v>1</v>
      </c>
      <c r="V411" t="s">
        <v>211</v>
      </c>
      <c r="W411">
        <v>80</v>
      </c>
      <c r="X411">
        <v>7</v>
      </c>
      <c r="Y411">
        <v>6</v>
      </c>
      <c r="Z411" t="s">
        <v>743</v>
      </c>
      <c r="AA411" t="s">
        <v>744</v>
      </c>
      <c r="AB411" t="s">
        <v>96</v>
      </c>
      <c r="AC411" t="s">
        <v>97</v>
      </c>
      <c r="AD411" t="s">
        <v>690</v>
      </c>
      <c r="AG411" t="s">
        <v>745</v>
      </c>
      <c r="AH411">
        <v>0</v>
      </c>
      <c r="AI411">
        <v>326</v>
      </c>
      <c r="AJ411">
        <v>66</v>
      </c>
      <c r="AK411">
        <v>17</v>
      </c>
      <c r="AL411">
        <v>0.89</v>
      </c>
    </row>
    <row r="412" spans="1:38" x14ac:dyDescent="0.3">
      <c r="A412" t="s">
        <v>685</v>
      </c>
      <c r="B412">
        <v>12092</v>
      </c>
      <c r="C412">
        <v>2</v>
      </c>
      <c r="D412" t="s">
        <v>741</v>
      </c>
      <c r="E412" t="s">
        <v>742</v>
      </c>
      <c r="F412">
        <v>19</v>
      </c>
      <c r="G412">
        <v>24.61</v>
      </c>
      <c r="H412">
        <v>81.36</v>
      </c>
      <c r="I412">
        <v>21.43</v>
      </c>
      <c r="J412">
        <v>70.86</v>
      </c>
      <c r="K412">
        <v>6</v>
      </c>
      <c r="T412">
        <v>3</v>
      </c>
      <c r="U412">
        <v>2</v>
      </c>
      <c r="V412" t="s">
        <v>211</v>
      </c>
      <c r="W412" t="s">
        <v>746</v>
      </c>
      <c r="X412">
        <v>7</v>
      </c>
      <c r="Y412">
        <v>6</v>
      </c>
      <c r="Z412" t="s">
        <v>743</v>
      </c>
      <c r="AA412" t="s">
        <v>744</v>
      </c>
      <c r="AB412" t="s">
        <v>96</v>
      </c>
      <c r="AC412" t="s">
        <v>97</v>
      </c>
      <c r="AD412" t="s">
        <v>690</v>
      </c>
      <c r="AG412" t="s">
        <v>745</v>
      </c>
      <c r="AH412">
        <v>0</v>
      </c>
      <c r="AI412">
        <v>326</v>
      </c>
      <c r="AJ412">
        <v>66</v>
      </c>
      <c r="AK412">
        <v>17</v>
      </c>
      <c r="AL412">
        <v>0.89</v>
      </c>
    </row>
    <row r="413" spans="1:38" x14ac:dyDescent="0.3">
      <c r="A413" t="s">
        <v>685</v>
      </c>
      <c r="B413">
        <v>12092</v>
      </c>
      <c r="C413">
        <v>3</v>
      </c>
      <c r="D413" t="s">
        <v>741</v>
      </c>
      <c r="E413" t="s">
        <v>742</v>
      </c>
      <c r="F413">
        <v>19</v>
      </c>
      <c r="G413">
        <v>24.7</v>
      </c>
      <c r="H413">
        <v>81.67</v>
      </c>
      <c r="I413">
        <v>21.51</v>
      </c>
      <c r="J413">
        <v>71.13</v>
      </c>
      <c r="K413">
        <v>3</v>
      </c>
      <c r="T413">
        <v>3</v>
      </c>
      <c r="U413">
        <v>2</v>
      </c>
      <c r="V413" t="s">
        <v>211</v>
      </c>
      <c r="W413" t="s">
        <v>747</v>
      </c>
      <c r="X413">
        <v>7</v>
      </c>
      <c r="Y413">
        <v>6</v>
      </c>
      <c r="Z413" t="s">
        <v>743</v>
      </c>
      <c r="AA413" t="s">
        <v>744</v>
      </c>
      <c r="AB413" t="s">
        <v>96</v>
      </c>
      <c r="AC413" t="s">
        <v>97</v>
      </c>
      <c r="AD413" t="s">
        <v>690</v>
      </c>
      <c r="AG413" t="s">
        <v>745</v>
      </c>
      <c r="AH413">
        <v>0</v>
      </c>
      <c r="AI413">
        <v>326</v>
      </c>
      <c r="AJ413">
        <v>66</v>
      </c>
      <c r="AK413">
        <v>17</v>
      </c>
      <c r="AL413">
        <v>0.89</v>
      </c>
    </row>
    <row r="414" spans="1:38" x14ac:dyDescent="0.3">
      <c r="A414" t="s">
        <v>685</v>
      </c>
      <c r="B414">
        <v>12092</v>
      </c>
      <c r="C414">
        <v>4</v>
      </c>
      <c r="D414" t="s">
        <v>741</v>
      </c>
      <c r="E414" t="s">
        <v>742</v>
      </c>
      <c r="F414">
        <v>19</v>
      </c>
      <c r="G414">
        <v>24.57</v>
      </c>
      <c r="H414">
        <v>81.239999999999995</v>
      </c>
      <c r="I414">
        <v>21.4</v>
      </c>
      <c r="J414">
        <v>70.760000000000005</v>
      </c>
      <c r="K414">
        <v>1</v>
      </c>
      <c r="T414">
        <v>3</v>
      </c>
      <c r="U414">
        <v>2</v>
      </c>
      <c r="V414" t="s">
        <v>211</v>
      </c>
      <c r="W414" t="s">
        <v>502</v>
      </c>
      <c r="X414">
        <v>7</v>
      </c>
      <c r="Y414">
        <v>6</v>
      </c>
      <c r="Z414" t="s">
        <v>743</v>
      </c>
      <c r="AA414" t="s">
        <v>744</v>
      </c>
      <c r="AB414" t="s">
        <v>96</v>
      </c>
      <c r="AC414" t="s">
        <v>97</v>
      </c>
      <c r="AD414" t="s">
        <v>690</v>
      </c>
      <c r="AG414" t="s">
        <v>745</v>
      </c>
      <c r="AH414">
        <v>0</v>
      </c>
      <c r="AI414">
        <v>326</v>
      </c>
      <c r="AJ414">
        <v>66</v>
      </c>
      <c r="AK414">
        <v>17</v>
      </c>
      <c r="AL414">
        <v>0.89</v>
      </c>
    </row>
    <row r="415" spans="1:38" x14ac:dyDescent="0.3">
      <c r="A415" t="s">
        <v>685</v>
      </c>
      <c r="B415">
        <v>12092</v>
      </c>
      <c r="C415">
        <v>5</v>
      </c>
      <c r="D415" t="s">
        <v>741</v>
      </c>
      <c r="E415" t="s">
        <v>742</v>
      </c>
      <c r="F415">
        <v>19</v>
      </c>
      <c r="G415">
        <v>24.84</v>
      </c>
      <c r="H415">
        <v>82.14</v>
      </c>
      <c r="I415">
        <v>21.64</v>
      </c>
      <c r="J415">
        <v>71.540000000000006</v>
      </c>
      <c r="K415">
        <v>3</v>
      </c>
      <c r="T415">
        <v>3</v>
      </c>
      <c r="U415">
        <v>2</v>
      </c>
      <c r="V415" t="s">
        <v>211</v>
      </c>
      <c r="W415" t="s">
        <v>504</v>
      </c>
      <c r="X415">
        <v>7</v>
      </c>
      <c r="Y415">
        <v>6</v>
      </c>
      <c r="Z415" t="s">
        <v>743</v>
      </c>
      <c r="AA415" t="s">
        <v>744</v>
      </c>
      <c r="AB415" t="s">
        <v>96</v>
      </c>
      <c r="AC415" t="s">
        <v>97</v>
      </c>
      <c r="AD415" t="s">
        <v>690</v>
      </c>
      <c r="AG415" t="s">
        <v>745</v>
      </c>
      <c r="AH415">
        <v>0</v>
      </c>
      <c r="AI415">
        <v>326</v>
      </c>
      <c r="AJ415">
        <v>66</v>
      </c>
      <c r="AK415">
        <v>17</v>
      </c>
      <c r="AL415">
        <v>0.89</v>
      </c>
    </row>
    <row r="416" spans="1:38" x14ac:dyDescent="0.3">
      <c r="A416" t="s">
        <v>685</v>
      </c>
      <c r="B416">
        <v>12092</v>
      </c>
      <c r="C416">
        <v>6</v>
      </c>
      <c r="D416" t="s">
        <v>741</v>
      </c>
      <c r="E416" t="s">
        <v>742</v>
      </c>
      <c r="F416">
        <v>19</v>
      </c>
      <c r="G416">
        <v>24.82</v>
      </c>
      <c r="H416">
        <v>82.05</v>
      </c>
      <c r="I416">
        <v>21.61</v>
      </c>
      <c r="J416">
        <v>71.459999999999994</v>
      </c>
      <c r="K416">
        <v>1</v>
      </c>
      <c r="T416">
        <v>3</v>
      </c>
      <c r="U416">
        <v>2</v>
      </c>
      <c r="V416" t="s">
        <v>211</v>
      </c>
      <c r="W416" t="s">
        <v>748</v>
      </c>
      <c r="X416">
        <v>7</v>
      </c>
      <c r="Y416">
        <v>6</v>
      </c>
      <c r="Z416" t="s">
        <v>743</v>
      </c>
      <c r="AA416" t="s">
        <v>744</v>
      </c>
      <c r="AB416" t="s">
        <v>96</v>
      </c>
      <c r="AC416" t="s">
        <v>97</v>
      </c>
      <c r="AD416" t="s">
        <v>690</v>
      </c>
      <c r="AG416" t="s">
        <v>745</v>
      </c>
      <c r="AH416">
        <v>0</v>
      </c>
      <c r="AI416">
        <v>326</v>
      </c>
      <c r="AJ416">
        <v>66</v>
      </c>
      <c r="AK416">
        <v>17</v>
      </c>
      <c r="AL416">
        <v>0.89</v>
      </c>
    </row>
    <row r="417" spans="1:38" x14ac:dyDescent="0.3">
      <c r="A417" t="s">
        <v>685</v>
      </c>
      <c r="B417">
        <v>12092</v>
      </c>
      <c r="C417">
        <v>7</v>
      </c>
      <c r="D417" t="s">
        <v>741</v>
      </c>
      <c r="E417" t="s">
        <v>742</v>
      </c>
      <c r="F417">
        <v>19</v>
      </c>
      <c r="G417">
        <v>26.09</v>
      </c>
      <c r="H417">
        <v>86.27</v>
      </c>
      <c r="I417">
        <v>22.72</v>
      </c>
      <c r="J417">
        <v>75.14</v>
      </c>
      <c r="K417">
        <v>1</v>
      </c>
      <c r="T417">
        <v>3</v>
      </c>
      <c r="U417">
        <v>1</v>
      </c>
      <c r="V417" t="s">
        <v>93</v>
      </c>
      <c r="W417">
        <v>86</v>
      </c>
      <c r="X417">
        <v>7</v>
      </c>
      <c r="Y417">
        <v>6</v>
      </c>
      <c r="Z417" t="s">
        <v>743</v>
      </c>
      <c r="AA417" t="s">
        <v>744</v>
      </c>
      <c r="AB417" t="s">
        <v>96</v>
      </c>
      <c r="AC417" t="s">
        <v>97</v>
      </c>
      <c r="AD417" t="s">
        <v>690</v>
      </c>
      <c r="AG417" t="s">
        <v>745</v>
      </c>
      <c r="AH417">
        <v>0</v>
      </c>
      <c r="AI417">
        <v>326</v>
      </c>
      <c r="AJ417">
        <v>66</v>
      </c>
      <c r="AK417">
        <v>17</v>
      </c>
      <c r="AL417">
        <v>0.89</v>
      </c>
    </row>
    <row r="418" spans="1:38" x14ac:dyDescent="0.3">
      <c r="A418" t="s">
        <v>685</v>
      </c>
      <c r="B418">
        <v>12092</v>
      </c>
      <c r="C418">
        <v>8</v>
      </c>
      <c r="D418" t="s">
        <v>741</v>
      </c>
      <c r="E418" t="s">
        <v>742</v>
      </c>
      <c r="F418">
        <v>19</v>
      </c>
      <c r="G418">
        <v>26.63</v>
      </c>
      <c r="H418">
        <v>88.06</v>
      </c>
      <c r="I418">
        <v>23.2</v>
      </c>
      <c r="J418">
        <v>76.7</v>
      </c>
      <c r="K418">
        <v>1</v>
      </c>
      <c r="T418">
        <v>3</v>
      </c>
      <c r="U418">
        <v>1</v>
      </c>
      <c r="V418" t="s">
        <v>93</v>
      </c>
      <c r="W418">
        <v>88</v>
      </c>
      <c r="X418">
        <v>7</v>
      </c>
      <c r="Y418">
        <v>6</v>
      </c>
      <c r="Z418" t="s">
        <v>743</v>
      </c>
      <c r="AA418" t="s">
        <v>744</v>
      </c>
      <c r="AB418" t="s">
        <v>96</v>
      </c>
      <c r="AC418" t="s">
        <v>97</v>
      </c>
      <c r="AD418" t="s">
        <v>690</v>
      </c>
      <c r="AG418" t="s">
        <v>745</v>
      </c>
      <c r="AH418">
        <v>0</v>
      </c>
      <c r="AI418">
        <v>326</v>
      </c>
      <c r="AJ418">
        <v>66</v>
      </c>
      <c r="AK418">
        <v>17</v>
      </c>
      <c r="AL418">
        <v>0.89</v>
      </c>
    </row>
    <row r="419" spans="1:38" x14ac:dyDescent="0.3">
      <c r="A419" t="s">
        <v>685</v>
      </c>
      <c r="B419">
        <v>12092</v>
      </c>
      <c r="C419">
        <v>9</v>
      </c>
      <c r="D419" t="s">
        <v>741</v>
      </c>
      <c r="E419" t="s">
        <v>742</v>
      </c>
      <c r="F419">
        <v>19</v>
      </c>
      <c r="G419">
        <v>29.48</v>
      </c>
      <c r="H419">
        <v>97.46</v>
      </c>
      <c r="I419">
        <v>25.67</v>
      </c>
      <c r="J419">
        <v>84.88</v>
      </c>
      <c r="K419">
        <v>1</v>
      </c>
      <c r="T419">
        <v>3</v>
      </c>
      <c r="U419">
        <v>2</v>
      </c>
      <c r="V419" t="s">
        <v>93</v>
      </c>
      <c r="W419">
        <v>97</v>
      </c>
      <c r="X419">
        <v>7</v>
      </c>
      <c r="Y419">
        <v>6</v>
      </c>
      <c r="Z419" t="s">
        <v>743</v>
      </c>
      <c r="AA419" t="s">
        <v>744</v>
      </c>
      <c r="AB419" t="s">
        <v>96</v>
      </c>
      <c r="AC419" t="s">
        <v>97</v>
      </c>
      <c r="AD419" t="s">
        <v>690</v>
      </c>
      <c r="AG419" t="s">
        <v>745</v>
      </c>
      <c r="AH419">
        <v>0</v>
      </c>
      <c r="AI419">
        <v>326</v>
      </c>
      <c r="AJ419">
        <v>66</v>
      </c>
      <c r="AK419">
        <v>17</v>
      </c>
      <c r="AL419">
        <v>0.89</v>
      </c>
    </row>
    <row r="420" spans="1:38" x14ac:dyDescent="0.3">
      <c r="A420" t="s">
        <v>685</v>
      </c>
      <c r="B420">
        <v>22524</v>
      </c>
      <c r="C420">
        <v>1</v>
      </c>
      <c r="D420" t="s">
        <v>749</v>
      </c>
      <c r="E420" t="s">
        <v>742</v>
      </c>
      <c r="F420">
        <v>10</v>
      </c>
      <c r="G420">
        <v>23.34</v>
      </c>
      <c r="H420">
        <v>77.19</v>
      </c>
      <c r="I420">
        <v>21.03</v>
      </c>
      <c r="J420">
        <v>69.53</v>
      </c>
      <c r="K420">
        <v>1</v>
      </c>
      <c r="T420">
        <v>3</v>
      </c>
      <c r="U420">
        <v>1</v>
      </c>
      <c r="V420" t="s">
        <v>211</v>
      </c>
      <c r="W420">
        <v>77</v>
      </c>
      <c r="X420">
        <v>7</v>
      </c>
      <c r="Y420">
        <v>7</v>
      </c>
      <c r="Z420" t="s">
        <v>750</v>
      </c>
      <c r="AA420" t="s">
        <v>751</v>
      </c>
      <c r="AB420" t="s">
        <v>96</v>
      </c>
      <c r="AC420" t="s">
        <v>97</v>
      </c>
      <c r="AD420" t="s">
        <v>690</v>
      </c>
      <c r="AG420" t="s">
        <v>752</v>
      </c>
      <c r="AH420">
        <v>0</v>
      </c>
      <c r="AI420">
        <v>328</v>
      </c>
      <c r="AJ420">
        <v>67</v>
      </c>
      <c r="AK420">
        <v>0</v>
      </c>
      <c r="AL420">
        <v>0</v>
      </c>
    </row>
    <row r="421" spans="1:38" x14ac:dyDescent="0.3">
      <c r="A421" t="s">
        <v>685</v>
      </c>
      <c r="B421">
        <v>22524</v>
      </c>
      <c r="C421">
        <v>2</v>
      </c>
      <c r="D421" t="s">
        <v>749</v>
      </c>
      <c r="E421" t="s">
        <v>742</v>
      </c>
      <c r="F421">
        <v>10</v>
      </c>
      <c r="G421">
        <v>28.32</v>
      </c>
      <c r="H421">
        <v>93.65</v>
      </c>
      <c r="I421">
        <v>25.51</v>
      </c>
      <c r="J421">
        <v>84.35</v>
      </c>
      <c r="K421">
        <v>9</v>
      </c>
      <c r="T421">
        <v>3</v>
      </c>
      <c r="U421">
        <v>2</v>
      </c>
      <c r="V421" t="s">
        <v>93</v>
      </c>
      <c r="W421">
        <v>93</v>
      </c>
      <c r="X421">
        <v>7</v>
      </c>
      <c r="Y421">
        <v>7</v>
      </c>
      <c r="Z421" t="s">
        <v>750</v>
      </c>
      <c r="AA421" t="s">
        <v>751</v>
      </c>
      <c r="AB421" t="s">
        <v>96</v>
      </c>
      <c r="AC421" t="s">
        <v>97</v>
      </c>
      <c r="AD421" t="s">
        <v>690</v>
      </c>
      <c r="AG421" t="s">
        <v>752</v>
      </c>
      <c r="AH421">
        <v>0</v>
      </c>
      <c r="AI421">
        <v>328</v>
      </c>
      <c r="AJ421">
        <v>67</v>
      </c>
      <c r="AK421">
        <v>0</v>
      </c>
      <c r="AL421">
        <v>0</v>
      </c>
    </row>
    <row r="422" spans="1:38" x14ac:dyDescent="0.3">
      <c r="A422" t="s">
        <v>685</v>
      </c>
      <c r="B422">
        <v>141987</v>
      </c>
      <c r="C422">
        <v>1</v>
      </c>
      <c r="D422" t="s">
        <v>753</v>
      </c>
      <c r="E422" t="s">
        <v>754</v>
      </c>
      <c r="F422">
        <v>9</v>
      </c>
      <c r="G422">
        <v>20.53</v>
      </c>
      <c r="H422">
        <v>67.88</v>
      </c>
      <c r="I422">
        <v>16.38</v>
      </c>
      <c r="J422">
        <v>54.18</v>
      </c>
      <c r="K422">
        <v>3</v>
      </c>
      <c r="T422">
        <v>3</v>
      </c>
      <c r="U422">
        <v>1</v>
      </c>
      <c r="V422" t="s">
        <v>93</v>
      </c>
      <c r="W422" t="s">
        <v>395</v>
      </c>
      <c r="X422">
        <v>11</v>
      </c>
      <c r="Y422">
        <v>11</v>
      </c>
      <c r="Z422" t="s">
        <v>755</v>
      </c>
      <c r="AA422" t="s">
        <v>756</v>
      </c>
      <c r="AB422" t="s">
        <v>96</v>
      </c>
      <c r="AC422" t="s">
        <v>97</v>
      </c>
      <c r="AD422" t="s">
        <v>690</v>
      </c>
      <c r="AG422" t="s">
        <v>757</v>
      </c>
      <c r="AH422">
        <v>0</v>
      </c>
      <c r="AI422">
        <v>664</v>
      </c>
      <c r="AJ422">
        <v>79</v>
      </c>
      <c r="AK422">
        <v>9</v>
      </c>
      <c r="AL422">
        <v>1</v>
      </c>
    </row>
    <row r="423" spans="1:38" x14ac:dyDescent="0.3">
      <c r="A423" t="s">
        <v>685</v>
      </c>
      <c r="B423">
        <v>141987</v>
      </c>
      <c r="C423">
        <v>2</v>
      </c>
      <c r="D423" t="s">
        <v>753</v>
      </c>
      <c r="E423" t="s">
        <v>754</v>
      </c>
      <c r="F423">
        <v>9</v>
      </c>
      <c r="G423">
        <v>21.3</v>
      </c>
      <c r="H423">
        <v>70.44</v>
      </c>
      <c r="I423">
        <v>17.05</v>
      </c>
      <c r="J423">
        <v>56.39</v>
      </c>
      <c r="K423">
        <v>3</v>
      </c>
      <c r="T423">
        <v>3</v>
      </c>
      <c r="U423">
        <v>1</v>
      </c>
      <c r="V423" t="s">
        <v>93</v>
      </c>
      <c r="W423" t="s">
        <v>490</v>
      </c>
      <c r="X423">
        <v>11</v>
      </c>
      <c r="Y423">
        <v>11</v>
      </c>
      <c r="Z423" t="s">
        <v>755</v>
      </c>
      <c r="AA423" t="s">
        <v>756</v>
      </c>
      <c r="AB423" t="s">
        <v>96</v>
      </c>
      <c r="AC423" t="s">
        <v>97</v>
      </c>
      <c r="AD423" t="s">
        <v>690</v>
      </c>
      <c r="AG423" t="s">
        <v>757</v>
      </c>
      <c r="AH423">
        <v>0</v>
      </c>
      <c r="AI423">
        <v>664</v>
      </c>
      <c r="AJ423">
        <v>79</v>
      </c>
      <c r="AK423">
        <v>9</v>
      </c>
      <c r="AL423">
        <v>1</v>
      </c>
    </row>
    <row r="424" spans="1:38" x14ac:dyDescent="0.3">
      <c r="A424" t="s">
        <v>685</v>
      </c>
      <c r="B424">
        <v>141987</v>
      </c>
      <c r="C424">
        <v>3</v>
      </c>
      <c r="D424" t="s">
        <v>753</v>
      </c>
      <c r="E424" t="s">
        <v>754</v>
      </c>
      <c r="F424">
        <v>9</v>
      </c>
      <c r="G424">
        <v>22.82</v>
      </c>
      <c r="H424">
        <v>75.459999999999994</v>
      </c>
      <c r="I424">
        <v>18.309999999999999</v>
      </c>
      <c r="J424">
        <v>60.53</v>
      </c>
      <c r="K424">
        <v>3</v>
      </c>
      <c r="T424">
        <v>3</v>
      </c>
      <c r="U424">
        <v>1</v>
      </c>
      <c r="V424" t="s">
        <v>93</v>
      </c>
      <c r="W424">
        <v>75</v>
      </c>
      <c r="X424">
        <v>11</v>
      </c>
      <c r="Y424">
        <v>11</v>
      </c>
      <c r="Z424" t="s">
        <v>755</v>
      </c>
      <c r="AA424" t="s">
        <v>756</v>
      </c>
      <c r="AB424" t="s">
        <v>96</v>
      </c>
      <c r="AC424" t="s">
        <v>97</v>
      </c>
      <c r="AD424" t="s">
        <v>690</v>
      </c>
      <c r="AG424" t="s">
        <v>757</v>
      </c>
      <c r="AH424">
        <v>0</v>
      </c>
      <c r="AI424">
        <v>664</v>
      </c>
      <c r="AJ424">
        <v>79</v>
      </c>
      <c r="AK424">
        <v>9</v>
      </c>
      <c r="AL424">
        <v>1</v>
      </c>
    </row>
    <row r="425" spans="1:38" x14ac:dyDescent="0.3">
      <c r="A425" t="s">
        <v>685</v>
      </c>
      <c r="B425">
        <v>119299</v>
      </c>
      <c r="C425">
        <v>1</v>
      </c>
      <c r="D425" t="s">
        <v>758</v>
      </c>
      <c r="E425" t="s">
        <v>759</v>
      </c>
      <c r="F425">
        <v>12</v>
      </c>
      <c r="G425">
        <v>12.89</v>
      </c>
      <c r="H425">
        <v>42.64</v>
      </c>
      <c r="I425">
        <v>10.24</v>
      </c>
      <c r="J425">
        <v>33.869999999999997</v>
      </c>
      <c r="K425">
        <v>1</v>
      </c>
      <c r="T425">
        <v>1</v>
      </c>
      <c r="U425">
        <v>1</v>
      </c>
      <c r="V425" t="s">
        <v>93</v>
      </c>
      <c r="W425">
        <v>42</v>
      </c>
      <c r="X425">
        <v>9</v>
      </c>
      <c r="Y425">
        <v>9</v>
      </c>
      <c r="Z425" t="s">
        <v>760</v>
      </c>
      <c r="AA425" t="s">
        <v>761</v>
      </c>
      <c r="AB425" t="s">
        <v>96</v>
      </c>
      <c r="AC425" t="s">
        <v>97</v>
      </c>
      <c r="AD425" t="s">
        <v>690</v>
      </c>
      <c r="AG425" t="s">
        <v>762</v>
      </c>
      <c r="AH425">
        <v>0</v>
      </c>
      <c r="AI425">
        <v>329</v>
      </c>
      <c r="AJ425">
        <v>53</v>
      </c>
      <c r="AK425">
        <v>7</v>
      </c>
      <c r="AL425">
        <v>0.57999999999999996</v>
      </c>
    </row>
    <row r="426" spans="1:38" x14ac:dyDescent="0.3">
      <c r="A426" t="s">
        <v>685</v>
      </c>
      <c r="B426">
        <v>119299</v>
      </c>
      <c r="C426">
        <v>2</v>
      </c>
      <c r="D426" t="s">
        <v>758</v>
      </c>
      <c r="E426" t="s">
        <v>759</v>
      </c>
      <c r="F426">
        <v>12</v>
      </c>
      <c r="G426">
        <v>14.01</v>
      </c>
      <c r="H426">
        <v>46.34</v>
      </c>
      <c r="I426">
        <v>11.13</v>
      </c>
      <c r="J426">
        <v>36.81</v>
      </c>
      <c r="K426">
        <v>1</v>
      </c>
      <c r="T426">
        <v>1</v>
      </c>
      <c r="U426">
        <v>1</v>
      </c>
      <c r="V426" t="s">
        <v>93</v>
      </c>
      <c r="W426">
        <v>46</v>
      </c>
      <c r="X426">
        <v>9</v>
      </c>
      <c r="Y426">
        <v>9</v>
      </c>
      <c r="Z426" t="s">
        <v>760</v>
      </c>
      <c r="AA426" t="s">
        <v>761</v>
      </c>
      <c r="AB426" t="s">
        <v>96</v>
      </c>
      <c r="AC426" t="s">
        <v>97</v>
      </c>
      <c r="AD426" t="s">
        <v>690</v>
      </c>
      <c r="AG426" t="s">
        <v>762</v>
      </c>
      <c r="AH426">
        <v>0</v>
      </c>
      <c r="AI426">
        <v>329</v>
      </c>
      <c r="AJ426">
        <v>53</v>
      </c>
      <c r="AK426">
        <v>7</v>
      </c>
      <c r="AL426">
        <v>0.57999999999999996</v>
      </c>
    </row>
    <row r="427" spans="1:38" x14ac:dyDescent="0.3">
      <c r="A427" t="s">
        <v>685</v>
      </c>
      <c r="B427">
        <v>119299</v>
      </c>
      <c r="C427">
        <v>3</v>
      </c>
      <c r="D427" t="s">
        <v>758</v>
      </c>
      <c r="E427" t="s">
        <v>759</v>
      </c>
      <c r="F427">
        <v>12</v>
      </c>
      <c r="G427">
        <v>17.29</v>
      </c>
      <c r="H427">
        <v>57.17</v>
      </c>
      <c r="I427">
        <v>13.73</v>
      </c>
      <c r="J427">
        <v>45.42</v>
      </c>
      <c r="K427">
        <v>4</v>
      </c>
      <c r="T427">
        <v>1</v>
      </c>
      <c r="U427">
        <v>1</v>
      </c>
      <c r="V427" t="s">
        <v>93</v>
      </c>
      <c r="W427">
        <v>57</v>
      </c>
      <c r="X427">
        <v>9</v>
      </c>
      <c r="Y427">
        <v>9</v>
      </c>
      <c r="Z427" t="s">
        <v>760</v>
      </c>
      <c r="AA427" t="s">
        <v>761</v>
      </c>
      <c r="AB427" t="s">
        <v>96</v>
      </c>
      <c r="AC427" t="s">
        <v>97</v>
      </c>
      <c r="AD427" t="s">
        <v>690</v>
      </c>
      <c r="AG427" t="s">
        <v>762</v>
      </c>
      <c r="AH427">
        <v>0</v>
      </c>
      <c r="AI427">
        <v>329</v>
      </c>
      <c r="AJ427">
        <v>53</v>
      </c>
      <c r="AK427">
        <v>7</v>
      </c>
      <c r="AL427">
        <v>0.57999999999999996</v>
      </c>
    </row>
    <row r="428" spans="1:38" x14ac:dyDescent="0.3">
      <c r="A428" t="s">
        <v>685</v>
      </c>
      <c r="B428">
        <v>119299</v>
      </c>
      <c r="C428">
        <v>4</v>
      </c>
      <c r="D428" t="s">
        <v>758</v>
      </c>
      <c r="E428" t="s">
        <v>759</v>
      </c>
      <c r="F428">
        <v>12</v>
      </c>
      <c r="G428">
        <v>17.600000000000001</v>
      </c>
      <c r="H428">
        <v>58.19</v>
      </c>
      <c r="I428">
        <v>13.98</v>
      </c>
      <c r="J428">
        <v>46.23</v>
      </c>
      <c r="K428">
        <v>1</v>
      </c>
      <c r="T428">
        <v>1</v>
      </c>
      <c r="U428">
        <v>1</v>
      </c>
      <c r="V428" t="s">
        <v>93</v>
      </c>
      <c r="W428">
        <v>58</v>
      </c>
      <c r="X428">
        <v>9</v>
      </c>
      <c r="Y428">
        <v>9</v>
      </c>
      <c r="Z428" t="s">
        <v>760</v>
      </c>
      <c r="AA428" t="s">
        <v>761</v>
      </c>
      <c r="AB428" t="s">
        <v>96</v>
      </c>
      <c r="AC428" t="s">
        <v>97</v>
      </c>
      <c r="AD428" t="s">
        <v>690</v>
      </c>
      <c r="AG428" t="s">
        <v>762</v>
      </c>
      <c r="AH428">
        <v>0</v>
      </c>
      <c r="AI428">
        <v>329</v>
      </c>
      <c r="AJ428">
        <v>53</v>
      </c>
      <c r="AK428">
        <v>7</v>
      </c>
      <c r="AL428">
        <v>0.57999999999999996</v>
      </c>
    </row>
    <row r="429" spans="1:38" x14ac:dyDescent="0.3">
      <c r="A429" t="s">
        <v>685</v>
      </c>
      <c r="B429">
        <v>119299</v>
      </c>
      <c r="C429">
        <v>5</v>
      </c>
      <c r="D429" t="s">
        <v>758</v>
      </c>
      <c r="E429" t="s">
        <v>759</v>
      </c>
      <c r="F429">
        <v>12</v>
      </c>
      <c r="G429">
        <v>18.59</v>
      </c>
      <c r="H429">
        <v>61.47</v>
      </c>
      <c r="I429">
        <v>14.77</v>
      </c>
      <c r="J429">
        <v>48.84</v>
      </c>
      <c r="K429">
        <v>5</v>
      </c>
      <c r="T429">
        <v>1</v>
      </c>
      <c r="U429">
        <v>1</v>
      </c>
      <c r="V429" t="s">
        <v>93</v>
      </c>
      <c r="W429">
        <v>61</v>
      </c>
      <c r="X429">
        <v>9</v>
      </c>
      <c r="Y429">
        <v>9</v>
      </c>
      <c r="Z429" t="s">
        <v>760</v>
      </c>
      <c r="AA429" t="s">
        <v>761</v>
      </c>
      <c r="AB429" t="s">
        <v>96</v>
      </c>
      <c r="AC429" t="s">
        <v>97</v>
      </c>
      <c r="AD429" t="s">
        <v>690</v>
      </c>
      <c r="AG429" t="s">
        <v>762</v>
      </c>
      <c r="AH429">
        <v>0</v>
      </c>
      <c r="AI429">
        <v>329</v>
      </c>
      <c r="AJ429">
        <v>53</v>
      </c>
      <c r="AK429">
        <v>7</v>
      </c>
      <c r="AL429">
        <v>0.57999999999999996</v>
      </c>
    </row>
    <row r="430" spans="1:38" x14ac:dyDescent="0.3">
      <c r="A430" t="s">
        <v>685</v>
      </c>
      <c r="B430">
        <v>10511</v>
      </c>
      <c r="C430">
        <v>1</v>
      </c>
      <c r="D430" t="s">
        <v>763</v>
      </c>
      <c r="E430" t="s">
        <v>764</v>
      </c>
      <c r="F430">
        <v>80</v>
      </c>
      <c r="G430">
        <v>17.79</v>
      </c>
      <c r="H430">
        <v>58.84</v>
      </c>
      <c r="I430">
        <v>15.13</v>
      </c>
      <c r="J430">
        <v>50.04</v>
      </c>
      <c r="K430">
        <v>80</v>
      </c>
      <c r="T430">
        <v>2</v>
      </c>
      <c r="U430">
        <v>1</v>
      </c>
      <c r="V430" t="s">
        <v>93</v>
      </c>
      <c r="W430">
        <v>58</v>
      </c>
      <c r="X430">
        <v>5</v>
      </c>
      <c r="Y430">
        <v>5</v>
      </c>
      <c r="Z430" t="s">
        <v>765</v>
      </c>
      <c r="AA430" t="s">
        <v>766</v>
      </c>
      <c r="AB430" t="s">
        <v>96</v>
      </c>
      <c r="AC430" t="s">
        <v>97</v>
      </c>
      <c r="AD430" t="s">
        <v>690</v>
      </c>
      <c r="AG430" t="s">
        <v>767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">
      <c r="A431" t="s">
        <v>685</v>
      </c>
      <c r="B431">
        <v>106061</v>
      </c>
      <c r="C431">
        <v>1</v>
      </c>
      <c r="D431" t="s">
        <v>768</v>
      </c>
      <c r="E431" t="s">
        <v>769</v>
      </c>
      <c r="F431">
        <v>140</v>
      </c>
      <c r="G431">
        <v>8.3699999999999992</v>
      </c>
      <c r="H431">
        <v>27.67</v>
      </c>
      <c r="I431">
        <v>4.6500000000000004</v>
      </c>
      <c r="J431">
        <v>15.39</v>
      </c>
      <c r="K431">
        <v>40</v>
      </c>
      <c r="T431">
        <v>1</v>
      </c>
      <c r="U431">
        <v>1</v>
      </c>
      <c r="V431" t="s">
        <v>132</v>
      </c>
      <c r="W431" t="s">
        <v>770</v>
      </c>
      <c r="X431">
        <v>15</v>
      </c>
      <c r="Y431">
        <v>15</v>
      </c>
      <c r="Z431" t="s">
        <v>771</v>
      </c>
      <c r="AA431" t="s">
        <v>772</v>
      </c>
      <c r="AB431" t="s">
        <v>96</v>
      </c>
      <c r="AC431" t="s">
        <v>97</v>
      </c>
      <c r="AD431" t="s">
        <v>690</v>
      </c>
      <c r="AG431" t="s">
        <v>773</v>
      </c>
      <c r="AH431">
        <v>0</v>
      </c>
      <c r="AI431">
        <v>688</v>
      </c>
      <c r="AJ431">
        <v>67</v>
      </c>
      <c r="AK431">
        <v>103</v>
      </c>
      <c r="AL431">
        <v>0.74</v>
      </c>
    </row>
    <row r="432" spans="1:38" x14ac:dyDescent="0.3">
      <c r="A432" t="s">
        <v>685</v>
      </c>
      <c r="B432">
        <v>106061</v>
      </c>
      <c r="C432">
        <v>2</v>
      </c>
      <c r="D432" t="s">
        <v>768</v>
      </c>
      <c r="E432" t="s">
        <v>769</v>
      </c>
      <c r="F432">
        <v>140</v>
      </c>
      <c r="G432">
        <v>8.32</v>
      </c>
      <c r="H432">
        <v>27.51</v>
      </c>
      <c r="I432">
        <v>4.55</v>
      </c>
      <c r="J432">
        <v>15.07</v>
      </c>
      <c r="K432">
        <v>10</v>
      </c>
      <c r="T432">
        <v>1</v>
      </c>
      <c r="U432">
        <v>1</v>
      </c>
      <c r="V432" t="s">
        <v>132</v>
      </c>
      <c r="W432" t="s">
        <v>774</v>
      </c>
      <c r="X432">
        <v>15</v>
      </c>
      <c r="Y432">
        <v>15</v>
      </c>
      <c r="Z432" t="s">
        <v>771</v>
      </c>
      <c r="AA432" t="s">
        <v>772</v>
      </c>
      <c r="AB432" t="s">
        <v>96</v>
      </c>
      <c r="AC432" t="s">
        <v>97</v>
      </c>
      <c r="AD432" t="s">
        <v>690</v>
      </c>
      <c r="AG432" t="s">
        <v>773</v>
      </c>
      <c r="AH432">
        <v>0</v>
      </c>
      <c r="AI432">
        <v>688</v>
      </c>
      <c r="AJ432">
        <v>67</v>
      </c>
      <c r="AK432">
        <v>103</v>
      </c>
      <c r="AL432">
        <v>0.74</v>
      </c>
    </row>
    <row r="433" spans="1:38" x14ac:dyDescent="0.3">
      <c r="A433" t="s">
        <v>685</v>
      </c>
      <c r="B433">
        <v>106061</v>
      </c>
      <c r="C433">
        <v>3</v>
      </c>
      <c r="D433" t="s">
        <v>768</v>
      </c>
      <c r="E433" t="s">
        <v>769</v>
      </c>
      <c r="F433">
        <v>140</v>
      </c>
      <c r="G433">
        <v>8.34</v>
      </c>
      <c r="H433">
        <v>27.6</v>
      </c>
      <c r="I433">
        <v>4.6399999999999997</v>
      </c>
      <c r="J433">
        <v>15.35</v>
      </c>
      <c r="K433">
        <v>10</v>
      </c>
      <c r="T433">
        <v>1</v>
      </c>
      <c r="U433">
        <v>1</v>
      </c>
      <c r="V433" t="s">
        <v>132</v>
      </c>
      <c r="W433" t="s">
        <v>775</v>
      </c>
      <c r="X433">
        <v>15</v>
      </c>
      <c r="Y433">
        <v>15</v>
      </c>
      <c r="Z433" t="s">
        <v>771</v>
      </c>
      <c r="AA433" t="s">
        <v>772</v>
      </c>
      <c r="AB433" t="s">
        <v>96</v>
      </c>
      <c r="AC433" t="s">
        <v>97</v>
      </c>
      <c r="AD433" t="s">
        <v>690</v>
      </c>
      <c r="AG433" t="s">
        <v>773</v>
      </c>
      <c r="AH433">
        <v>0</v>
      </c>
      <c r="AI433">
        <v>688</v>
      </c>
      <c r="AJ433">
        <v>67</v>
      </c>
      <c r="AK433">
        <v>103</v>
      </c>
      <c r="AL433">
        <v>0.74</v>
      </c>
    </row>
    <row r="434" spans="1:38" x14ac:dyDescent="0.3">
      <c r="A434" t="s">
        <v>685</v>
      </c>
      <c r="B434">
        <v>106061</v>
      </c>
      <c r="C434">
        <v>4</v>
      </c>
      <c r="D434" t="s">
        <v>768</v>
      </c>
      <c r="E434" t="s">
        <v>769</v>
      </c>
      <c r="F434">
        <v>140</v>
      </c>
      <c r="G434">
        <v>8.4499999999999993</v>
      </c>
      <c r="H434">
        <v>27.95</v>
      </c>
      <c r="I434">
        <v>4.5999999999999996</v>
      </c>
      <c r="J434">
        <v>15.22</v>
      </c>
      <c r="K434">
        <v>10</v>
      </c>
      <c r="T434">
        <v>1</v>
      </c>
      <c r="U434">
        <v>1</v>
      </c>
      <c r="V434" t="s">
        <v>132</v>
      </c>
      <c r="W434" t="s">
        <v>776</v>
      </c>
      <c r="X434">
        <v>15</v>
      </c>
      <c r="Y434">
        <v>15</v>
      </c>
      <c r="Z434" t="s">
        <v>771</v>
      </c>
      <c r="AA434" t="s">
        <v>772</v>
      </c>
      <c r="AB434" t="s">
        <v>96</v>
      </c>
      <c r="AC434" t="s">
        <v>97</v>
      </c>
      <c r="AD434" t="s">
        <v>690</v>
      </c>
      <c r="AG434" t="s">
        <v>773</v>
      </c>
      <c r="AH434">
        <v>0</v>
      </c>
      <c r="AI434">
        <v>688</v>
      </c>
      <c r="AJ434">
        <v>67</v>
      </c>
      <c r="AK434">
        <v>103</v>
      </c>
      <c r="AL434">
        <v>0.74</v>
      </c>
    </row>
    <row r="435" spans="1:38" x14ac:dyDescent="0.3">
      <c r="A435" t="s">
        <v>685</v>
      </c>
      <c r="B435">
        <v>106061</v>
      </c>
      <c r="C435">
        <v>5</v>
      </c>
      <c r="D435" t="s">
        <v>768</v>
      </c>
      <c r="E435" t="s">
        <v>769</v>
      </c>
      <c r="F435">
        <v>140</v>
      </c>
      <c r="G435">
        <v>8.5399999999999991</v>
      </c>
      <c r="H435">
        <v>28.24</v>
      </c>
      <c r="I435">
        <v>4.75</v>
      </c>
      <c r="J435">
        <v>15.71</v>
      </c>
      <c r="K435">
        <v>20</v>
      </c>
      <c r="T435">
        <v>1</v>
      </c>
      <c r="U435">
        <v>1</v>
      </c>
      <c r="V435" t="s">
        <v>132</v>
      </c>
      <c r="W435" t="s">
        <v>777</v>
      </c>
      <c r="X435">
        <v>15</v>
      </c>
      <c r="Y435">
        <v>15</v>
      </c>
      <c r="Z435" t="s">
        <v>771</v>
      </c>
      <c r="AA435" t="s">
        <v>772</v>
      </c>
      <c r="AB435" t="s">
        <v>96</v>
      </c>
      <c r="AC435" t="s">
        <v>97</v>
      </c>
      <c r="AD435" t="s">
        <v>690</v>
      </c>
      <c r="AG435" t="s">
        <v>773</v>
      </c>
      <c r="AH435">
        <v>0</v>
      </c>
      <c r="AI435">
        <v>688</v>
      </c>
      <c r="AJ435">
        <v>67</v>
      </c>
      <c r="AK435">
        <v>103</v>
      </c>
      <c r="AL435">
        <v>0.74</v>
      </c>
    </row>
    <row r="436" spans="1:38" x14ac:dyDescent="0.3">
      <c r="A436" t="s">
        <v>685</v>
      </c>
      <c r="B436">
        <v>106061</v>
      </c>
      <c r="C436">
        <v>6</v>
      </c>
      <c r="D436" t="s">
        <v>768</v>
      </c>
      <c r="E436" t="s">
        <v>769</v>
      </c>
      <c r="F436">
        <v>140</v>
      </c>
      <c r="G436">
        <v>8.49</v>
      </c>
      <c r="H436">
        <v>28.07</v>
      </c>
      <c r="I436">
        <v>4.6500000000000004</v>
      </c>
      <c r="J436">
        <v>15.39</v>
      </c>
      <c r="K436">
        <v>10</v>
      </c>
      <c r="T436">
        <v>1</v>
      </c>
      <c r="U436">
        <v>1</v>
      </c>
      <c r="V436" t="s">
        <v>132</v>
      </c>
      <c r="W436" t="s">
        <v>778</v>
      </c>
      <c r="X436">
        <v>15</v>
      </c>
      <c r="Y436">
        <v>15</v>
      </c>
      <c r="Z436" t="s">
        <v>771</v>
      </c>
      <c r="AA436" t="s">
        <v>772</v>
      </c>
      <c r="AB436" t="s">
        <v>96</v>
      </c>
      <c r="AC436" t="s">
        <v>97</v>
      </c>
      <c r="AD436" t="s">
        <v>690</v>
      </c>
      <c r="AG436" t="s">
        <v>773</v>
      </c>
      <c r="AH436">
        <v>0</v>
      </c>
      <c r="AI436">
        <v>688</v>
      </c>
      <c r="AJ436">
        <v>67</v>
      </c>
      <c r="AK436">
        <v>103</v>
      </c>
      <c r="AL436">
        <v>0.74</v>
      </c>
    </row>
    <row r="437" spans="1:38" x14ac:dyDescent="0.3">
      <c r="A437" t="s">
        <v>685</v>
      </c>
      <c r="B437">
        <v>106061</v>
      </c>
      <c r="C437">
        <v>7</v>
      </c>
      <c r="D437" t="s">
        <v>768</v>
      </c>
      <c r="E437" t="s">
        <v>769</v>
      </c>
      <c r="F437">
        <v>140</v>
      </c>
      <c r="G437">
        <v>8.4700000000000006</v>
      </c>
      <c r="H437">
        <v>28.02</v>
      </c>
      <c r="I437">
        <v>4.66</v>
      </c>
      <c r="J437">
        <v>15.43</v>
      </c>
      <c r="K437">
        <v>10</v>
      </c>
      <c r="T437">
        <v>1</v>
      </c>
      <c r="U437">
        <v>1</v>
      </c>
      <c r="V437" t="s">
        <v>132</v>
      </c>
      <c r="W437" t="s">
        <v>779</v>
      </c>
      <c r="X437">
        <v>15</v>
      </c>
      <c r="Y437">
        <v>15</v>
      </c>
      <c r="Z437" t="s">
        <v>771</v>
      </c>
      <c r="AA437" t="s">
        <v>772</v>
      </c>
      <c r="AB437" t="s">
        <v>96</v>
      </c>
      <c r="AC437" t="s">
        <v>97</v>
      </c>
      <c r="AD437" t="s">
        <v>690</v>
      </c>
      <c r="AG437" t="s">
        <v>773</v>
      </c>
      <c r="AH437">
        <v>0</v>
      </c>
      <c r="AI437">
        <v>688</v>
      </c>
      <c r="AJ437">
        <v>67</v>
      </c>
      <c r="AK437">
        <v>103</v>
      </c>
      <c r="AL437">
        <v>0.74</v>
      </c>
    </row>
    <row r="438" spans="1:38" x14ac:dyDescent="0.3">
      <c r="A438" t="s">
        <v>685</v>
      </c>
      <c r="B438">
        <v>106061</v>
      </c>
      <c r="C438">
        <v>8</v>
      </c>
      <c r="D438" t="s">
        <v>768</v>
      </c>
      <c r="E438" t="s">
        <v>769</v>
      </c>
      <c r="F438">
        <v>140</v>
      </c>
      <c r="G438">
        <v>8.48</v>
      </c>
      <c r="H438">
        <v>28.06</v>
      </c>
      <c r="I438">
        <v>4.66</v>
      </c>
      <c r="J438">
        <v>15.43</v>
      </c>
      <c r="K438">
        <v>10</v>
      </c>
      <c r="T438">
        <v>1</v>
      </c>
      <c r="U438">
        <v>1</v>
      </c>
      <c r="V438" t="s">
        <v>132</v>
      </c>
      <c r="W438" t="s">
        <v>780</v>
      </c>
      <c r="X438">
        <v>15</v>
      </c>
      <c r="Y438">
        <v>15</v>
      </c>
      <c r="Z438" t="s">
        <v>771</v>
      </c>
      <c r="AA438" t="s">
        <v>772</v>
      </c>
      <c r="AB438" t="s">
        <v>96</v>
      </c>
      <c r="AC438" t="s">
        <v>97</v>
      </c>
      <c r="AD438" t="s">
        <v>690</v>
      </c>
      <c r="AG438" t="s">
        <v>773</v>
      </c>
      <c r="AH438">
        <v>0</v>
      </c>
      <c r="AI438">
        <v>688</v>
      </c>
      <c r="AJ438">
        <v>67</v>
      </c>
      <c r="AK438">
        <v>103</v>
      </c>
      <c r="AL438">
        <v>0.74</v>
      </c>
    </row>
    <row r="439" spans="1:38" x14ac:dyDescent="0.3">
      <c r="A439" t="s">
        <v>685</v>
      </c>
      <c r="B439">
        <v>106061</v>
      </c>
      <c r="C439">
        <v>9</v>
      </c>
      <c r="D439" t="s">
        <v>768</v>
      </c>
      <c r="E439" t="s">
        <v>769</v>
      </c>
      <c r="F439">
        <v>140</v>
      </c>
      <c r="G439">
        <v>9.5299999999999994</v>
      </c>
      <c r="H439">
        <v>31.53</v>
      </c>
      <c r="I439">
        <v>5.27</v>
      </c>
      <c r="J439">
        <v>17.45</v>
      </c>
      <c r="K439">
        <v>10</v>
      </c>
      <c r="T439">
        <v>1</v>
      </c>
      <c r="U439">
        <v>1</v>
      </c>
      <c r="V439" t="s">
        <v>132</v>
      </c>
      <c r="W439" t="s">
        <v>781</v>
      </c>
      <c r="X439">
        <v>15</v>
      </c>
      <c r="Y439">
        <v>15</v>
      </c>
      <c r="Z439" t="s">
        <v>771</v>
      </c>
      <c r="AA439" t="s">
        <v>772</v>
      </c>
      <c r="AB439" t="s">
        <v>96</v>
      </c>
      <c r="AC439" t="s">
        <v>97</v>
      </c>
      <c r="AD439" t="s">
        <v>690</v>
      </c>
      <c r="AG439" t="s">
        <v>773</v>
      </c>
      <c r="AH439">
        <v>0</v>
      </c>
      <c r="AI439">
        <v>688</v>
      </c>
      <c r="AJ439">
        <v>67</v>
      </c>
      <c r="AK439">
        <v>103</v>
      </c>
      <c r="AL439">
        <v>0.74</v>
      </c>
    </row>
    <row r="440" spans="1:38" x14ac:dyDescent="0.3">
      <c r="A440" t="s">
        <v>685</v>
      </c>
      <c r="B440">
        <v>106061</v>
      </c>
      <c r="C440">
        <v>10</v>
      </c>
      <c r="D440" t="s">
        <v>768</v>
      </c>
      <c r="E440" t="s">
        <v>769</v>
      </c>
      <c r="F440">
        <v>140</v>
      </c>
      <c r="G440">
        <v>11.55</v>
      </c>
      <c r="H440">
        <v>38.19</v>
      </c>
      <c r="I440">
        <v>6.33</v>
      </c>
      <c r="J440">
        <v>20.94</v>
      </c>
      <c r="K440">
        <v>10</v>
      </c>
      <c r="T440">
        <v>1</v>
      </c>
      <c r="U440">
        <v>1</v>
      </c>
      <c r="V440" t="s">
        <v>132</v>
      </c>
      <c r="W440" t="s">
        <v>782</v>
      </c>
      <c r="X440">
        <v>15</v>
      </c>
      <c r="Y440">
        <v>15</v>
      </c>
      <c r="Z440" t="s">
        <v>771</v>
      </c>
      <c r="AA440" t="s">
        <v>772</v>
      </c>
      <c r="AB440" t="s">
        <v>96</v>
      </c>
      <c r="AC440" t="s">
        <v>97</v>
      </c>
      <c r="AD440" t="s">
        <v>690</v>
      </c>
      <c r="AG440" t="s">
        <v>773</v>
      </c>
      <c r="AH440">
        <v>0</v>
      </c>
      <c r="AI440">
        <v>688</v>
      </c>
      <c r="AJ440">
        <v>67</v>
      </c>
      <c r="AK440">
        <v>103</v>
      </c>
      <c r="AL440">
        <v>0.74</v>
      </c>
    </row>
    <row r="441" spans="1:38" x14ac:dyDescent="0.3">
      <c r="A441" t="s">
        <v>685</v>
      </c>
      <c r="B441">
        <v>139822</v>
      </c>
      <c r="C441">
        <v>1</v>
      </c>
      <c r="D441" t="s">
        <v>783</v>
      </c>
      <c r="E441" t="s">
        <v>784</v>
      </c>
      <c r="F441">
        <v>24</v>
      </c>
      <c r="G441">
        <v>17.43</v>
      </c>
      <c r="H441">
        <v>57.64</v>
      </c>
      <c r="I441">
        <v>13.21</v>
      </c>
      <c r="J441">
        <v>43.68</v>
      </c>
      <c r="K441">
        <v>4</v>
      </c>
      <c r="T441">
        <v>2</v>
      </c>
      <c r="U441">
        <v>1</v>
      </c>
      <c r="V441" t="s">
        <v>93</v>
      </c>
      <c r="W441">
        <v>57</v>
      </c>
      <c r="X441">
        <v>14</v>
      </c>
      <c r="Y441">
        <v>14</v>
      </c>
      <c r="Z441" t="s">
        <v>785</v>
      </c>
      <c r="AA441" t="s">
        <v>786</v>
      </c>
      <c r="AB441" t="s">
        <v>96</v>
      </c>
      <c r="AC441" t="s">
        <v>97</v>
      </c>
      <c r="AD441" t="s">
        <v>690</v>
      </c>
      <c r="AG441" t="s">
        <v>787</v>
      </c>
      <c r="AH441">
        <v>0</v>
      </c>
      <c r="AI441">
        <v>469</v>
      </c>
      <c r="AJ441">
        <v>42</v>
      </c>
      <c r="AK441">
        <v>17</v>
      </c>
      <c r="AL441">
        <v>0.71</v>
      </c>
    </row>
    <row r="442" spans="1:38" x14ac:dyDescent="0.3">
      <c r="A442" t="s">
        <v>685</v>
      </c>
      <c r="B442">
        <v>139822</v>
      </c>
      <c r="C442">
        <v>2</v>
      </c>
      <c r="D442" t="s">
        <v>783</v>
      </c>
      <c r="E442" t="s">
        <v>784</v>
      </c>
      <c r="F442">
        <v>24</v>
      </c>
      <c r="G442">
        <v>17.77</v>
      </c>
      <c r="H442">
        <v>58.76</v>
      </c>
      <c r="I442">
        <v>13.32</v>
      </c>
      <c r="J442">
        <v>44.04</v>
      </c>
      <c r="K442">
        <v>4</v>
      </c>
      <c r="T442">
        <v>2</v>
      </c>
      <c r="U442">
        <v>1</v>
      </c>
      <c r="V442" t="s">
        <v>93</v>
      </c>
      <c r="W442" t="s">
        <v>178</v>
      </c>
      <c r="X442">
        <v>14</v>
      </c>
      <c r="Y442">
        <v>14</v>
      </c>
      <c r="Z442" t="s">
        <v>785</v>
      </c>
      <c r="AA442" t="s">
        <v>786</v>
      </c>
      <c r="AB442" t="s">
        <v>96</v>
      </c>
      <c r="AC442" t="s">
        <v>97</v>
      </c>
      <c r="AD442" t="s">
        <v>690</v>
      </c>
      <c r="AG442" t="s">
        <v>787</v>
      </c>
      <c r="AH442">
        <v>0</v>
      </c>
      <c r="AI442">
        <v>469</v>
      </c>
      <c r="AJ442">
        <v>42</v>
      </c>
      <c r="AK442">
        <v>17</v>
      </c>
      <c r="AL442">
        <v>0.71</v>
      </c>
    </row>
    <row r="443" spans="1:38" x14ac:dyDescent="0.3">
      <c r="A443" t="s">
        <v>685</v>
      </c>
      <c r="B443">
        <v>139822</v>
      </c>
      <c r="C443">
        <v>3</v>
      </c>
      <c r="D443" t="s">
        <v>783</v>
      </c>
      <c r="E443" t="s">
        <v>784</v>
      </c>
      <c r="F443">
        <v>24</v>
      </c>
      <c r="G443">
        <v>17.920000000000002</v>
      </c>
      <c r="H443">
        <v>59.27</v>
      </c>
      <c r="I443">
        <v>13.68</v>
      </c>
      <c r="J443">
        <v>45.24</v>
      </c>
      <c r="K443">
        <v>16</v>
      </c>
      <c r="T443">
        <v>2</v>
      </c>
      <c r="U443">
        <v>1</v>
      </c>
      <c r="V443" t="s">
        <v>93</v>
      </c>
      <c r="W443" t="s">
        <v>379</v>
      </c>
      <c r="X443">
        <v>14</v>
      </c>
      <c r="Y443">
        <v>14</v>
      </c>
      <c r="Z443" t="s">
        <v>785</v>
      </c>
      <c r="AA443" t="s">
        <v>786</v>
      </c>
      <c r="AB443" t="s">
        <v>96</v>
      </c>
      <c r="AC443" t="s">
        <v>97</v>
      </c>
      <c r="AD443" t="s">
        <v>690</v>
      </c>
      <c r="AG443" t="s">
        <v>787</v>
      </c>
      <c r="AH443">
        <v>0</v>
      </c>
      <c r="AI443">
        <v>469</v>
      </c>
      <c r="AJ443">
        <v>42</v>
      </c>
      <c r="AK443">
        <v>17</v>
      </c>
      <c r="AL443">
        <v>0.71</v>
      </c>
    </row>
    <row r="444" spans="1:38" x14ac:dyDescent="0.3">
      <c r="A444" t="s">
        <v>685</v>
      </c>
      <c r="B444">
        <v>132883</v>
      </c>
      <c r="C444">
        <v>1</v>
      </c>
      <c r="D444" t="s">
        <v>788</v>
      </c>
      <c r="E444" t="s">
        <v>789</v>
      </c>
      <c r="F444">
        <v>56</v>
      </c>
      <c r="G444">
        <v>23.86</v>
      </c>
      <c r="H444">
        <v>78.900000000000006</v>
      </c>
      <c r="I444">
        <v>18.12</v>
      </c>
      <c r="J444">
        <v>59.91</v>
      </c>
      <c r="K444">
        <v>14</v>
      </c>
      <c r="T444">
        <v>3</v>
      </c>
      <c r="U444">
        <v>2</v>
      </c>
      <c r="V444" t="s">
        <v>93</v>
      </c>
      <c r="W444" t="s">
        <v>790</v>
      </c>
      <c r="X444">
        <v>17</v>
      </c>
      <c r="Y444">
        <v>17</v>
      </c>
      <c r="Z444" t="s">
        <v>791</v>
      </c>
      <c r="AA444" t="s">
        <v>792</v>
      </c>
      <c r="AB444" t="s">
        <v>96</v>
      </c>
      <c r="AC444" t="s">
        <v>97</v>
      </c>
      <c r="AD444" t="s">
        <v>690</v>
      </c>
      <c r="AG444" t="s">
        <v>793</v>
      </c>
      <c r="AH444">
        <v>0</v>
      </c>
      <c r="AI444">
        <v>799</v>
      </c>
      <c r="AJ444">
        <v>67</v>
      </c>
      <c r="AK444">
        <v>47</v>
      </c>
      <c r="AL444">
        <v>0.84</v>
      </c>
    </row>
    <row r="445" spans="1:38" x14ac:dyDescent="0.3">
      <c r="A445" t="s">
        <v>685</v>
      </c>
      <c r="B445">
        <v>132883</v>
      </c>
      <c r="C445">
        <v>2</v>
      </c>
      <c r="D445" t="s">
        <v>788</v>
      </c>
      <c r="E445" t="s">
        <v>789</v>
      </c>
      <c r="F445">
        <v>56</v>
      </c>
      <c r="G445">
        <v>23.93</v>
      </c>
      <c r="H445">
        <v>79.11</v>
      </c>
      <c r="I445">
        <v>18.04</v>
      </c>
      <c r="J445">
        <v>59.64</v>
      </c>
      <c r="K445">
        <v>14</v>
      </c>
      <c r="T445">
        <v>3</v>
      </c>
      <c r="U445">
        <v>2</v>
      </c>
      <c r="V445" t="s">
        <v>211</v>
      </c>
      <c r="W445" t="s">
        <v>474</v>
      </c>
      <c r="X445">
        <v>17</v>
      </c>
      <c r="Y445">
        <v>17</v>
      </c>
      <c r="Z445" t="s">
        <v>791</v>
      </c>
      <c r="AA445" t="s">
        <v>792</v>
      </c>
      <c r="AB445" t="s">
        <v>96</v>
      </c>
      <c r="AC445" t="s">
        <v>97</v>
      </c>
      <c r="AD445" t="s">
        <v>690</v>
      </c>
      <c r="AG445" t="s">
        <v>793</v>
      </c>
      <c r="AH445">
        <v>0</v>
      </c>
      <c r="AI445">
        <v>799</v>
      </c>
      <c r="AJ445">
        <v>67</v>
      </c>
      <c r="AK445">
        <v>47</v>
      </c>
      <c r="AL445">
        <v>0.84</v>
      </c>
    </row>
    <row r="446" spans="1:38" x14ac:dyDescent="0.3">
      <c r="A446" t="s">
        <v>685</v>
      </c>
      <c r="B446">
        <v>132883</v>
      </c>
      <c r="C446">
        <v>3</v>
      </c>
      <c r="D446" t="s">
        <v>788</v>
      </c>
      <c r="E446" t="s">
        <v>789</v>
      </c>
      <c r="F446">
        <v>56</v>
      </c>
      <c r="G446">
        <v>23.97</v>
      </c>
      <c r="H446">
        <v>79.260000000000005</v>
      </c>
      <c r="I446">
        <v>18.09</v>
      </c>
      <c r="J446">
        <v>59.82</v>
      </c>
      <c r="K446">
        <v>14</v>
      </c>
      <c r="T446">
        <v>3</v>
      </c>
      <c r="U446">
        <v>2</v>
      </c>
      <c r="V446" t="s">
        <v>93</v>
      </c>
      <c r="W446" t="s">
        <v>475</v>
      </c>
      <c r="X446">
        <v>17</v>
      </c>
      <c r="Y446">
        <v>17</v>
      </c>
      <c r="Z446" t="s">
        <v>791</v>
      </c>
      <c r="AA446" t="s">
        <v>792</v>
      </c>
      <c r="AB446" t="s">
        <v>96</v>
      </c>
      <c r="AC446" t="s">
        <v>97</v>
      </c>
      <c r="AD446" t="s">
        <v>690</v>
      </c>
      <c r="AG446" t="s">
        <v>793</v>
      </c>
      <c r="AH446">
        <v>0</v>
      </c>
      <c r="AI446">
        <v>799</v>
      </c>
      <c r="AJ446">
        <v>67</v>
      </c>
      <c r="AK446">
        <v>47</v>
      </c>
      <c r="AL446">
        <v>0.84</v>
      </c>
    </row>
    <row r="447" spans="1:38" x14ac:dyDescent="0.3">
      <c r="A447" t="s">
        <v>685</v>
      </c>
      <c r="B447">
        <v>132883</v>
      </c>
      <c r="C447">
        <v>4</v>
      </c>
      <c r="D447" t="s">
        <v>788</v>
      </c>
      <c r="E447" t="s">
        <v>789</v>
      </c>
      <c r="F447">
        <v>56</v>
      </c>
      <c r="G447">
        <v>24.03</v>
      </c>
      <c r="H447">
        <v>79.459999999999994</v>
      </c>
      <c r="I447">
        <v>18.11</v>
      </c>
      <c r="J447">
        <v>59.89</v>
      </c>
      <c r="K447">
        <v>14</v>
      </c>
      <c r="T447">
        <v>3</v>
      </c>
      <c r="U447">
        <v>2</v>
      </c>
      <c r="V447" t="s">
        <v>93</v>
      </c>
      <c r="W447" t="s">
        <v>794</v>
      </c>
      <c r="X447">
        <v>17</v>
      </c>
      <c r="Y447">
        <v>17</v>
      </c>
      <c r="Z447" t="s">
        <v>791</v>
      </c>
      <c r="AA447" t="s">
        <v>792</v>
      </c>
      <c r="AB447" t="s">
        <v>96</v>
      </c>
      <c r="AC447" t="s">
        <v>97</v>
      </c>
      <c r="AD447" t="s">
        <v>690</v>
      </c>
      <c r="AG447" t="s">
        <v>793</v>
      </c>
      <c r="AH447">
        <v>0</v>
      </c>
      <c r="AI447">
        <v>799</v>
      </c>
      <c r="AJ447">
        <v>67</v>
      </c>
      <c r="AK447">
        <v>47</v>
      </c>
      <c r="AL447">
        <v>0.84</v>
      </c>
    </row>
    <row r="448" spans="1:38" x14ac:dyDescent="0.3">
      <c r="A448" t="s">
        <v>685</v>
      </c>
      <c r="B448">
        <v>140052</v>
      </c>
      <c r="C448">
        <v>1</v>
      </c>
      <c r="D448" t="s">
        <v>795</v>
      </c>
      <c r="E448" t="s">
        <v>165</v>
      </c>
      <c r="F448">
        <v>19</v>
      </c>
      <c r="G448">
        <v>22.96</v>
      </c>
      <c r="H448">
        <v>75.92</v>
      </c>
      <c r="I448">
        <v>18.5</v>
      </c>
      <c r="J448">
        <v>61.18</v>
      </c>
      <c r="K448">
        <v>9</v>
      </c>
      <c r="T448">
        <v>3</v>
      </c>
      <c r="U448">
        <v>2</v>
      </c>
      <c r="V448" t="s">
        <v>93</v>
      </c>
      <c r="W448">
        <v>75</v>
      </c>
      <c r="X448">
        <v>13</v>
      </c>
      <c r="Y448">
        <v>12</v>
      </c>
      <c r="Z448" t="s">
        <v>796</v>
      </c>
      <c r="AA448" t="s">
        <v>797</v>
      </c>
      <c r="AB448" t="s">
        <v>96</v>
      </c>
      <c r="AC448" t="s">
        <v>97</v>
      </c>
      <c r="AD448" t="s">
        <v>690</v>
      </c>
      <c r="AG448" t="s">
        <v>798</v>
      </c>
      <c r="AH448">
        <v>0</v>
      </c>
      <c r="AI448">
        <v>506</v>
      </c>
      <c r="AJ448">
        <v>65</v>
      </c>
      <c r="AK448">
        <v>19</v>
      </c>
      <c r="AL448">
        <v>1</v>
      </c>
    </row>
    <row r="449" spans="1:38" x14ac:dyDescent="0.3">
      <c r="A449" t="s">
        <v>685</v>
      </c>
      <c r="B449">
        <v>140052</v>
      </c>
      <c r="C449">
        <v>2</v>
      </c>
      <c r="D449" t="s">
        <v>795</v>
      </c>
      <c r="E449" t="s">
        <v>165</v>
      </c>
      <c r="F449">
        <v>19</v>
      </c>
      <c r="G449">
        <v>24.58</v>
      </c>
      <c r="H449">
        <v>81.27</v>
      </c>
      <c r="I449">
        <v>19.809999999999999</v>
      </c>
      <c r="J449">
        <v>65.489999999999995</v>
      </c>
      <c r="K449">
        <v>9</v>
      </c>
      <c r="T449">
        <v>3</v>
      </c>
      <c r="U449">
        <v>2</v>
      </c>
      <c r="V449" t="s">
        <v>93</v>
      </c>
      <c r="W449">
        <v>81</v>
      </c>
      <c r="X449">
        <v>13</v>
      </c>
      <c r="Y449">
        <v>12</v>
      </c>
      <c r="Z449" t="s">
        <v>796</v>
      </c>
      <c r="AA449" t="s">
        <v>797</v>
      </c>
      <c r="AB449" t="s">
        <v>96</v>
      </c>
      <c r="AC449" t="s">
        <v>97</v>
      </c>
      <c r="AD449" t="s">
        <v>690</v>
      </c>
      <c r="AG449" t="s">
        <v>798</v>
      </c>
      <c r="AH449">
        <v>0</v>
      </c>
      <c r="AI449">
        <v>506</v>
      </c>
      <c r="AJ449">
        <v>65</v>
      </c>
      <c r="AK449">
        <v>19</v>
      </c>
      <c r="AL449">
        <v>1</v>
      </c>
    </row>
    <row r="450" spans="1:38" x14ac:dyDescent="0.3">
      <c r="A450" t="s">
        <v>685</v>
      </c>
      <c r="B450">
        <v>140052</v>
      </c>
      <c r="C450">
        <v>3</v>
      </c>
      <c r="D450" t="s">
        <v>795</v>
      </c>
      <c r="E450" t="s">
        <v>165</v>
      </c>
      <c r="F450">
        <v>19</v>
      </c>
      <c r="G450">
        <v>31.66</v>
      </c>
      <c r="H450">
        <v>104.69</v>
      </c>
      <c r="I450">
        <v>25.47</v>
      </c>
      <c r="J450">
        <v>84.22</v>
      </c>
      <c r="K450">
        <v>1</v>
      </c>
      <c r="T450">
        <v>3</v>
      </c>
      <c r="U450">
        <v>2</v>
      </c>
      <c r="V450" t="s">
        <v>93</v>
      </c>
      <c r="W450">
        <v>104</v>
      </c>
      <c r="X450">
        <v>13</v>
      </c>
      <c r="Y450">
        <v>12</v>
      </c>
      <c r="Z450" t="s">
        <v>796</v>
      </c>
      <c r="AA450" t="s">
        <v>797</v>
      </c>
      <c r="AB450" t="s">
        <v>96</v>
      </c>
      <c r="AC450" t="s">
        <v>97</v>
      </c>
      <c r="AD450" t="s">
        <v>690</v>
      </c>
      <c r="AG450" t="s">
        <v>798</v>
      </c>
      <c r="AH450">
        <v>0</v>
      </c>
      <c r="AI450">
        <v>506</v>
      </c>
      <c r="AJ450">
        <v>65</v>
      </c>
      <c r="AK450">
        <v>19</v>
      </c>
      <c r="AL450">
        <v>1</v>
      </c>
    </row>
    <row r="451" spans="1:38" x14ac:dyDescent="0.3">
      <c r="A451" t="s">
        <v>685</v>
      </c>
      <c r="B451">
        <v>123627</v>
      </c>
      <c r="C451">
        <v>1</v>
      </c>
      <c r="D451" t="s">
        <v>799</v>
      </c>
      <c r="E451" t="s">
        <v>800</v>
      </c>
      <c r="F451">
        <v>11</v>
      </c>
      <c r="G451">
        <v>30.63</v>
      </c>
      <c r="H451">
        <v>101.27</v>
      </c>
      <c r="I451">
        <v>25.69</v>
      </c>
      <c r="J451">
        <v>84.93</v>
      </c>
      <c r="K451">
        <v>11</v>
      </c>
      <c r="T451">
        <v>3</v>
      </c>
      <c r="U451">
        <v>2</v>
      </c>
      <c r="V451" t="s">
        <v>93</v>
      </c>
      <c r="W451">
        <v>101</v>
      </c>
      <c r="X451">
        <v>7</v>
      </c>
      <c r="Y451">
        <v>7</v>
      </c>
      <c r="Z451" t="s">
        <v>801</v>
      </c>
      <c r="AA451" t="s">
        <v>802</v>
      </c>
      <c r="AB451" t="s">
        <v>96</v>
      </c>
      <c r="AC451" t="s">
        <v>97</v>
      </c>
      <c r="AD451" t="s">
        <v>690</v>
      </c>
      <c r="AG451" t="s">
        <v>803</v>
      </c>
      <c r="AH451">
        <v>0</v>
      </c>
      <c r="AI451">
        <v>297</v>
      </c>
      <c r="AJ451">
        <v>57</v>
      </c>
      <c r="AK451">
        <v>7</v>
      </c>
      <c r="AL451">
        <v>0.64</v>
      </c>
    </row>
    <row r="452" spans="1:38" x14ac:dyDescent="0.3">
      <c r="A452" t="s">
        <v>685</v>
      </c>
      <c r="B452">
        <v>123778</v>
      </c>
      <c r="C452">
        <v>1</v>
      </c>
      <c r="D452" t="s">
        <v>804</v>
      </c>
      <c r="E452" t="s">
        <v>619</v>
      </c>
      <c r="F452">
        <v>9</v>
      </c>
      <c r="G452">
        <v>20.46</v>
      </c>
      <c r="H452">
        <v>67.650000000000006</v>
      </c>
      <c r="I452">
        <v>15.59</v>
      </c>
      <c r="J452">
        <v>51.56</v>
      </c>
      <c r="K452">
        <v>4</v>
      </c>
      <c r="T452">
        <v>3</v>
      </c>
      <c r="U452">
        <v>2</v>
      </c>
      <c r="V452" t="s">
        <v>93</v>
      </c>
      <c r="W452">
        <v>67</v>
      </c>
      <c r="X452">
        <v>10</v>
      </c>
      <c r="Y452">
        <v>7</v>
      </c>
      <c r="Z452" t="s">
        <v>805</v>
      </c>
      <c r="AA452" t="s">
        <v>806</v>
      </c>
      <c r="AB452" t="s">
        <v>96</v>
      </c>
      <c r="AC452" t="s">
        <v>97</v>
      </c>
      <c r="AD452" t="s">
        <v>690</v>
      </c>
      <c r="AG452" t="s">
        <v>807</v>
      </c>
      <c r="AH452">
        <v>0</v>
      </c>
      <c r="AI452">
        <v>595</v>
      </c>
      <c r="AJ452">
        <v>75</v>
      </c>
      <c r="AK452">
        <v>9</v>
      </c>
      <c r="AL452">
        <v>1</v>
      </c>
    </row>
    <row r="453" spans="1:38" x14ac:dyDescent="0.3">
      <c r="A453" t="s">
        <v>685</v>
      </c>
      <c r="B453">
        <v>123778</v>
      </c>
      <c r="C453">
        <v>2</v>
      </c>
      <c r="D453" t="s">
        <v>804</v>
      </c>
      <c r="E453" t="s">
        <v>619</v>
      </c>
      <c r="F453">
        <v>9</v>
      </c>
      <c r="G453">
        <v>21.53</v>
      </c>
      <c r="H453">
        <v>71.2</v>
      </c>
      <c r="I453">
        <v>16.41</v>
      </c>
      <c r="J453">
        <v>54.27</v>
      </c>
      <c r="K453">
        <v>4</v>
      </c>
      <c r="T453">
        <v>3</v>
      </c>
      <c r="U453">
        <v>2</v>
      </c>
      <c r="V453" t="s">
        <v>93</v>
      </c>
      <c r="W453">
        <v>71</v>
      </c>
      <c r="X453">
        <v>10</v>
      </c>
      <c r="Y453">
        <v>7</v>
      </c>
      <c r="Z453" t="s">
        <v>805</v>
      </c>
      <c r="AA453" t="s">
        <v>806</v>
      </c>
      <c r="AB453" t="s">
        <v>96</v>
      </c>
      <c r="AC453" t="s">
        <v>97</v>
      </c>
      <c r="AD453" t="s">
        <v>690</v>
      </c>
      <c r="AG453" t="s">
        <v>807</v>
      </c>
      <c r="AH453">
        <v>0</v>
      </c>
      <c r="AI453">
        <v>595</v>
      </c>
      <c r="AJ453">
        <v>75</v>
      </c>
      <c r="AK453">
        <v>9</v>
      </c>
      <c r="AL453">
        <v>1</v>
      </c>
    </row>
    <row r="454" spans="1:38" x14ac:dyDescent="0.3">
      <c r="A454" t="s">
        <v>685</v>
      </c>
      <c r="B454">
        <v>123778</v>
      </c>
      <c r="C454">
        <v>3</v>
      </c>
      <c r="D454" t="s">
        <v>804</v>
      </c>
      <c r="E454" t="s">
        <v>619</v>
      </c>
      <c r="F454">
        <v>9</v>
      </c>
      <c r="G454">
        <v>31.33</v>
      </c>
      <c r="H454">
        <v>103.58</v>
      </c>
      <c r="I454">
        <v>23.88</v>
      </c>
      <c r="J454">
        <v>78.97</v>
      </c>
      <c r="K454">
        <v>1</v>
      </c>
      <c r="T454">
        <v>3</v>
      </c>
      <c r="U454">
        <v>2</v>
      </c>
      <c r="V454" t="s">
        <v>93</v>
      </c>
      <c r="W454">
        <v>103</v>
      </c>
      <c r="X454">
        <v>10</v>
      </c>
      <c r="Y454">
        <v>7</v>
      </c>
      <c r="Z454" t="s">
        <v>805</v>
      </c>
      <c r="AA454" t="s">
        <v>806</v>
      </c>
      <c r="AB454" t="s">
        <v>96</v>
      </c>
      <c r="AC454" t="s">
        <v>97</v>
      </c>
      <c r="AD454" t="s">
        <v>690</v>
      </c>
      <c r="AG454" t="s">
        <v>807</v>
      </c>
      <c r="AH454">
        <v>0</v>
      </c>
      <c r="AI454">
        <v>595</v>
      </c>
      <c r="AJ454">
        <v>75</v>
      </c>
      <c r="AK454">
        <v>9</v>
      </c>
      <c r="AL454">
        <v>1</v>
      </c>
    </row>
    <row r="455" spans="1:38" x14ac:dyDescent="0.3">
      <c r="A455" t="s">
        <v>685</v>
      </c>
      <c r="B455">
        <v>126684</v>
      </c>
      <c r="C455">
        <v>1</v>
      </c>
      <c r="D455" t="s">
        <v>808</v>
      </c>
      <c r="E455" t="s">
        <v>809</v>
      </c>
      <c r="F455">
        <v>40</v>
      </c>
      <c r="G455">
        <v>19.12</v>
      </c>
      <c r="H455">
        <v>63.23</v>
      </c>
      <c r="I455">
        <v>14.58</v>
      </c>
      <c r="J455">
        <v>48.23</v>
      </c>
      <c r="K455">
        <v>10</v>
      </c>
      <c r="T455">
        <v>2</v>
      </c>
      <c r="U455">
        <v>1</v>
      </c>
      <c r="V455" t="s">
        <v>93</v>
      </c>
      <c r="W455" t="s">
        <v>194</v>
      </c>
      <c r="X455">
        <v>15</v>
      </c>
      <c r="Y455">
        <v>15</v>
      </c>
      <c r="Z455" t="s">
        <v>810</v>
      </c>
      <c r="AA455" t="s">
        <v>811</v>
      </c>
      <c r="AB455" t="s">
        <v>96</v>
      </c>
      <c r="AC455" t="s">
        <v>97</v>
      </c>
      <c r="AD455" t="s">
        <v>690</v>
      </c>
      <c r="AG455" t="s">
        <v>812</v>
      </c>
      <c r="AH455">
        <v>0</v>
      </c>
      <c r="AI455">
        <v>635</v>
      </c>
      <c r="AJ455">
        <v>66</v>
      </c>
      <c r="AK455">
        <v>28</v>
      </c>
      <c r="AL455">
        <v>0.7</v>
      </c>
    </row>
    <row r="456" spans="1:38" x14ac:dyDescent="0.3">
      <c r="A456" t="s">
        <v>685</v>
      </c>
      <c r="B456">
        <v>126684</v>
      </c>
      <c r="C456">
        <v>2</v>
      </c>
      <c r="D456" t="s">
        <v>808</v>
      </c>
      <c r="E456" t="s">
        <v>809</v>
      </c>
      <c r="F456">
        <v>40</v>
      </c>
      <c r="G456">
        <v>19.34</v>
      </c>
      <c r="H456">
        <v>63.96</v>
      </c>
      <c r="I456">
        <v>14.86</v>
      </c>
      <c r="J456">
        <v>49.14</v>
      </c>
      <c r="K456">
        <v>10</v>
      </c>
      <c r="T456">
        <v>2</v>
      </c>
      <c r="U456">
        <v>1</v>
      </c>
      <c r="V456" t="s">
        <v>93</v>
      </c>
      <c r="W456" t="s">
        <v>195</v>
      </c>
      <c r="X456">
        <v>15</v>
      </c>
      <c r="Y456">
        <v>15</v>
      </c>
      <c r="Z456" t="s">
        <v>810</v>
      </c>
      <c r="AA456" t="s">
        <v>811</v>
      </c>
      <c r="AB456" t="s">
        <v>96</v>
      </c>
      <c r="AC456" t="s">
        <v>97</v>
      </c>
      <c r="AD456" t="s">
        <v>690</v>
      </c>
      <c r="AG456" t="s">
        <v>812</v>
      </c>
      <c r="AH456">
        <v>0</v>
      </c>
      <c r="AI456">
        <v>635</v>
      </c>
      <c r="AJ456">
        <v>66</v>
      </c>
      <c r="AK456">
        <v>28</v>
      </c>
      <c r="AL456">
        <v>0.7</v>
      </c>
    </row>
    <row r="457" spans="1:38" x14ac:dyDescent="0.3">
      <c r="A457" t="s">
        <v>685</v>
      </c>
      <c r="B457">
        <v>126684</v>
      </c>
      <c r="C457">
        <v>3</v>
      </c>
      <c r="D457" t="s">
        <v>808</v>
      </c>
      <c r="E457" t="s">
        <v>809</v>
      </c>
      <c r="F457">
        <v>40</v>
      </c>
      <c r="G457">
        <v>19.55</v>
      </c>
      <c r="H457">
        <v>64.63</v>
      </c>
      <c r="I457">
        <v>14.94</v>
      </c>
      <c r="J457">
        <v>49.42</v>
      </c>
      <c r="K457">
        <v>10</v>
      </c>
      <c r="T457">
        <v>3</v>
      </c>
      <c r="U457">
        <v>1</v>
      </c>
      <c r="V457" t="s">
        <v>93</v>
      </c>
      <c r="W457" t="s">
        <v>275</v>
      </c>
      <c r="X457">
        <v>15</v>
      </c>
      <c r="Y457">
        <v>15</v>
      </c>
      <c r="Z457" t="s">
        <v>810</v>
      </c>
      <c r="AA457" t="s">
        <v>811</v>
      </c>
      <c r="AB457" t="s">
        <v>96</v>
      </c>
      <c r="AC457" t="s">
        <v>97</v>
      </c>
      <c r="AD457" t="s">
        <v>690</v>
      </c>
      <c r="AG457" t="s">
        <v>812</v>
      </c>
      <c r="AH457">
        <v>0</v>
      </c>
      <c r="AI457">
        <v>635</v>
      </c>
      <c r="AJ457">
        <v>66</v>
      </c>
      <c r="AK457">
        <v>28</v>
      </c>
      <c r="AL457">
        <v>0.7</v>
      </c>
    </row>
    <row r="458" spans="1:38" x14ac:dyDescent="0.3">
      <c r="A458" t="s">
        <v>685</v>
      </c>
      <c r="B458">
        <v>126684</v>
      </c>
      <c r="C458">
        <v>4</v>
      </c>
      <c r="D458" t="s">
        <v>808</v>
      </c>
      <c r="E458" t="s">
        <v>809</v>
      </c>
      <c r="F458">
        <v>40</v>
      </c>
      <c r="G458">
        <v>19.64</v>
      </c>
      <c r="H458">
        <v>64.95</v>
      </c>
      <c r="I458">
        <v>14.92</v>
      </c>
      <c r="J458">
        <v>49.33</v>
      </c>
      <c r="K458">
        <v>5</v>
      </c>
      <c r="T458">
        <v>3</v>
      </c>
      <c r="U458">
        <v>1</v>
      </c>
      <c r="V458" t="s">
        <v>93</v>
      </c>
      <c r="W458" t="s">
        <v>279</v>
      </c>
      <c r="X458">
        <v>15</v>
      </c>
      <c r="Y458">
        <v>15</v>
      </c>
      <c r="Z458" t="s">
        <v>810</v>
      </c>
      <c r="AA458" t="s">
        <v>811</v>
      </c>
      <c r="AB458" t="s">
        <v>96</v>
      </c>
      <c r="AC458" t="s">
        <v>97</v>
      </c>
      <c r="AD458" t="s">
        <v>690</v>
      </c>
      <c r="AG458" t="s">
        <v>812</v>
      </c>
      <c r="AH458">
        <v>0</v>
      </c>
      <c r="AI458">
        <v>635</v>
      </c>
      <c r="AJ458">
        <v>66</v>
      </c>
      <c r="AK458">
        <v>28</v>
      </c>
      <c r="AL458">
        <v>0.7</v>
      </c>
    </row>
    <row r="459" spans="1:38" x14ac:dyDescent="0.3">
      <c r="A459" t="s">
        <v>685</v>
      </c>
      <c r="B459">
        <v>126684</v>
      </c>
      <c r="C459">
        <v>5</v>
      </c>
      <c r="D459" t="s">
        <v>808</v>
      </c>
      <c r="E459" t="s">
        <v>809</v>
      </c>
      <c r="F459">
        <v>40</v>
      </c>
      <c r="G459">
        <v>20.09</v>
      </c>
      <c r="H459">
        <v>66.430000000000007</v>
      </c>
      <c r="I459">
        <v>15.11</v>
      </c>
      <c r="J459">
        <v>49.97</v>
      </c>
      <c r="K459">
        <v>5</v>
      </c>
      <c r="T459">
        <v>3</v>
      </c>
      <c r="U459">
        <v>1</v>
      </c>
      <c r="V459" t="s">
        <v>93</v>
      </c>
      <c r="W459" t="s">
        <v>813</v>
      </c>
      <c r="X459">
        <v>15</v>
      </c>
      <c r="Y459">
        <v>15</v>
      </c>
      <c r="Z459" t="s">
        <v>810</v>
      </c>
      <c r="AA459" t="s">
        <v>811</v>
      </c>
      <c r="AB459" t="s">
        <v>96</v>
      </c>
      <c r="AC459" t="s">
        <v>97</v>
      </c>
      <c r="AD459" t="s">
        <v>690</v>
      </c>
      <c r="AG459" t="s">
        <v>812</v>
      </c>
      <c r="AH459">
        <v>0</v>
      </c>
      <c r="AI459">
        <v>635</v>
      </c>
      <c r="AJ459">
        <v>66</v>
      </c>
      <c r="AK459">
        <v>28</v>
      </c>
      <c r="AL459">
        <v>0.7</v>
      </c>
    </row>
    <row r="460" spans="1:38" x14ac:dyDescent="0.3">
      <c r="A460" t="s">
        <v>685</v>
      </c>
      <c r="B460">
        <v>126974</v>
      </c>
      <c r="C460">
        <v>1</v>
      </c>
      <c r="D460" t="s">
        <v>814</v>
      </c>
      <c r="E460" t="s">
        <v>815</v>
      </c>
      <c r="F460">
        <v>16</v>
      </c>
      <c r="G460">
        <v>24.69</v>
      </c>
      <c r="H460">
        <v>81.63</v>
      </c>
      <c r="I460">
        <v>18.690000000000001</v>
      </c>
      <c r="J460">
        <v>61.79</v>
      </c>
      <c r="K460">
        <v>2</v>
      </c>
      <c r="T460">
        <v>3</v>
      </c>
      <c r="U460">
        <v>2</v>
      </c>
      <c r="V460" t="s">
        <v>93</v>
      </c>
      <c r="W460" t="s">
        <v>502</v>
      </c>
      <c r="X460">
        <v>19</v>
      </c>
      <c r="Y460">
        <v>18</v>
      </c>
      <c r="Z460" t="s">
        <v>816</v>
      </c>
      <c r="AA460" t="s">
        <v>817</v>
      </c>
      <c r="AB460" t="s">
        <v>96</v>
      </c>
      <c r="AC460" t="s">
        <v>97</v>
      </c>
      <c r="AD460" t="s">
        <v>690</v>
      </c>
      <c r="AG460" t="s">
        <v>818</v>
      </c>
      <c r="AH460">
        <v>16</v>
      </c>
      <c r="AI460">
        <v>1001</v>
      </c>
      <c r="AJ460">
        <v>74</v>
      </c>
      <c r="AK460">
        <v>15</v>
      </c>
      <c r="AL460">
        <v>0.94</v>
      </c>
    </row>
    <row r="461" spans="1:38" x14ac:dyDescent="0.3">
      <c r="A461" t="s">
        <v>685</v>
      </c>
      <c r="B461">
        <v>126974</v>
      </c>
      <c r="C461">
        <v>2</v>
      </c>
      <c r="D461" t="s">
        <v>814</v>
      </c>
      <c r="E461" t="s">
        <v>815</v>
      </c>
      <c r="F461">
        <v>16</v>
      </c>
      <c r="G461">
        <v>25</v>
      </c>
      <c r="H461">
        <v>82.66</v>
      </c>
      <c r="I461">
        <v>18.78</v>
      </c>
      <c r="J461">
        <v>62.09</v>
      </c>
      <c r="K461">
        <v>2</v>
      </c>
      <c r="T461">
        <v>3</v>
      </c>
      <c r="U461">
        <v>2</v>
      </c>
      <c r="V461" t="s">
        <v>93</v>
      </c>
      <c r="W461" t="s">
        <v>503</v>
      </c>
      <c r="X461">
        <v>19</v>
      </c>
      <c r="Y461">
        <v>18</v>
      </c>
      <c r="Z461" t="s">
        <v>816</v>
      </c>
      <c r="AA461" t="s">
        <v>817</v>
      </c>
      <c r="AB461" t="s">
        <v>96</v>
      </c>
      <c r="AC461" t="s">
        <v>97</v>
      </c>
      <c r="AD461" t="s">
        <v>690</v>
      </c>
      <c r="AG461" t="s">
        <v>818</v>
      </c>
      <c r="AH461">
        <v>16</v>
      </c>
      <c r="AI461">
        <v>1001</v>
      </c>
      <c r="AJ461">
        <v>74</v>
      </c>
      <c r="AK461">
        <v>15</v>
      </c>
      <c r="AL461">
        <v>0.94</v>
      </c>
    </row>
    <row r="462" spans="1:38" x14ac:dyDescent="0.3">
      <c r="A462" t="s">
        <v>685</v>
      </c>
      <c r="B462">
        <v>126974</v>
      </c>
      <c r="C462">
        <v>3</v>
      </c>
      <c r="D462" t="s">
        <v>814</v>
      </c>
      <c r="E462" t="s">
        <v>815</v>
      </c>
      <c r="F462">
        <v>16</v>
      </c>
      <c r="G462">
        <v>25.43</v>
      </c>
      <c r="H462">
        <v>84.07</v>
      </c>
      <c r="I462">
        <v>18.809999999999999</v>
      </c>
      <c r="J462">
        <v>62.21</v>
      </c>
      <c r="K462">
        <v>3</v>
      </c>
      <c r="T462">
        <v>3</v>
      </c>
      <c r="U462">
        <v>2</v>
      </c>
      <c r="V462" t="s">
        <v>93</v>
      </c>
      <c r="W462" t="s">
        <v>819</v>
      </c>
      <c r="X462">
        <v>19</v>
      </c>
      <c r="Y462">
        <v>18</v>
      </c>
      <c r="Z462" t="s">
        <v>816</v>
      </c>
      <c r="AA462" t="s">
        <v>817</v>
      </c>
      <c r="AB462" t="s">
        <v>96</v>
      </c>
      <c r="AC462" t="s">
        <v>97</v>
      </c>
      <c r="AD462" t="s">
        <v>690</v>
      </c>
      <c r="AG462" t="s">
        <v>818</v>
      </c>
      <c r="AH462">
        <v>16</v>
      </c>
      <c r="AI462">
        <v>1001</v>
      </c>
      <c r="AJ462">
        <v>74</v>
      </c>
      <c r="AK462">
        <v>15</v>
      </c>
      <c r="AL462">
        <v>0.94</v>
      </c>
    </row>
    <row r="463" spans="1:38" x14ac:dyDescent="0.3">
      <c r="A463" t="s">
        <v>685</v>
      </c>
      <c r="B463">
        <v>126974</v>
      </c>
      <c r="C463">
        <v>4</v>
      </c>
      <c r="D463" t="s">
        <v>814</v>
      </c>
      <c r="E463" t="s">
        <v>815</v>
      </c>
      <c r="F463">
        <v>16</v>
      </c>
      <c r="G463">
        <v>26.56</v>
      </c>
      <c r="H463">
        <v>87.81</v>
      </c>
      <c r="I463">
        <v>19.95</v>
      </c>
      <c r="J463">
        <v>65.97</v>
      </c>
      <c r="K463">
        <v>2</v>
      </c>
      <c r="T463">
        <v>3</v>
      </c>
      <c r="U463">
        <v>2</v>
      </c>
      <c r="V463" t="s">
        <v>93</v>
      </c>
      <c r="W463" t="s">
        <v>725</v>
      </c>
      <c r="X463">
        <v>19</v>
      </c>
      <c r="Y463">
        <v>18</v>
      </c>
      <c r="Z463" t="s">
        <v>816</v>
      </c>
      <c r="AA463" t="s">
        <v>817</v>
      </c>
      <c r="AB463" t="s">
        <v>96</v>
      </c>
      <c r="AC463" t="s">
        <v>97</v>
      </c>
      <c r="AD463" t="s">
        <v>690</v>
      </c>
      <c r="AG463" t="s">
        <v>818</v>
      </c>
      <c r="AH463">
        <v>16</v>
      </c>
      <c r="AI463">
        <v>1001</v>
      </c>
      <c r="AJ463">
        <v>74</v>
      </c>
      <c r="AK463">
        <v>15</v>
      </c>
      <c r="AL463">
        <v>0.94</v>
      </c>
    </row>
    <row r="464" spans="1:38" x14ac:dyDescent="0.3">
      <c r="A464" t="s">
        <v>685</v>
      </c>
      <c r="B464">
        <v>126974</v>
      </c>
      <c r="C464">
        <v>5</v>
      </c>
      <c r="D464" t="s">
        <v>814</v>
      </c>
      <c r="E464" t="s">
        <v>815</v>
      </c>
      <c r="F464">
        <v>16</v>
      </c>
      <c r="G464">
        <v>26.68</v>
      </c>
      <c r="H464">
        <v>88.23</v>
      </c>
      <c r="I464">
        <v>20.13</v>
      </c>
      <c r="J464">
        <v>66.56</v>
      </c>
      <c r="K464">
        <v>2</v>
      </c>
      <c r="T464">
        <v>3</v>
      </c>
      <c r="U464">
        <v>2</v>
      </c>
      <c r="V464" t="s">
        <v>93</v>
      </c>
      <c r="W464" t="s">
        <v>298</v>
      </c>
      <c r="X464">
        <v>19</v>
      </c>
      <c r="Y464">
        <v>18</v>
      </c>
      <c r="Z464" t="s">
        <v>816</v>
      </c>
      <c r="AA464" t="s">
        <v>817</v>
      </c>
      <c r="AB464" t="s">
        <v>96</v>
      </c>
      <c r="AC464" t="s">
        <v>97</v>
      </c>
      <c r="AD464" t="s">
        <v>690</v>
      </c>
      <c r="AG464" t="s">
        <v>818</v>
      </c>
      <c r="AH464">
        <v>16</v>
      </c>
      <c r="AI464">
        <v>1001</v>
      </c>
      <c r="AJ464">
        <v>74</v>
      </c>
      <c r="AK464">
        <v>15</v>
      </c>
      <c r="AL464">
        <v>0.94</v>
      </c>
    </row>
    <row r="465" spans="1:38" x14ac:dyDescent="0.3">
      <c r="A465" t="s">
        <v>685</v>
      </c>
      <c r="B465">
        <v>126974</v>
      </c>
      <c r="C465">
        <v>6</v>
      </c>
      <c r="D465" t="s">
        <v>814</v>
      </c>
      <c r="E465" t="s">
        <v>815</v>
      </c>
      <c r="F465">
        <v>16</v>
      </c>
      <c r="G465">
        <v>28.47</v>
      </c>
      <c r="H465">
        <v>94.13</v>
      </c>
      <c r="I465">
        <v>21.27</v>
      </c>
      <c r="J465">
        <v>70.33</v>
      </c>
      <c r="K465">
        <v>2</v>
      </c>
      <c r="T465">
        <v>3</v>
      </c>
      <c r="U465">
        <v>2</v>
      </c>
      <c r="V465" t="s">
        <v>211</v>
      </c>
      <c r="W465">
        <v>94</v>
      </c>
      <c r="X465">
        <v>19</v>
      </c>
      <c r="Y465">
        <v>18</v>
      </c>
      <c r="Z465" t="s">
        <v>816</v>
      </c>
      <c r="AA465" t="s">
        <v>817</v>
      </c>
      <c r="AB465" t="s">
        <v>96</v>
      </c>
      <c r="AC465" t="s">
        <v>97</v>
      </c>
      <c r="AD465" t="s">
        <v>690</v>
      </c>
      <c r="AG465" t="s">
        <v>818</v>
      </c>
      <c r="AH465">
        <v>16</v>
      </c>
      <c r="AI465">
        <v>1001</v>
      </c>
      <c r="AJ465">
        <v>74</v>
      </c>
      <c r="AK465">
        <v>15</v>
      </c>
      <c r="AL465">
        <v>0.94</v>
      </c>
    </row>
    <row r="466" spans="1:38" x14ac:dyDescent="0.3">
      <c r="A466" t="s">
        <v>685</v>
      </c>
      <c r="B466">
        <v>126974</v>
      </c>
      <c r="C466">
        <v>7</v>
      </c>
      <c r="D466" t="s">
        <v>814</v>
      </c>
      <c r="E466" t="s">
        <v>815</v>
      </c>
      <c r="F466">
        <v>16</v>
      </c>
      <c r="G466">
        <v>28.84</v>
      </c>
      <c r="H466">
        <v>95.37</v>
      </c>
      <c r="I466">
        <v>21.6</v>
      </c>
      <c r="J466">
        <v>71.42</v>
      </c>
      <c r="K466">
        <v>1</v>
      </c>
      <c r="T466">
        <v>3</v>
      </c>
      <c r="U466">
        <v>2</v>
      </c>
      <c r="V466" t="s">
        <v>93</v>
      </c>
      <c r="W466">
        <v>95</v>
      </c>
      <c r="X466">
        <v>19</v>
      </c>
      <c r="Y466">
        <v>18</v>
      </c>
      <c r="Z466" t="s">
        <v>816</v>
      </c>
      <c r="AA466" t="s">
        <v>817</v>
      </c>
      <c r="AB466" t="s">
        <v>96</v>
      </c>
      <c r="AC466" t="s">
        <v>97</v>
      </c>
      <c r="AD466" t="s">
        <v>690</v>
      </c>
      <c r="AG466" t="s">
        <v>818</v>
      </c>
      <c r="AH466">
        <v>16</v>
      </c>
      <c r="AI466">
        <v>1001</v>
      </c>
      <c r="AJ466">
        <v>74</v>
      </c>
      <c r="AK466">
        <v>15</v>
      </c>
      <c r="AL466">
        <v>0.94</v>
      </c>
    </row>
    <row r="467" spans="1:38" x14ac:dyDescent="0.3">
      <c r="A467" t="s">
        <v>685</v>
      </c>
      <c r="B467">
        <v>126974</v>
      </c>
      <c r="C467">
        <v>8</v>
      </c>
      <c r="D467" t="s">
        <v>814</v>
      </c>
      <c r="E467" t="s">
        <v>815</v>
      </c>
      <c r="F467">
        <v>16</v>
      </c>
      <c r="G467">
        <v>33.64</v>
      </c>
      <c r="H467">
        <v>111.22</v>
      </c>
      <c r="I467">
        <v>24.98</v>
      </c>
      <c r="J467">
        <v>82.58</v>
      </c>
      <c r="K467">
        <v>1</v>
      </c>
      <c r="T467">
        <v>3</v>
      </c>
      <c r="U467">
        <v>2</v>
      </c>
      <c r="V467" t="s">
        <v>93</v>
      </c>
      <c r="W467" t="s">
        <v>820</v>
      </c>
      <c r="X467">
        <v>19</v>
      </c>
      <c r="Y467">
        <v>18</v>
      </c>
      <c r="Z467" t="s">
        <v>816</v>
      </c>
      <c r="AA467" t="s">
        <v>817</v>
      </c>
      <c r="AB467" t="s">
        <v>96</v>
      </c>
      <c r="AC467" t="s">
        <v>97</v>
      </c>
      <c r="AD467" t="s">
        <v>690</v>
      </c>
      <c r="AG467" t="s">
        <v>818</v>
      </c>
      <c r="AH467">
        <v>16</v>
      </c>
      <c r="AI467">
        <v>1001</v>
      </c>
      <c r="AJ467">
        <v>74</v>
      </c>
      <c r="AK467">
        <v>15</v>
      </c>
      <c r="AL467">
        <v>0.94</v>
      </c>
    </row>
    <row r="468" spans="1:38" x14ac:dyDescent="0.3">
      <c r="A468" t="s">
        <v>685</v>
      </c>
      <c r="B468">
        <v>126974</v>
      </c>
      <c r="C468">
        <v>9</v>
      </c>
      <c r="D468" t="s">
        <v>814</v>
      </c>
      <c r="E468" t="s">
        <v>815</v>
      </c>
      <c r="F468">
        <v>16</v>
      </c>
      <c r="G468">
        <v>34.25</v>
      </c>
      <c r="H468">
        <v>113.25</v>
      </c>
      <c r="I468">
        <v>25.63</v>
      </c>
      <c r="J468">
        <v>84.76</v>
      </c>
      <c r="K468">
        <v>1</v>
      </c>
      <c r="T468">
        <v>3</v>
      </c>
      <c r="U468">
        <v>2</v>
      </c>
      <c r="V468" t="s">
        <v>93</v>
      </c>
      <c r="W468" t="s">
        <v>730</v>
      </c>
      <c r="X468">
        <v>19</v>
      </c>
      <c r="Y468">
        <v>18</v>
      </c>
      <c r="Z468" t="s">
        <v>816</v>
      </c>
      <c r="AA468" t="s">
        <v>817</v>
      </c>
      <c r="AB468" t="s">
        <v>96</v>
      </c>
      <c r="AC468" t="s">
        <v>97</v>
      </c>
      <c r="AD468" t="s">
        <v>690</v>
      </c>
      <c r="AG468" t="s">
        <v>818</v>
      </c>
      <c r="AH468">
        <v>16</v>
      </c>
      <c r="AI468">
        <v>1001</v>
      </c>
      <c r="AJ468">
        <v>74</v>
      </c>
      <c r="AK468">
        <v>15</v>
      </c>
      <c r="AL468">
        <v>0.94</v>
      </c>
    </row>
    <row r="469" spans="1:38" x14ac:dyDescent="0.3">
      <c r="A469" t="s">
        <v>685</v>
      </c>
      <c r="B469">
        <v>119420</v>
      </c>
      <c r="C469">
        <v>1</v>
      </c>
      <c r="D469" t="s">
        <v>821</v>
      </c>
      <c r="E469" t="s">
        <v>822</v>
      </c>
      <c r="F469">
        <v>12</v>
      </c>
      <c r="G469">
        <v>19.829999999999998</v>
      </c>
      <c r="H469">
        <v>65.56</v>
      </c>
      <c r="I469">
        <v>17.29</v>
      </c>
      <c r="J469">
        <v>57.19</v>
      </c>
      <c r="K469">
        <v>1</v>
      </c>
      <c r="T469">
        <v>3</v>
      </c>
      <c r="U469">
        <v>2</v>
      </c>
      <c r="V469" t="s">
        <v>93</v>
      </c>
      <c r="W469" t="s">
        <v>197</v>
      </c>
      <c r="X469">
        <v>6</v>
      </c>
      <c r="Y469">
        <v>6</v>
      </c>
      <c r="Z469" t="s">
        <v>823</v>
      </c>
      <c r="AA469" t="s">
        <v>824</v>
      </c>
      <c r="AB469" t="s">
        <v>96</v>
      </c>
      <c r="AC469" t="s">
        <v>97</v>
      </c>
      <c r="AD469" t="s">
        <v>690</v>
      </c>
      <c r="AG469" t="s">
        <v>825</v>
      </c>
      <c r="AH469">
        <v>0</v>
      </c>
      <c r="AI469">
        <v>348</v>
      </c>
      <c r="AJ469">
        <v>79</v>
      </c>
      <c r="AK469">
        <v>13</v>
      </c>
      <c r="AL469">
        <v>1.08</v>
      </c>
    </row>
    <row r="470" spans="1:38" x14ac:dyDescent="0.3">
      <c r="A470" t="s">
        <v>685</v>
      </c>
      <c r="B470">
        <v>119420</v>
      </c>
      <c r="C470">
        <v>2</v>
      </c>
      <c r="D470" t="s">
        <v>821</v>
      </c>
      <c r="E470" t="s">
        <v>822</v>
      </c>
      <c r="F470">
        <v>12</v>
      </c>
      <c r="G470">
        <v>19.86</v>
      </c>
      <c r="H470">
        <v>65.680000000000007</v>
      </c>
      <c r="I470">
        <v>17.329999999999998</v>
      </c>
      <c r="J470">
        <v>57.29</v>
      </c>
      <c r="K470">
        <v>1</v>
      </c>
      <c r="T470">
        <v>3</v>
      </c>
      <c r="U470">
        <v>2</v>
      </c>
      <c r="V470" t="s">
        <v>93</v>
      </c>
      <c r="W470" t="s">
        <v>196</v>
      </c>
      <c r="X470">
        <v>6</v>
      </c>
      <c r="Y470">
        <v>6</v>
      </c>
      <c r="Z470" t="s">
        <v>823</v>
      </c>
      <c r="AA470" t="s">
        <v>824</v>
      </c>
      <c r="AB470" t="s">
        <v>96</v>
      </c>
      <c r="AC470" t="s">
        <v>97</v>
      </c>
      <c r="AD470" t="s">
        <v>690</v>
      </c>
      <c r="AG470" t="s">
        <v>825</v>
      </c>
      <c r="AH470">
        <v>0</v>
      </c>
      <c r="AI470">
        <v>348</v>
      </c>
      <c r="AJ470">
        <v>79</v>
      </c>
      <c r="AK470">
        <v>13</v>
      </c>
      <c r="AL470">
        <v>1.08</v>
      </c>
    </row>
    <row r="471" spans="1:38" x14ac:dyDescent="0.3">
      <c r="A471" t="s">
        <v>685</v>
      </c>
      <c r="B471">
        <v>119420</v>
      </c>
      <c r="C471">
        <v>3</v>
      </c>
      <c r="D471" t="s">
        <v>821</v>
      </c>
      <c r="E471" t="s">
        <v>822</v>
      </c>
      <c r="F471">
        <v>12</v>
      </c>
      <c r="G471">
        <v>23.05</v>
      </c>
      <c r="H471">
        <v>76.23</v>
      </c>
      <c r="I471">
        <v>20.11</v>
      </c>
      <c r="J471">
        <v>66.489999999999995</v>
      </c>
      <c r="K471">
        <v>3</v>
      </c>
      <c r="T471">
        <v>3</v>
      </c>
      <c r="U471">
        <v>2</v>
      </c>
      <c r="V471" t="s">
        <v>93</v>
      </c>
      <c r="W471">
        <v>76</v>
      </c>
      <c r="X471">
        <v>6</v>
      </c>
      <c r="Y471">
        <v>6</v>
      </c>
      <c r="Z471" t="s">
        <v>823</v>
      </c>
      <c r="AA471" t="s">
        <v>824</v>
      </c>
      <c r="AB471" t="s">
        <v>96</v>
      </c>
      <c r="AC471" t="s">
        <v>97</v>
      </c>
      <c r="AD471" t="s">
        <v>690</v>
      </c>
      <c r="AG471" t="s">
        <v>825</v>
      </c>
      <c r="AH471">
        <v>0</v>
      </c>
      <c r="AI471">
        <v>348</v>
      </c>
      <c r="AJ471">
        <v>79</v>
      </c>
      <c r="AK471">
        <v>13</v>
      </c>
      <c r="AL471">
        <v>1.08</v>
      </c>
    </row>
    <row r="472" spans="1:38" x14ac:dyDescent="0.3">
      <c r="A472" t="s">
        <v>685</v>
      </c>
      <c r="B472">
        <v>119420</v>
      </c>
      <c r="C472">
        <v>4</v>
      </c>
      <c r="D472" t="s">
        <v>821</v>
      </c>
      <c r="E472" t="s">
        <v>822</v>
      </c>
      <c r="F472">
        <v>12</v>
      </c>
      <c r="G472">
        <v>24.29</v>
      </c>
      <c r="H472">
        <v>80.31</v>
      </c>
      <c r="I472">
        <v>21.19</v>
      </c>
      <c r="J472">
        <v>70.05</v>
      </c>
      <c r="K472">
        <v>3</v>
      </c>
      <c r="T472">
        <v>3</v>
      </c>
      <c r="U472">
        <v>2</v>
      </c>
      <c r="V472" t="s">
        <v>93</v>
      </c>
      <c r="W472">
        <v>80</v>
      </c>
      <c r="X472">
        <v>6</v>
      </c>
      <c r="Y472">
        <v>6</v>
      </c>
      <c r="Z472" t="s">
        <v>823</v>
      </c>
      <c r="AA472" t="s">
        <v>824</v>
      </c>
      <c r="AB472" t="s">
        <v>96</v>
      </c>
      <c r="AC472" t="s">
        <v>97</v>
      </c>
      <c r="AD472" t="s">
        <v>690</v>
      </c>
      <c r="AG472" t="s">
        <v>825</v>
      </c>
      <c r="AH472">
        <v>0</v>
      </c>
      <c r="AI472">
        <v>348</v>
      </c>
      <c r="AJ472">
        <v>79</v>
      </c>
      <c r="AK472">
        <v>13</v>
      </c>
      <c r="AL472">
        <v>1.08</v>
      </c>
    </row>
    <row r="473" spans="1:38" x14ac:dyDescent="0.3">
      <c r="A473" t="s">
        <v>685</v>
      </c>
      <c r="B473">
        <v>119420</v>
      </c>
      <c r="C473">
        <v>5</v>
      </c>
      <c r="D473" t="s">
        <v>821</v>
      </c>
      <c r="E473" t="s">
        <v>822</v>
      </c>
      <c r="F473">
        <v>12</v>
      </c>
      <c r="G473">
        <v>25.47</v>
      </c>
      <c r="H473">
        <v>84.23</v>
      </c>
      <c r="I473">
        <v>22.22</v>
      </c>
      <c r="J473">
        <v>73.47</v>
      </c>
      <c r="K473">
        <v>1</v>
      </c>
      <c r="T473">
        <v>3</v>
      </c>
      <c r="U473">
        <v>2</v>
      </c>
      <c r="V473" t="s">
        <v>93</v>
      </c>
      <c r="W473">
        <v>84</v>
      </c>
      <c r="X473">
        <v>6</v>
      </c>
      <c r="Y473">
        <v>6</v>
      </c>
      <c r="Z473" t="s">
        <v>823</v>
      </c>
      <c r="AA473" t="s">
        <v>824</v>
      </c>
      <c r="AB473" t="s">
        <v>96</v>
      </c>
      <c r="AC473" t="s">
        <v>97</v>
      </c>
      <c r="AD473" t="s">
        <v>690</v>
      </c>
      <c r="AG473" t="s">
        <v>825</v>
      </c>
      <c r="AH473">
        <v>0</v>
      </c>
      <c r="AI473">
        <v>348</v>
      </c>
      <c r="AJ473">
        <v>79</v>
      </c>
      <c r="AK473">
        <v>13</v>
      </c>
      <c r="AL473">
        <v>1.08</v>
      </c>
    </row>
    <row r="474" spans="1:38" x14ac:dyDescent="0.3">
      <c r="A474" t="s">
        <v>685</v>
      </c>
      <c r="B474">
        <v>119420</v>
      </c>
      <c r="C474">
        <v>6</v>
      </c>
      <c r="D474" t="s">
        <v>821</v>
      </c>
      <c r="E474" t="s">
        <v>822</v>
      </c>
      <c r="F474">
        <v>12</v>
      </c>
      <c r="G474">
        <v>28.16</v>
      </c>
      <c r="H474">
        <v>93.12</v>
      </c>
      <c r="I474">
        <v>24.57</v>
      </c>
      <c r="J474">
        <v>81.23</v>
      </c>
      <c r="K474">
        <v>3</v>
      </c>
      <c r="T474">
        <v>3</v>
      </c>
      <c r="U474">
        <v>2</v>
      </c>
      <c r="V474" t="s">
        <v>93</v>
      </c>
      <c r="W474">
        <v>93</v>
      </c>
      <c r="X474">
        <v>6</v>
      </c>
      <c r="Y474">
        <v>6</v>
      </c>
      <c r="Z474" t="s">
        <v>823</v>
      </c>
      <c r="AA474" t="s">
        <v>824</v>
      </c>
      <c r="AB474" t="s">
        <v>96</v>
      </c>
      <c r="AC474" t="s">
        <v>97</v>
      </c>
      <c r="AD474" t="s">
        <v>690</v>
      </c>
      <c r="AG474" t="s">
        <v>825</v>
      </c>
      <c r="AH474">
        <v>0</v>
      </c>
      <c r="AI474">
        <v>348</v>
      </c>
      <c r="AJ474">
        <v>79</v>
      </c>
      <c r="AK474">
        <v>13</v>
      </c>
      <c r="AL474">
        <v>1.08</v>
      </c>
    </row>
    <row r="475" spans="1:38" x14ac:dyDescent="0.3">
      <c r="A475" t="s">
        <v>685</v>
      </c>
      <c r="B475">
        <v>128800</v>
      </c>
      <c r="C475">
        <v>1</v>
      </c>
      <c r="D475" t="s">
        <v>826</v>
      </c>
      <c r="E475" t="s">
        <v>274</v>
      </c>
      <c r="F475">
        <v>6</v>
      </c>
      <c r="G475">
        <v>32.020000000000003</v>
      </c>
      <c r="H475">
        <v>105.88</v>
      </c>
      <c r="I475">
        <v>25.69</v>
      </c>
      <c r="J475">
        <v>84.94</v>
      </c>
      <c r="K475">
        <v>6</v>
      </c>
      <c r="T475">
        <v>3</v>
      </c>
      <c r="U475">
        <v>2</v>
      </c>
      <c r="V475" t="s">
        <v>93</v>
      </c>
      <c r="W475">
        <v>105</v>
      </c>
      <c r="X475">
        <v>14</v>
      </c>
      <c r="Y475">
        <v>14</v>
      </c>
      <c r="Z475" t="s">
        <v>827</v>
      </c>
      <c r="AA475" t="s">
        <v>828</v>
      </c>
      <c r="AB475" t="s">
        <v>96</v>
      </c>
      <c r="AC475" t="s">
        <v>97</v>
      </c>
      <c r="AD475" t="s">
        <v>690</v>
      </c>
      <c r="AG475" t="s">
        <v>829</v>
      </c>
      <c r="AH475">
        <v>0</v>
      </c>
      <c r="AI475">
        <v>851</v>
      </c>
      <c r="AJ475">
        <v>76</v>
      </c>
      <c r="AK475">
        <v>6</v>
      </c>
      <c r="AL475">
        <v>1</v>
      </c>
    </row>
    <row r="476" spans="1:38" x14ac:dyDescent="0.3">
      <c r="A476" t="s">
        <v>685</v>
      </c>
      <c r="B476">
        <v>124302</v>
      </c>
      <c r="C476">
        <v>1</v>
      </c>
      <c r="D476" t="s">
        <v>603</v>
      </c>
      <c r="E476" t="s">
        <v>534</v>
      </c>
      <c r="F476">
        <v>26</v>
      </c>
      <c r="G476">
        <v>27.52</v>
      </c>
      <c r="H476">
        <v>90.98</v>
      </c>
      <c r="I476">
        <v>22.53</v>
      </c>
      <c r="J476">
        <v>74.489999999999995</v>
      </c>
      <c r="K476">
        <v>13</v>
      </c>
      <c r="T476">
        <v>3</v>
      </c>
      <c r="U476">
        <v>2</v>
      </c>
      <c r="V476" t="s">
        <v>93</v>
      </c>
      <c r="W476" t="s">
        <v>830</v>
      </c>
      <c r="X476">
        <v>14</v>
      </c>
      <c r="Y476">
        <v>14</v>
      </c>
      <c r="Z476" t="s">
        <v>831</v>
      </c>
      <c r="AA476" t="s">
        <v>832</v>
      </c>
      <c r="AB476" t="s">
        <v>96</v>
      </c>
      <c r="AC476" t="s">
        <v>97</v>
      </c>
      <c r="AD476" t="s">
        <v>690</v>
      </c>
      <c r="AG476" t="s">
        <v>833</v>
      </c>
      <c r="AH476">
        <v>0</v>
      </c>
      <c r="AI476">
        <v>815</v>
      </c>
      <c r="AJ476">
        <v>73</v>
      </c>
      <c r="AK476">
        <v>26</v>
      </c>
      <c r="AL476">
        <v>1</v>
      </c>
    </row>
    <row r="477" spans="1:38" x14ac:dyDescent="0.3">
      <c r="A477" t="s">
        <v>685</v>
      </c>
      <c r="B477">
        <v>124302</v>
      </c>
      <c r="C477">
        <v>2</v>
      </c>
      <c r="D477" t="s">
        <v>603</v>
      </c>
      <c r="E477" t="s">
        <v>534</v>
      </c>
      <c r="F477">
        <v>26</v>
      </c>
      <c r="G477">
        <v>28.38</v>
      </c>
      <c r="H477">
        <v>93.85</v>
      </c>
      <c r="I477">
        <v>23.26</v>
      </c>
      <c r="J477">
        <v>76.92</v>
      </c>
      <c r="K477">
        <v>13</v>
      </c>
      <c r="T477">
        <v>3</v>
      </c>
      <c r="U477">
        <v>2</v>
      </c>
      <c r="V477" t="s">
        <v>93</v>
      </c>
      <c r="W477" t="s">
        <v>834</v>
      </c>
      <c r="X477">
        <v>14</v>
      </c>
      <c r="Y477">
        <v>14</v>
      </c>
      <c r="Z477" t="s">
        <v>831</v>
      </c>
      <c r="AA477" t="s">
        <v>832</v>
      </c>
      <c r="AB477" t="s">
        <v>96</v>
      </c>
      <c r="AC477" t="s">
        <v>97</v>
      </c>
      <c r="AD477" t="s">
        <v>690</v>
      </c>
      <c r="AG477" t="s">
        <v>833</v>
      </c>
      <c r="AH477">
        <v>0</v>
      </c>
      <c r="AI477">
        <v>815</v>
      </c>
      <c r="AJ477">
        <v>73</v>
      </c>
      <c r="AK477">
        <v>26</v>
      </c>
      <c r="AL477">
        <v>1</v>
      </c>
    </row>
    <row r="478" spans="1:38" x14ac:dyDescent="0.3">
      <c r="A478" t="s">
        <v>685</v>
      </c>
      <c r="B478">
        <v>141796</v>
      </c>
      <c r="C478">
        <v>1</v>
      </c>
      <c r="D478" t="s">
        <v>332</v>
      </c>
      <c r="E478" t="s">
        <v>732</v>
      </c>
      <c r="F478">
        <v>7</v>
      </c>
      <c r="G478">
        <v>18.559999999999999</v>
      </c>
      <c r="H478">
        <v>61.38</v>
      </c>
      <c r="I478">
        <v>15.12</v>
      </c>
      <c r="J478">
        <v>49.99</v>
      </c>
      <c r="K478">
        <v>1</v>
      </c>
      <c r="T478">
        <v>3</v>
      </c>
      <c r="U478">
        <v>1</v>
      </c>
      <c r="V478" t="s">
        <v>93</v>
      </c>
      <c r="W478" t="s">
        <v>693</v>
      </c>
      <c r="X478">
        <v>8</v>
      </c>
      <c r="Y478">
        <v>8</v>
      </c>
      <c r="Z478" t="s">
        <v>835</v>
      </c>
      <c r="AA478" t="s">
        <v>836</v>
      </c>
      <c r="AB478" t="s">
        <v>96</v>
      </c>
      <c r="AC478" t="s">
        <v>97</v>
      </c>
      <c r="AD478" t="s">
        <v>690</v>
      </c>
      <c r="AG478" t="s">
        <v>837</v>
      </c>
      <c r="AH478">
        <v>0</v>
      </c>
      <c r="AI478">
        <v>451</v>
      </c>
      <c r="AJ478">
        <v>78</v>
      </c>
      <c r="AK478">
        <v>7</v>
      </c>
      <c r="AL478">
        <v>1</v>
      </c>
    </row>
    <row r="479" spans="1:38" x14ac:dyDescent="0.3">
      <c r="A479" t="s">
        <v>685</v>
      </c>
      <c r="B479">
        <v>141796</v>
      </c>
      <c r="C479">
        <v>2</v>
      </c>
      <c r="D479" t="s">
        <v>332</v>
      </c>
      <c r="E479" t="s">
        <v>732</v>
      </c>
      <c r="F479">
        <v>7</v>
      </c>
      <c r="G479">
        <v>18.62</v>
      </c>
      <c r="H479">
        <v>61.56</v>
      </c>
      <c r="I479">
        <v>15.14</v>
      </c>
      <c r="J479">
        <v>50.06</v>
      </c>
      <c r="K479">
        <v>1</v>
      </c>
      <c r="T479">
        <v>3</v>
      </c>
      <c r="U479">
        <v>1</v>
      </c>
      <c r="V479" t="s">
        <v>93</v>
      </c>
      <c r="W479" t="s">
        <v>697</v>
      </c>
      <c r="X479">
        <v>8</v>
      </c>
      <c r="Y479">
        <v>8</v>
      </c>
      <c r="Z479" t="s">
        <v>835</v>
      </c>
      <c r="AA479" t="s">
        <v>836</v>
      </c>
      <c r="AB479" t="s">
        <v>96</v>
      </c>
      <c r="AC479" t="s">
        <v>97</v>
      </c>
      <c r="AD479" t="s">
        <v>690</v>
      </c>
      <c r="AG479" t="s">
        <v>837</v>
      </c>
      <c r="AH479">
        <v>0</v>
      </c>
      <c r="AI479">
        <v>451</v>
      </c>
      <c r="AJ479">
        <v>78</v>
      </c>
      <c r="AK479">
        <v>7</v>
      </c>
      <c r="AL479">
        <v>1</v>
      </c>
    </row>
    <row r="480" spans="1:38" x14ac:dyDescent="0.3">
      <c r="A480" t="s">
        <v>685</v>
      </c>
      <c r="B480">
        <v>141796</v>
      </c>
      <c r="C480">
        <v>3</v>
      </c>
      <c r="D480" t="s">
        <v>332</v>
      </c>
      <c r="E480" t="s">
        <v>732</v>
      </c>
      <c r="F480">
        <v>7</v>
      </c>
      <c r="G480">
        <v>20.11</v>
      </c>
      <c r="H480">
        <v>66.489999999999995</v>
      </c>
      <c r="I480">
        <v>16.39</v>
      </c>
      <c r="J480">
        <v>54.19</v>
      </c>
      <c r="K480">
        <v>1</v>
      </c>
      <c r="T480">
        <v>3</v>
      </c>
      <c r="U480">
        <v>1</v>
      </c>
      <c r="V480" t="s">
        <v>93</v>
      </c>
      <c r="W480">
        <v>66</v>
      </c>
      <c r="X480">
        <v>8</v>
      </c>
      <c r="Y480">
        <v>8</v>
      </c>
      <c r="Z480" t="s">
        <v>835</v>
      </c>
      <c r="AA480" t="s">
        <v>836</v>
      </c>
      <c r="AB480" t="s">
        <v>96</v>
      </c>
      <c r="AC480" t="s">
        <v>97</v>
      </c>
      <c r="AD480" t="s">
        <v>690</v>
      </c>
      <c r="AG480" t="s">
        <v>837</v>
      </c>
      <c r="AH480">
        <v>0</v>
      </c>
      <c r="AI480">
        <v>451</v>
      </c>
      <c r="AJ480">
        <v>78</v>
      </c>
      <c r="AK480">
        <v>7</v>
      </c>
      <c r="AL480">
        <v>1</v>
      </c>
    </row>
    <row r="481" spans="1:38" x14ac:dyDescent="0.3">
      <c r="A481" t="s">
        <v>685</v>
      </c>
      <c r="B481">
        <v>141796</v>
      </c>
      <c r="C481">
        <v>4</v>
      </c>
      <c r="D481" t="s">
        <v>332</v>
      </c>
      <c r="E481" t="s">
        <v>732</v>
      </c>
      <c r="F481">
        <v>7</v>
      </c>
      <c r="G481">
        <v>20.62</v>
      </c>
      <c r="H481">
        <v>68.180000000000007</v>
      </c>
      <c r="I481">
        <v>16.95</v>
      </c>
      <c r="J481">
        <v>56.04</v>
      </c>
      <c r="K481">
        <v>1</v>
      </c>
      <c r="T481">
        <v>3</v>
      </c>
      <c r="U481">
        <v>1</v>
      </c>
      <c r="V481" t="s">
        <v>93</v>
      </c>
      <c r="W481" t="s">
        <v>226</v>
      </c>
      <c r="X481">
        <v>8</v>
      </c>
      <c r="Y481">
        <v>8</v>
      </c>
      <c r="Z481" t="s">
        <v>835</v>
      </c>
      <c r="AA481" t="s">
        <v>836</v>
      </c>
      <c r="AB481" t="s">
        <v>96</v>
      </c>
      <c r="AC481" t="s">
        <v>97</v>
      </c>
      <c r="AD481" t="s">
        <v>690</v>
      </c>
      <c r="AG481" t="s">
        <v>837</v>
      </c>
      <c r="AH481">
        <v>0</v>
      </c>
      <c r="AI481">
        <v>451</v>
      </c>
      <c r="AJ481">
        <v>78</v>
      </c>
      <c r="AK481">
        <v>7</v>
      </c>
      <c r="AL481">
        <v>1</v>
      </c>
    </row>
    <row r="482" spans="1:38" x14ac:dyDescent="0.3">
      <c r="A482" t="s">
        <v>685</v>
      </c>
      <c r="B482">
        <v>141796</v>
      </c>
      <c r="C482">
        <v>5</v>
      </c>
      <c r="D482" t="s">
        <v>332</v>
      </c>
      <c r="E482" t="s">
        <v>732</v>
      </c>
      <c r="F482">
        <v>7</v>
      </c>
      <c r="G482">
        <v>20.84</v>
      </c>
      <c r="H482">
        <v>68.91</v>
      </c>
      <c r="I482">
        <v>17.07</v>
      </c>
      <c r="J482">
        <v>56.45</v>
      </c>
      <c r="K482">
        <v>1</v>
      </c>
      <c r="T482">
        <v>3</v>
      </c>
      <c r="U482">
        <v>1</v>
      </c>
      <c r="V482" t="s">
        <v>93</v>
      </c>
      <c r="W482" t="s">
        <v>230</v>
      </c>
      <c r="X482">
        <v>8</v>
      </c>
      <c r="Y482">
        <v>8</v>
      </c>
      <c r="Z482" t="s">
        <v>835</v>
      </c>
      <c r="AA482" t="s">
        <v>836</v>
      </c>
      <c r="AB482" t="s">
        <v>96</v>
      </c>
      <c r="AC482" t="s">
        <v>97</v>
      </c>
      <c r="AD482" t="s">
        <v>690</v>
      </c>
      <c r="AG482" t="s">
        <v>837</v>
      </c>
      <c r="AH482">
        <v>0</v>
      </c>
      <c r="AI482">
        <v>451</v>
      </c>
      <c r="AJ482">
        <v>78</v>
      </c>
      <c r="AK482">
        <v>7</v>
      </c>
      <c r="AL482">
        <v>1</v>
      </c>
    </row>
    <row r="483" spans="1:38" x14ac:dyDescent="0.3">
      <c r="A483" t="s">
        <v>685</v>
      </c>
      <c r="B483">
        <v>141796</v>
      </c>
      <c r="C483">
        <v>6</v>
      </c>
      <c r="D483" t="s">
        <v>332</v>
      </c>
      <c r="E483" t="s">
        <v>732</v>
      </c>
      <c r="F483">
        <v>7</v>
      </c>
      <c r="G483">
        <v>23.77</v>
      </c>
      <c r="H483">
        <v>78.59</v>
      </c>
      <c r="I483">
        <v>19.559999999999999</v>
      </c>
      <c r="J483">
        <v>64.67</v>
      </c>
      <c r="K483">
        <v>1</v>
      </c>
      <c r="T483">
        <v>3</v>
      </c>
      <c r="U483">
        <v>2</v>
      </c>
      <c r="V483" t="s">
        <v>93</v>
      </c>
      <c r="W483" t="s">
        <v>318</v>
      </c>
      <c r="X483">
        <v>8</v>
      </c>
      <c r="Y483">
        <v>8</v>
      </c>
      <c r="Z483" t="s">
        <v>835</v>
      </c>
      <c r="AA483" t="s">
        <v>836</v>
      </c>
      <c r="AB483" t="s">
        <v>96</v>
      </c>
      <c r="AC483" t="s">
        <v>97</v>
      </c>
      <c r="AD483" t="s">
        <v>690</v>
      </c>
      <c r="AG483" t="s">
        <v>837</v>
      </c>
      <c r="AH483">
        <v>0</v>
      </c>
      <c r="AI483">
        <v>451</v>
      </c>
      <c r="AJ483">
        <v>78</v>
      </c>
      <c r="AK483">
        <v>7</v>
      </c>
      <c r="AL483">
        <v>1</v>
      </c>
    </row>
    <row r="484" spans="1:38" x14ac:dyDescent="0.3">
      <c r="A484" t="s">
        <v>685</v>
      </c>
      <c r="B484">
        <v>141796</v>
      </c>
      <c r="C484">
        <v>7</v>
      </c>
      <c r="D484" t="s">
        <v>332</v>
      </c>
      <c r="E484" t="s">
        <v>732</v>
      </c>
      <c r="F484">
        <v>7</v>
      </c>
      <c r="G484">
        <v>24.22</v>
      </c>
      <c r="H484">
        <v>80.08</v>
      </c>
      <c r="I484">
        <v>19.940000000000001</v>
      </c>
      <c r="J484">
        <v>65.95</v>
      </c>
      <c r="K484">
        <v>1</v>
      </c>
      <c r="T484">
        <v>3</v>
      </c>
      <c r="U484">
        <v>2</v>
      </c>
      <c r="V484" t="s">
        <v>93</v>
      </c>
      <c r="W484" t="s">
        <v>322</v>
      </c>
      <c r="X484">
        <v>8</v>
      </c>
      <c r="Y484">
        <v>8</v>
      </c>
      <c r="Z484" t="s">
        <v>835</v>
      </c>
      <c r="AA484" t="s">
        <v>836</v>
      </c>
      <c r="AB484" t="s">
        <v>96</v>
      </c>
      <c r="AC484" t="s">
        <v>97</v>
      </c>
      <c r="AD484" t="s">
        <v>690</v>
      </c>
      <c r="AG484" t="s">
        <v>837</v>
      </c>
      <c r="AH484">
        <v>0</v>
      </c>
      <c r="AI484">
        <v>451</v>
      </c>
      <c r="AJ484">
        <v>78</v>
      </c>
      <c r="AK484">
        <v>7</v>
      </c>
      <c r="AL484">
        <v>1</v>
      </c>
    </row>
    <row r="485" spans="1:38" x14ac:dyDescent="0.3">
      <c r="A485" t="s">
        <v>685</v>
      </c>
      <c r="B485">
        <v>121610</v>
      </c>
      <c r="C485">
        <v>1</v>
      </c>
      <c r="D485" t="s">
        <v>838</v>
      </c>
      <c r="E485" t="s">
        <v>809</v>
      </c>
      <c r="F485">
        <v>10</v>
      </c>
      <c r="G485">
        <v>19.39</v>
      </c>
      <c r="H485">
        <v>64.12</v>
      </c>
      <c r="I485">
        <v>15.07</v>
      </c>
      <c r="J485">
        <v>49.83</v>
      </c>
      <c r="K485">
        <v>4</v>
      </c>
      <c r="T485">
        <v>2</v>
      </c>
      <c r="U485">
        <v>1</v>
      </c>
      <c r="V485" t="s">
        <v>93</v>
      </c>
      <c r="W485" t="s">
        <v>279</v>
      </c>
      <c r="X485">
        <v>4</v>
      </c>
      <c r="Y485">
        <v>4</v>
      </c>
      <c r="Z485" t="s">
        <v>839</v>
      </c>
      <c r="AA485" t="s">
        <v>840</v>
      </c>
      <c r="AB485" t="s">
        <v>96</v>
      </c>
      <c r="AC485" t="s">
        <v>97</v>
      </c>
      <c r="AD485" t="s">
        <v>690</v>
      </c>
      <c r="AG485" t="s">
        <v>841</v>
      </c>
      <c r="AH485">
        <v>0</v>
      </c>
      <c r="AI485">
        <v>564</v>
      </c>
      <c r="AJ485">
        <v>72</v>
      </c>
      <c r="AK485">
        <v>8</v>
      </c>
      <c r="AL485">
        <v>0.8</v>
      </c>
    </row>
    <row r="486" spans="1:38" x14ac:dyDescent="0.3">
      <c r="A486" t="s">
        <v>685</v>
      </c>
      <c r="B486">
        <v>121610</v>
      </c>
      <c r="C486">
        <v>2</v>
      </c>
      <c r="D486" t="s">
        <v>838</v>
      </c>
      <c r="E486" t="s">
        <v>809</v>
      </c>
      <c r="F486">
        <v>10</v>
      </c>
      <c r="G486">
        <v>19.440000000000001</v>
      </c>
      <c r="H486">
        <v>64.290000000000006</v>
      </c>
      <c r="I486">
        <v>15.1</v>
      </c>
      <c r="J486">
        <v>49.95</v>
      </c>
      <c r="K486">
        <v>3</v>
      </c>
      <c r="T486">
        <v>2</v>
      </c>
      <c r="U486">
        <v>1</v>
      </c>
      <c r="V486" t="s">
        <v>93</v>
      </c>
      <c r="W486" t="s">
        <v>275</v>
      </c>
      <c r="X486">
        <v>4</v>
      </c>
      <c r="Y486">
        <v>4</v>
      </c>
      <c r="Z486" t="s">
        <v>839</v>
      </c>
      <c r="AA486" t="s">
        <v>840</v>
      </c>
      <c r="AB486" t="s">
        <v>96</v>
      </c>
      <c r="AC486" t="s">
        <v>97</v>
      </c>
      <c r="AD486" t="s">
        <v>690</v>
      </c>
      <c r="AG486" t="s">
        <v>841</v>
      </c>
      <c r="AH486">
        <v>0</v>
      </c>
      <c r="AI486">
        <v>564</v>
      </c>
      <c r="AJ486">
        <v>72</v>
      </c>
      <c r="AK486">
        <v>8</v>
      </c>
      <c r="AL486">
        <v>0.8</v>
      </c>
    </row>
    <row r="487" spans="1:38" x14ac:dyDescent="0.3">
      <c r="A487" t="s">
        <v>685</v>
      </c>
      <c r="B487">
        <v>121610</v>
      </c>
      <c r="C487">
        <v>3</v>
      </c>
      <c r="D487" t="s">
        <v>838</v>
      </c>
      <c r="E487" t="s">
        <v>809</v>
      </c>
      <c r="F487">
        <v>10</v>
      </c>
      <c r="G487">
        <v>19.420000000000002</v>
      </c>
      <c r="H487">
        <v>64.22</v>
      </c>
      <c r="I487">
        <v>15.11</v>
      </c>
      <c r="J487">
        <v>49.97</v>
      </c>
      <c r="K487">
        <v>3</v>
      </c>
      <c r="T487">
        <v>2</v>
      </c>
      <c r="U487">
        <v>1</v>
      </c>
      <c r="V487" t="s">
        <v>93</v>
      </c>
      <c r="W487" t="s">
        <v>467</v>
      </c>
      <c r="X487">
        <v>4</v>
      </c>
      <c r="Y487">
        <v>4</v>
      </c>
      <c r="Z487" t="s">
        <v>839</v>
      </c>
      <c r="AA487" t="s">
        <v>840</v>
      </c>
      <c r="AB487" t="s">
        <v>96</v>
      </c>
      <c r="AC487" t="s">
        <v>97</v>
      </c>
      <c r="AD487" t="s">
        <v>690</v>
      </c>
      <c r="AG487" t="s">
        <v>841</v>
      </c>
      <c r="AH487">
        <v>0</v>
      </c>
      <c r="AI487">
        <v>564</v>
      </c>
      <c r="AJ487">
        <v>72</v>
      </c>
      <c r="AK487">
        <v>8</v>
      </c>
      <c r="AL487">
        <v>0.8</v>
      </c>
    </row>
    <row r="488" spans="1:38" x14ac:dyDescent="0.3">
      <c r="A488" t="s">
        <v>685</v>
      </c>
      <c r="B488">
        <v>126612</v>
      </c>
      <c r="C488">
        <v>1</v>
      </c>
      <c r="D488" t="s">
        <v>842</v>
      </c>
      <c r="E488" t="s">
        <v>843</v>
      </c>
      <c r="F488">
        <v>16</v>
      </c>
      <c r="G488">
        <v>18.93</v>
      </c>
      <c r="H488">
        <v>62.6</v>
      </c>
      <c r="I488">
        <v>15.05</v>
      </c>
      <c r="J488">
        <v>49.78</v>
      </c>
      <c r="K488">
        <v>2</v>
      </c>
      <c r="T488">
        <v>2</v>
      </c>
      <c r="U488">
        <v>1</v>
      </c>
      <c r="V488" t="s">
        <v>93</v>
      </c>
      <c r="W488" t="s">
        <v>512</v>
      </c>
      <c r="X488">
        <v>8</v>
      </c>
      <c r="Y488">
        <v>8</v>
      </c>
      <c r="Z488" t="s">
        <v>844</v>
      </c>
      <c r="AA488" t="s">
        <v>845</v>
      </c>
      <c r="AB488" t="s">
        <v>96</v>
      </c>
      <c r="AC488" t="s">
        <v>97</v>
      </c>
      <c r="AD488" t="s">
        <v>690</v>
      </c>
      <c r="AG488" t="s">
        <v>846</v>
      </c>
      <c r="AH488">
        <v>0</v>
      </c>
      <c r="AI488">
        <v>0</v>
      </c>
      <c r="AJ488">
        <v>0</v>
      </c>
      <c r="AK488">
        <v>8</v>
      </c>
      <c r="AL488">
        <v>0.5</v>
      </c>
    </row>
    <row r="489" spans="1:38" x14ac:dyDescent="0.3">
      <c r="A489" t="s">
        <v>685</v>
      </c>
      <c r="B489">
        <v>126612</v>
      </c>
      <c r="C489">
        <v>2</v>
      </c>
      <c r="D489" t="s">
        <v>842</v>
      </c>
      <c r="E489" t="s">
        <v>843</v>
      </c>
      <c r="F489">
        <v>16</v>
      </c>
      <c r="G489">
        <v>18.96</v>
      </c>
      <c r="H489">
        <v>62.69</v>
      </c>
      <c r="I489">
        <v>15.09</v>
      </c>
      <c r="J489">
        <v>49.91</v>
      </c>
      <c r="K489">
        <v>2</v>
      </c>
      <c r="T489">
        <v>2</v>
      </c>
      <c r="U489">
        <v>1</v>
      </c>
      <c r="V489" t="s">
        <v>93</v>
      </c>
      <c r="W489" t="s">
        <v>847</v>
      </c>
      <c r="X489">
        <v>8</v>
      </c>
      <c r="Y489">
        <v>8</v>
      </c>
      <c r="Z489" t="s">
        <v>844</v>
      </c>
      <c r="AA489" t="s">
        <v>845</v>
      </c>
      <c r="AB489" t="s">
        <v>96</v>
      </c>
      <c r="AC489" t="s">
        <v>97</v>
      </c>
      <c r="AD489" t="s">
        <v>690</v>
      </c>
      <c r="AG489" t="s">
        <v>846</v>
      </c>
      <c r="AH489">
        <v>0</v>
      </c>
      <c r="AI489">
        <v>0</v>
      </c>
      <c r="AJ489">
        <v>0</v>
      </c>
      <c r="AK489">
        <v>8</v>
      </c>
      <c r="AL489">
        <v>0.5</v>
      </c>
    </row>
    <row r="490" spans="1:38" x14ac:dyDescent="0.3">
      <c r="A490" t="s">
        <v>685</v>
      </c>
      <c r="B490">
        <v>126612</v>
      </c>
      <c r="C490">
        <v>3</v>
      </c>
      <c r="D490" t="s">
        <v>842</v>
      </c>
      <c r="E490" t="s">
        <v>843</v>
      </c>
      <c r="F490">
        <v>16</v>
      </c>
      <c r="G490">
        <v>18.98</v>
      </c>
      <c r="H490">
        <v>62.77</v>
      </c>
      <c r="I490">
        <v>15</v>
      </c>
      <c r="J490">
        <v>49.61</v>
      </c>
      <c r="K490">
        <v>1</v>
      </c>
      <c r="T490">
        <v>2</v>
      </c>
      <c r="U490">
        <v>1</v>
      </c>
      <c r="V490" t="s">
        <v>93</v>
      </c>
      <c r="W490" t="s">
        <v>463</v>
      </c>
      <c r="X490">
        <v>8</v>
      </c>
      <c r="Y490">
        <v>8</v>
      </c>
      <c r="Z490" t="s">
        <v>844</v>
      </c>
      <c r="AA490" t="s">
        <v>845</v>
      </c>
      <c r="AB490" t="s">
        <v>96</v>
      </c>
      <c r="AC490" t="s">
        <v>97</v>
      </c>
      <c r="AD490" t="s">
        <v>690</v>
      </c>
      <c r="AG490" t="s">
        <v>846</v>
      </c>
      <c r="AH490">
        <v>0</v>
      </c>
      <c r="AI490">
        <v>0</v>
      </c>
      <c r="AJ490">
        <v>0</v>
      </c>
      <c r="AK490">
        <v>8</v>
      </c>
      <c r="AL490">
        <v>0.5</v>
      </c>
    </row>
    <row r="491" spans="1:38" x14ac:dyDescent="0.3">
      <c r="A491" t="s">
        <v>685</v>
      </c>
      <c r="B491">
        <v>126612</v>
      </c>
      <c r="C491">
        <v>4</v>
      </c>
      <c r="D491" t="s">
        <v>842</v>
      </c>
      <c r="E491" t="s">
        <v>843</v>
      </c>
      <c r="F491">
        <v>16</v>
      </c>
      <c r="G491">
        <v>18.84</v>
      </c>
      <c r="H491">
        <v>62.31</v>
      </c>
      <c r="I491">
        <v>15.01</v>
      </c>
      <c r="J491">
        <v>49.62</v>
      </c>
      <c r="K491">
        <v>1</v>
      </c>
      <c r="T491">
        <v>2</v>
      </c>
      <c r="U491">
        <v>1</v>
      </c>
      <c r="V491" t="s">
        <v>93</v>
      </c>
      <c r="W491" t="s">
        <v>255</v>
      </c>
      <c r="X491">
        <v>8</v>
      </c>
      <c r="Y491">
        <v>8</v>
      </c>
      <c r="Z491" t="s">
        <v>844</v>
      </c>
      <c r="AA491" t="s">
        <v>845</v>
      </c>
      <c r="AB491" t="s">
        <v>96</v>
      </c>
      <c r="AC491" t="s">
        <v>97</v>
      </c>
      <c r="AD491" t="s">
        <v>690</v>
      </c>
      <c r="AG491" t="s">
        <v>846</v>
      </c>
      <c r="AH491">
        <v>0</v>
      </c>
      <c r="AI491">
        <v>0</v>
      </c>
      <c r="AJ491">
        <v>0</v>
      </c>
      <c r="AK491">
        <v>8</v>
      </c>
      <c r="AL491">
        <v>0.5</v>
      </c>
    </row>
    <row r="492" spans="1:38" x14ac:dyDescent="0.3">
      <c r="A492" t="s">
        <v>685</v>
      </c>
      <c r="B492">
        <v>126612</v>
      </c>
      <c r="C492">
        <v>5</v>
      </c>
      <c r="D492" t="s">
        <v>842</v>
      </c>
      <c r="E492" t="s">
        <v>843</v>
      </c>
      <c r="F492">
        <v>16</v>
      </c>
      <c r="G492">
        <v>18.88</v>
      </c>
      <c r="H492">
        <v>62.42</v>
      </c>
      <c r="I492">
        <v>15.06</v>
      </c>
      <c r="J492">
        <v>49.8</v>
      </c>
      <c r="K492">
        <v>1</v>
      </c>
      <c r="T492">
        <v>2</v>
      </c>
      <c r="U492">
        <v>1</v>
      </c>
      <c r="V492" t="s">
        <v>93</v>
      </c>
      <c r="W492" t="s">
        <v>848</v>
      </c>
      <c r="X492">
        <v>8</v>
      </c>
      <c r="Y492">
        <v>8</v>
      </c>
      <c r="Z492" t="s">
        <v>844</v>
      </c>
      <c r="AA492" t="s">
        <v>845</v>
      </c>
      <c r="AB492" t="s">
        <v>96</v>
      </c>
      <c r="AC492" t="s">
        <v>97</v>
      </c>
      <c r="AD492" t="s">
        <v>690</v>
      </c>
      <c r="AG492" t="s">
        <v>846</v>
      </c>
      <c r="AH492">
        <v>0</v>
      </c>
      <c r="AI492">
        <v>0</v>
      </c>
      <c r="AJ492">
        <v>0</v>
      </c>
      <c r="AK492">
        <v>8</v>
      </c>
      <c r="AL492">
        <v>0.5</v>
      </c>
    </row>
    <row r="493" spans="1:38" x14ac:dyDescent="0.3">
      <c r="A493" t="s">
        <v>685</v>
      </c>
      <c r="B493">
        <v>126612</v>
      </c>
      <c r="C493">
        <v>6</v>
      </c>
      <c r="D493" t="s">
        <v>842</v>
      </c>
      <c r="E493" t="s">
        <v>843</v>
      </c>
      <c r="F493">
        <v>16</v>
      </c>
      <c r="G493">
        <v>18.829999999999998</v>
      </c>
      <c r="H493">
        <v>62.25</v>
      </c>
      <c r="I493">
        <v>15.07</v>
      </c>
      <c r="J493">
        <v>49.82</v>
      </c>
      <c r="K493">
        <v>1</v>
      </c>
      <c r="T493">
        <v>2</v>
      </c>
      <c r="U493">
        <v>1</v>
      </c>
      <c r="V493" t="s">
        <v>93</v>
      </c>
      <c r="W493" t="s">
        <v>849</v>
      </c>
      <c r="X493">
        <v>8</v>
      </c>
      <c r="Y493">
        <v>8</v>
      </c>
      <c r="Z493" t="s">
        <v>844</v>
      </c>
      <c r="AA493" t="s">
        <v>845</v>
      </c>
      <c r="AB493" t="s">
        <v>96</v>
      </c>
      <c r="AC493" t="s">
        <v>97</v>
      </c>
      <c r="AD493" t="s">
        <v>690</v>
      </c>
      <c r="AG493" t="s">
        <v>846</v>
      </c>
      <c r="AH493">
        <v>0</v>
      </c>
      <c r="AI493">
        <v>0</v>
      </c>
      <c r="AJ493">
        <v>0</v>
      </c>
      <c r="AK493">
        <v>8</v>
      </c>
      <c r="AL493">
        <v>0.5</v>
      </c>
    </row>
    <row r="494" spans="1:38" x14ac:dyDescent="0.3">
      <c r="A494" t="s">
        <v>685</v>
      </c>
      <c r="B494">
        <v>126612</v>
      </c>
      <c r="C494">
        <v>7</v>
      </c>
      <c r="D494" t="s">
        <v>842</v>
      </c>
      <c r="E494" t="s">
        <v>843</v>
      </c>
      <c r="F494">
        <v>16</v>
      </c>
      <c r="G494">
        <v>19.28</v>
      </c>
      <c r="H494">
        <v>63.74</v>
      </c>
      <c r="I494">
        <v>15.1</v>
      </c>
      <c r="J494">
        <v>49.92</v>
      </c>
      <c r="K494">
        <v>3</v>
      </c>
      <c r="T494">
        <v>2</v>
      </c>
      <c r="U494">
        <v>1</v>
      </c>
      <c r="V494" t="s">
        <v>93</v>
      </c>
      <c r="W494" t="s">
        <v>850</v>
      </c>
      <c r="X494">
        <v>8</v>
      </c>
      <c r="Y494">
        <v>8</v>
      </c>
      <c r="Z494" t="s">
        <v>844</v>
      </c>
      <c r="AA494" t="s">
        <v>845</v>
      </c>
      <c r="AB494" t="s">
        <v>96</v>
      </c>
      <c r="AC494" t="s">
        <v>97</v>
      </c>
      <c r="AD494" t="s">
        <v>690</v>
      </c>
      <c r="AG494" t="s">
        <v>846</v>
      </c>
      <c r="AH494">
        <v>0</v>
      </c>
      <c r="AI494">
        <v>0</v>
      </c>
      <c r="AJ494">
        <v>0</v>
      </c>
      <c r="AK494">
        <v>8</v>
      </c>
      <c r="AL494">
        <v>0.5</v>
      </c>
    </row>
    <row r="495" spans="1:38" x14ac:dyDescent="0.3">
      <c r="A495" t="s">
        <v>685</v>
      </c>
      <c r="B495">
        <v>126612</v>
      </c>
      <c r="C495">
        <v>8</v>
      </c>
      <c r="D495" t="s">
        <v>842</v>
      </c>
      <c r="E495" t="s">
        <v>843</v>
      </c>
      <c r="F495">
        <v>16</v>
      </c>
      <c r="G495">
        <v>19.260000000000002</v>
      </c>
      <c r="H495">
        <v>63.68</v>
      </c>
      <c r="I495">
        <v>15.03</v>
      </c>
      <c r="J495">
        <v>49.69</v>
      </c>
      <c r="K495">
        <v>1</v>
      </c>
      <c r="T495">
        <v>2</v>
      </c>
      <c r="U495">
        <v>1</v>
      </c>
      <c r="V495" t="s">
        <v>93</v>
      </c>
      <c r="W495" t="s">
        <v>851</v>
      </c>
      <c r="X495">
        <v>8</v>
      </c>
      <c r="Y495">
        <v>8</v>
      </c>
      <c r="Z495" t="s">
        <v>844</v>
      </c>
      <c r="AA495" t="s">
        <v>845</v>
      </c>
      <c r="AB495" t="s">
        <v>96</v>
      </c>
      <c r="AC495" t="s">
        <v>97</v>
      </c>
      <c r="AD495" t="s">
        <v>690</v>
      </c>
      <c r="AG495" t="s">
        <v>846</v>
      </c>
      <c r="AH495">
        <v>0</v>
      </c>
      <c r="AI495">
        <v>0</v>
      </c>
      <c r="AJ495">
        <v>0</v>
      </c>
      <c r="AK495">
        <v>8</v>
      </c>
      <c r="AL495">
        <v>0.5</v>
      </c>
    </row>
    <row r="496" spans="1:38" x14ac:dyDescent="0.3">
      <c r="A496" t="s">
        <v>685</v>
      </c>
      <c r="B496">
        <v>126612</v>
      </c>
      <c r="C496">
        <v>9</v>
      </c>
      <c r="D496" t="s">
        <v>842</v>
      </c>
      <c r="E496" t="s">
        <v>843</v>
      </c>
      <c r="F496">
        <v>16</v>
      </c>
      <c r="G496">
        <v>19.489999999999998</v>
      </c>
      <c r="H496">
        <v>64.44</v>
      </c>
      <c r="I496">
        <v>15.08</v>
      </c>
      <c r="J496">
        <v>49.87</v>
      </c>
      <c r="K496">
        <v>4</v>
      </c>
      <c r="T496">
        <v>2</v>
      </c>
      <c r="U496">
        <v>1</v>
      </c>
      <c r="V496" t="s">
        <v>93</v>
      </c>
      <c r="W496" t="s">
        <v>852</v>
      </c>
      <c r="X496">
        <v>8</v>
      </c>
      <c r="Y496">
        <v>8</v>
      </c>
      <c r="Z496" t="s">
        <v>844</v>
      </c>
      <c r="AA496" t="s">
        <v>845</v>
      </c>
      <c r="AB496" t="s">
        <v>96</v>
      </c>
      <c r="AC496" t="s">
        <v>97</v>
      </c>
      <c r="AD496" t="s">
        <v>690</v>
      </c>
      <c r="AG496" t="s">
        <v>846</v>
      </c>
      <c r="AH496">
        <v>0</v>
      </c>
      <c r="AI496">
        <v>0</v>
      </c>
      <c r="AJ496">
        <v>0</v>
      </c>
      <c r="AK496">
        <v>8</v>
      </c>
      <c r="AL496">
        <v>0.5</v>
      </c>
    </row>
    <row r="497" spans="1:38" x14ac:dyDescent="0.3">
      <c r="A497" t="s">
        <v>685</v>
      </c>
      <c r="B497">
        <v>121700</v>
      </c>
      <c r="C497">
        <v>1</v>
      </c>
      <c r="D497" t="s">
        <v>853</v>
      </c>
      <c r="E497" t="s">
        <v>854</v>
      </c>
      <c r="F497">
        <v>40</v>
      </c>
      <c r="G497">
        <v>20.37</v>
      </c>
      <c r="H497">
        <v>67.37</v>
      </c>
      <c r="I497">
        <v>15.04</v>
      </c>
      <c r="J497">
        <v>49.72</v>
      </c>
      <c r="K497">
        <v>8</v>
      </c>
      <c r="T497">
        <v>3</v>
      </c>
      <c r="U497">
        <v>1</v>
      </c>
      <c r="V497" t="s">
        <v>93</v>
      </c>
      <c r="W497">
        <v>67</v>
      </c>
      <c r="X497">
        <v>14</v>
      </c>
      <c r="Y497">
        <v>14</v>
      </c>
      <c r="Z497" t="s">
        <v>855</v>
      </c>
      <c r="AA497" t="s">
        <v>856</v>
      </c>
      <c r="AB497" t="s">
        <v>96</v>
      </c>
      <c r="AC497" t="s">
        <v>97</v>
      </c>
      <c r="AD497" t="s">
        <v>690</v>
      </c>
      <c r="AG497" t="s">
        <v>857</v>
      </c>
      <c r="AH497">
        <v>0</v>
      </c>
      <c r="AI497">
        <v>703</v>
      </c>
      <c r="AJ497">
        <v>77</v>
      </c>
      <c r="AK497">
        <v>29</v>
      </c>
      <c r="AL497">
        <v>0.72</v>
      </c>
    </row>
    <row r="498" spans="1:38" x14ac:dyDescent="0.3">
      <c r="A498" t="s">
        <v>685</v>
      </c>
      <c r="B498">
        <v>121700</v>
      </c>
      <c r="C498">
        <v>2</v>
      </c>
      <c r="D498" t="s">
        <v>853</v>
      </c>
      <c r="E498" t="s">
        <v>854</v>
      </c>
      <c r="F498">
        <v>40</v>
      </c>
      <c r="G498">
        <v>20.54</v>
      </c>
      <c r="H498">
        <v>67.91</v>
      </c>
      <c r="I498">
        <v>15.05</v>
      </c>
      <c r="J498">
        <v>49.76</v>
      </c>
      <c r="K498">
        <v>8</v>
      </c>
      <c r="T498">
        <v>3</v>
      </c>
      <c r="U498">
        <v>1</v>
      </c>
      <c r="V498" t="s">
        <v>93</v>
      </c>
      <c r="W498" t="s">
        <v>858</v>
      </c>
      <c r="X498">
        <v>14</v>
      </c>
      <c r="Y498">
        <v>14</v>
      </c>
      <c r="Z498" t="s">
        <v>855</v>
      </c>
      <c r="AA498" t="s">
        <v>856</v>
      </c>
      <c r="AB498" t="s">
        <v>96</v>
      </c>
      <c r="AC498" t="s">
        <v>97</v>
      </c>
      <c r="AD498" t="s">
        <v>690</v>
      </c>
      <c r="AG498" t="s">
        <v>857</v>
      </c>
      <c r="AH498">
        <v>0</v>
      </c>
      <c r="AI498">
        <v>703</v>
      </c>
      <c r="AJ498">
        <v>77</v>
      </c>
      <c r="AK498">
        <v>29</v>
      </c>
      <c r="AL498">
        <v>0.72</v>
      </c>
    </row>
    <row r="499" spans="1:38" x14ac:dyDescent="0.3">
      <c r="A499" t="s">
        <v>685</v>
      </c>
      <c r="B499">
        <v>121700</v>
      </c>
      <c r="C499">
        <v>3</v>
      </c>
      <c r="D499" t="s">
        <v>853</v>
      </c>
      <c r="E499" t="s">
        <v>854</v>
      </c>
      <c r="F499">
        <v>40</v>
      </c>
      <c r="G499">
        <v>20.53</v>
      </c>
      <c r="H499">
        <v>67.87</v>
      </c>
      <c r="I499">
        <v>15.11</v>
      </c>
      <c r="J499">
        <v>49.96</v>
      </c>
      <c r="K499">
        <v>8</v>
      </c>
      <c r="T499">
        <v>3</v>
      </c>
      <c r="U499">
        <v>1</v>
      </c>
      <c r="V499" t="s">
        <v>93</v>
      </c>
      <c r="W499" t="s">
        <v>859</v>
      </c>
      <c r="X499">
        <v>14</v>
      </c>
      <c r="Y499">
        <v>14</v>
      </c>
      <c r="Z499" t="s">
        <v>855</v>
      </c>
      <c r="AA499" t="s">
        <v>856</v>
      </c>
      <c r="AB499" t="s">
        <v>96</v>
      </c>
      <c r="AC499" t="s">
        <v>97</v>
      </c>
      <c r="AD499" t="s">
        <v>690</v>
      </c>
      <c r="AG499" t="s">
        <v>857</v>
      </c>
      <c r="AH499">
        <v>0</v>
      </c>
      <c r="AI499">
        <v>703</v>
      </c>
      <c r="AJ499">
        <v>77</v>
      </c>
      <c r="AK499">
        <v>29</v>
      </c>
      <c r="AL499">
        <v>0.72</v>
      </c>
    </row>
    <row r="500" spans="1:38" x14ac:dyDescent="0.3">
      <c r="A500" t="s">
        <v>685</v>
      </c>
      <c r="B500">
        <v>121700</v>
      </c>
      <c r="C500">
        <v>4</v>
      </c>
      <c r="D500" t="s">
        <v>853</v>
      </c>
      <c r="E500" t="s">
        <v>854</v>
      </c>
      <c r="F500">
        <v>40</v>
      </c>
      <c r="G500">
        <v>21.04</v>
      </c>
      <c r="H500">
        <v>69.569999999999993</v>
      </c>
      <c r="I500">
        <v>15.01</v>
      </c>
      <c r="J500">
        <v>49.62</v>
      </c>
      <c r="K500">
        <v>8</v>
      </c>
      <c r="T500">
        <v>3</v>
      </c>
      <c r="U500">
        <v>1</v>
      </c>
      <c r="V500" t="s">
        <v>93</v>
      </c>
      <c r="W500" t="s">
        <v>382</v>
      </c>
      <c r="X500">
        <v>14</v>
      </c>
      <c r="Y500">
        <v>14</v>
      </c>
      <c r="Z500" t="s">
        <v>855</v>
      </c>
      <c r="AA500" t="s">
        <v>856</v>
      </c>
      <c r="AB500" t="s">
        <v>96</v>
      </c>
      <c r="AC500" t="s">
        <v>97</v>
      </c>
      <c r="AD500" t="s">
        <v>690</v>
      </c>
      <c r="AG500" t="s">
        <v>857</v>
      </c>
      <c r="AH500">
        <v>0</v>
      </c>
      <c r="AI500">
        <v>703</v>
      </c>
      <c r="AJ500">
        <v>77</v>
      </c>
      <c r="AK500">
        <v>29</v>
      </c>
      <c r="AL500">
        <v>0.72</v>
      </c>
    </row>
    <row r="501" spans="1:38" x14ac:dyDescent="0.3">
      <c r="A501" t="s">
        <v>685</v>
      </c>
      <c r="B501">
        <v>121700</v>
      </c>
      <c r="C501">
        <v>5</v>
      </c>
      <c r="D501" t="s">
        <v>853</v>
      </c>
      <c r="E501" t="s">
        <v>854</v>
      </c>
      <c r="F501">
        <v>40</v>
      </c>
      <c r="G501">
        <v>20.97</v>
      </c>
      <c r="H501">
        <v>69.34</v>
      </c>
      <c r="I501">
        <v>15.09</v>
      </c>
      <c r="J501">
        <v>49.9</v>
      </c>
      <c r="K501">
        <v>8</v>
      </c>
      <c r="T501">
        <v>3</v>
      </c>
      <c r="U501">
        <v>1</v>
      </c>
      <c r="V501" t="s">
        <v>93</v>
      </c>
      <c r="W501" t="s">
        <v>453</v>
      </c>
      <c r="X501">
        <v>14</v>
      </c>
      <c r="Y501">
        <v>14</v>
      </c>
      <c r="Z501" t="s">
        <v>855</v>
      </c>
      <c r="AA501" t="s">
        <v>856</v>
      </c>
      <c r="AB501" t="s">
        <v>96</v>
      </c>
      <c r="AC501" t="s">
        <v>97</v>
      </c>
      <c r="AD501" t="s">
        <v>690</v>
      </c>
      <c r="AG501" t="s">
        <v>857</v>
      </c>
      <c r="AH501">
        <v>0</v>
      </c>
      <c r="AI501">
        <v>703</v>
      </c>
      <c r="AJ501">
        <v>77</v>
      </c>
      <c r="AK501">
        <v>29</v>
      </c>
      <c r="AL501">
        <v>0.72</v>
      </c>
    </row>
    <row r="502" spans="1:38" x14ac:dyDescent="0.3">
      <c r="A502" t="s">
        <v>685</v>
      </c>
      <c r="B502">
        <v>25754</v>
      </c>
      <c r="C502">
        <v>1</v>
      </c>
      <c r="D502" t="s">
        <v>860</v>
      </c>
      <c r="E502" t="s">
        <v>200</v>
      </c>
      <c r="F502">
        <v>117</v>
      </c>
      <c r="G502">
        <v>27.67</v>
      </c>
      <c r="H502">
        <v>91.49</v>
      </c>
      <c r="I502">
        <v>20.440000000000001</v>
      </c>
      <c r="J502">
        <v>67.58</v>
      </c>
      <c r="K502">
        <v>65</v>
      </c>
      <c r="T502">
        <v>3</v>
      </c>
      <c r="U502">
        <v>2</v>
      </c>
      <c r="V502" t="s">
        <v>93</v>
      </c>
      <c r="W502">
        <v>91</v>
      </c>
      <c r="X502">
        <v>15</v>
      </c>
      <c r="Y502">
        <v>15</v>
      </c>
      <c r="Z502" t="s">
        <v>861</v>
      </c>
      <c r="AA502" t="s">
        <v>862</v>
      </c>
      <c r="AB502" t="s">
        <v>96</v>
      </c>
      <c r="AC502" t="s">
        <v>97</v>
      </c>
      <c r="AD502" t="s">
        <v>690</v>
      </c>
      <c r="AG502" t="s">
        <v>863</v>
      </c>
      <c r="AH502">
        <v>0</v>
      </c>
      <c r="AI502">
        <v>563</v>
      </c>
      <c r="AJ502">
        <v>46</v>
      </c>
      <c r="AK502">
        <v>113</v>
      </c>
      <c r="AL502">
        <v>0.97</v>
      </c>
    </row>
    <row r="503" spans="1:38" x14ac:dyDescent="0.3">
      <c r="A503" t="s">
        <v>685</v>
      </c>
      <c r="B503">
        <v>25754</v>
      </c>
      <c r="C503">
        <v>2</v>
      </c>
      <c r="D503" t="s">
        <v>860</v>
      </c>
      <c r="E503" t="s">
        <v>200</v>
      </c>
      <c r="F503">
        <v>117</v>
      </c>
      <c r="G503">
        <v>31.95</v>
      </c>
      <c r="H503">
        <v>105.65</v>
      </c>
      <c r="I503">
        <v>23.96</v>
      </c>
      <c r="J503">
        <v>79.22</v>
      </c>
      <c r="K503">
        <v>13</v>
      </c>
      <c r="T503">
        <v>3</v>
      </c>
      <c r="U503">
        <v>2</v>
      </c>
      <c r="V503" t="s">
        <v>93</v>
      </c>
      <c r="W503">
        <v>105</v>
      </c>
      <c r="X503">
        <v>15</v>
      </c>
      <c r="Y503">
        <v>15</v>
      </c>
      <c r="Z503" t="s">
        <v>861</v>
      </c>
      <c r="AA503" t="s">
        <v>862</v>
      </c>
      <c r="AB503" t="s">
        <v>96</v>
      </c>
      <c r="AC503" t="s">
        <v>97</v>
      </c>
      <c r="AD503" t="s">
        <v>690</v>
      </c>
      <c r="AG503" t="s">
        <v>863</v>
      </c>
      <c r="AH503">
        <v>0</v>
      </c>
      <c r="AI503">
        <v>563</v>
      </c>
      <c r="AJ503">
        <v>46</v>
      </c>
      <c r="AK503">
        <v>113</v>
      </c>
      <c r="AL503">
        <v>0.97</v>
      </c>
    </row>
    <row r="504" spans="1:38" x14ac:dyDescent="0.3">
      <c r="A504" t="s">
        <v>685</v>
      </c>
      <c r="B504">
        <v>25754</v>
      </c>
      <c r="C504">
        <v>3</v>
      </c>
      <c r="D504" t="s">
        <v>860</v>
      </c>
      <c r="E504" t="s">
        <v>200</v>
      </c>
      <c r="F504">
        <v>117</v>
      </c>
      <c r="G504">
        <v>33.15</v>
      </c>
      <c r="H504">
        <v>109.59</v>
      </c>
      <c r="I504">
        <v>25.7</v>
      </c>
      <c r="J504">
        <v>84.96</v>
      </c>
      <c r="K504">
        <v>26</v>
      </c>
      <c r="T504">
        <v>3</v>
      </c>
      <c r="U504">
        <v>2</v>
      </c>
      <c r="V504" t="s">
        <v>93</v>
      </c>
      <c r="W504" t="s">
        <v>156</v>
      </c>
      <c r="X504">
        <v>15</v>
      </c>
      <c r="Y504">
        <v>15</v>
      </c>
      <c r="Z504" t="s">
        <v>861</v>
      </c>
      <c r="AA504" t="s">
        <v>862</v>
      </c>
      <c r="AB504" t="s">
        <v>96</v>
      </c>
      <c r="AC504" t="s">
        <v>97</v>
      </c>
      <c r="AD504" t="s">
        <v>690</v>
      </c>
      <c r="AG504" t="s">
        <v>863</v>
      </c>
      <c r="AH504">
        <v>0</v>
      </c>
      <c r="AI504">
        <v>563</v>
      </c>
      <c r="AJ504">
        <v>46</v>
      </c>
      <c r="AK504">
        <v>113</v>
      </c>
      <c r="AL504">
        <v>0.97</v>
      </c>
    </row>
    <row r="505" spans="1:38" x14ac:dyDescent="0.3">
      <c r="A505" t="s">
        <v>685</v>
      </c>
      <c r="B505">
        <v>25754</v>
      </c>
      <c r="C505">
        <v>4</v>
      </c>
      <c r="D505" t="s">
        <v>860</v>
      </c>
      <c r="E505" t="s">
        <v>200</v>
      </c>
      <c r="F505">
        <v>117</v>
      </c>
      <c r="G505">
        <v>33.15</v>
      </c>
      <c r="H505">
        <v>109.61</v>
      </c>
      <c r="I505">
        <v>25.7</v>
      </c>
      <c r="J505">
        <v>84.97</v>
      </c>
      <c r="K505">
        <v>13</v>
      </c>
      <c r="T505">
        <v>3</v>
      </c>
      <c r="U505">
        <v>2</v>
      </c>
      <c r="V505" t="s">
        <v>93</v>
      </c>
      <c r="W505" t="s">
        <v>864</v>
      </c>
      <c r="X505">
        <v>15</v>
      </c>
      <c r="Y505">
        <v>15</v>
      </c>
      <c r="Z505" t="s">
        <v>861</v>
      </c>
      <c r="AA505" t="s">
        <v>862</v>
      </c>
      <c r="AB505" t="s">
        <v>96</v>
      </c>
      <c r="AC505" t="s">
        <v>97</v>
      </c>
      <c r="AD505" t="s">
        <v>690</v>
      </c>
      <c r="AG505" t="s">
        <v>863</v>
      </c>
      <c r="AH505">
        <v>0</v>
      </c>
      <c r="AI505">
        <v>563</v>
      </c>
      <c r="AJ505">
        <v>46</v>
      </c>
      <c r="AK505">
        <v>113</v>
      </c>
      <c r="AL505">
        <v>0.97</v>
      </c>
    </row>
    <row r="506" spans="1:38" x14ac:dyDescent="0.3">
      <c r="A506" t="s">
        <v>685</v>
      </c>
      <c r="B506">
        <v>145063</v>
      </c>
      <c r="C506">
        <v>1</v>
      </c>
      <c r="D506" t="s">
        <v>865</v>
      </c>
      <c r="E506" t="s">
        <v>732</v>
      </c>
      <c r="F506">
        <v>8</v>
      </c>
      <c r="G506">
        <v>19.760000000000002</v>
      </c>
      <c r="H506">
        <v>65.33</v>
      </c>
      <c r="I506">
        <v>14.72</v>
      </c>
      <c r="J506">
        <v>48.67</v>
      </c>
      <c r="K506">
        <v>4</v>
      </c>
      <c r="T506">
        <v>3</v>
      </c>
      <c r="U506">
        <v>1</v>
      </c>
      <c r="V506" t="s">
        <v>93</v>
      </c>
      <c r="W506" t="s">
        <v>197</v>
      </c>
      <c r="X506">
        <v>5</v>
      </c>
      <c r="Y506">
        <v>5</v>
      </c>
      <c r="Z506" t="s">
        <v>866</v>
      </c>
      <c r="AA506" t="s">
        <v>867</v>
      </c>
      <c r="AB506" t="s">
        <v>96</v>
      </c>
      <c r="AC506" t="s">
        <v>97</v>
      </c>
      <c r="AD506" t="s">
        <v>690</v>
      </c>
      <c r="AG506" t="s">
        <v>868</v>
      </c>
      <c r="AH506">
        <v>0</v>
      </c>
      <c r="AI506">
        <v>354</v>
      </c>
      <c r="AJ506">
        <v>59</v>
      </c>
      <c r="AK506">
        <v>6</v>
      </c>
      <c r="AL506">
        <v>0.75</v>
      </c>
    </row>
    <row r="507" spans="1:38" x14ac:dyDescent="0.3">
      <c r="A507" t="s">
        <v>685</v>
      </c>
      <c r="B507">
        <v>145063</v>
      </c>
      <c r="C507">
        <v>2</v>
      </c>
      <c r="D507" t="s">
        <v>865</v>
      </c>
      <c r="E507" t="s">
        <v>732</v>
      </c>
      <c r="F507">
        <v>8</v>
      </c>
      <c r="G507">
        <v>20.149999999999999</v>
      </c>
      <c r="H507">
        <v>66.62</v>
      </c>
      <c r="I507">
        <v>15.08</v>
      </c>
      <c r="J507">
        <v>49.88</v>
      </c>
      <c r="K507">
        <v>4</v>
      </c>
      <c r="T507">
        <v>3</v>
      </c>
      <c r="U507">
        <v>1</v>
      </c>
      <c r="V507" t="s">
        <v>93</v>
      </c>
      <c r="W507" t="s">
        <v>256</v>
      </c>
      <c r="X507">
        <v>5</v>
      </c>
      <c r="Y507">
        <v>5</v>
      </c>
      <c r="Z507" t="s">
        <v>866</v>
      </c>
      <c r="AA507" t="s">
        <v>867</v>
      </c>
      <c r="AB507" t="s">
        <v>96</v>
      </c>
      <c r="AC507" t="s">
        <v>97</v>
      </c>
      <c r="AD507" t="s">
        <v>690</v>
      </c>
      <c r="AG507" t="s">
        <v>868</v>
      </c>
      <c r="AH507">
        <v>0</v>
      </c>
      <c r="AI507">
        <v>354</v>
      </c>
      <c r="AJ507">
        <v>59</v>
      </c>
      <c r="AK507">
        <v>6</v>
      </c>
      <c r="AL507">
        <v>0.75</v>
      </c>
    </row>
    <row r="508" spans="1:38" x14ac:dyDescent="0.3">
      <c r="A508" t="s">
        <v>685</v>
      </c>
      <c r="B508">
        <v>124105</v>
      </c>
      <c r="C508">
        <v>1</v>
      </c>
      <c r="D508" t="s">
        <v>869</v>
      </c>
      <c r="E508" t="s">
        <v>870</v>
      </c>
      <c r="F508">
        <v>32</v>
      </c>
      <c r="G508">
        <v>18.25</v>
      </c>
      <c r="H508">
        <v>60.34</v>
      </c>
      <c r="I508">
        <v>15.03</v>
      </c>
      <c r="J508">
        <v>49.71</v>
      </c>
      <c r="K508">
        <v>8</v>
      </c>
      <c r="T508">
        <v>2</v>
      </c>
      <c r="U508">
        <v>1</v>
      </c>
      <c r="V508" t="s">
        <v>211</v>
      </c>
      <c r="W508">
        <v>60</v>
      </c>
      <c r="X508">
        <v>15</v>
      </c>
      <c r="Y508">
        <v>15</v>
      </c>
      <c r="Z508" t="s">
        <v>871</v>
      </c>
      <c r="AA508" t="s">
        <v>872</v>
      </c>
      <c r="AB508" t="s">
        <v>96</v>
      </c>
      <c r="AC508" t="s">
        <v>97</v>
      </c>
      <c r="AD508" t="s">
        <v>690</v>
      </c>
      <c r="AG508" t="s">
        <v>873</v>
      </c>
      <c r="AH508">
        <v>0</v>
      </c>
      <c r="AI508">
        <v>727</v>
      </c>
      <c r="AJ508">
        <v>57</v>
      </c>
      <c r="AK508">
        <v>22</v>
      </c>
      <c r="AL508">
        <v>0.69</v>
      </c>
    </row>
    <row r="509" spans="1:38" x14ac:dyDescent="0.3">
      <c r="A509" t="s">
        <v>685</v>
      </c>
      <c r="B509">
        <v>124105</v>
      </c>
      <c r="C509">
        <v>2</v>
      </c>
      <c r="D509" t="s">
        <v>869</v>
      </c>
      <c r="E509" t="s">
        <v>870</v>
      </c>
      <c r="F509">
        <v>32</v>
      </c>
      <c r="G509">
        <v>18.61</v>
      </c>
      <c r="H509">
        <v>61.54</v>
      </c>
      <c r="I509">
        <v>15.09</v>
      </c>
      <c r="J509">
        <v>49.89</v>
      </c>
      <c r="K509">
        <v>8</v>
      </c>
      <c r="T509">
        <v>2</v>
      </c>
      <c r="U509">
        <v>1</v>
      </c>
      <c r="V509" t="s">
        <v>211</v>
      </c>
      <c r="W509" t="s">
        <v>697</v>
      </c>
      <c r="X509">
        <v>15</v>
      </c>
      <c r="Y509">
        <v>15</v>
      </c>
      <c r="Z509" t="s">
        <v>871</v>
      </c>
      <c r="AA509" t="s">
        <v>872</v>
      </c>
      <c r="AB509" t="s">
        <v>96</v>
      </c>
      <c r="AC509" t="s">
        <v>97</v>
      </c>
      <c r="AD509" t="s">
        <v>690</v>
      </c>
      <c r="AG509" t="s">
        <v>873</v>
      </c>
      <c r="AH509">
        <v>0</v>
      </c>
      <c r="AI509">
        <v>727</v>
      </c>
      <c r="AJ509">
        <v>57</v>
      </c>
      <c r="AK509">
        <v>22</v>
      </c>
      <c r="AL509">
        <v>0.69</v>
      </c>
    </row>
    <row r="510" spans="1:38" x14ac:dyDescent="0.3">
      <c r="A510" t="s">
        <v>685</v>
      </c>
      <c r="B510">
        <v>124105</v>
      </c>
      <c r="C510">
        <v>3</v>
      </c>
      <c r="D510" t="s">
        <v>869</v>
      </c>
      <c r="E510" t="s">
        <v>870</v>
      </c>
      <c r="F510">
        <v>32</v>
      </c>
      <c r="G510">
        <v>18.55</v>
      </c>
      <c r="H510">
        <v>61.34</v>
      </c>
      <c r="I510">
        <v>15.1</v>
      </c>
      <c r="J510">
        <v>49.93</v>
      </c>
      <c r="K510">
        <v>8</v>
      </c>
      <c r="T510">
        <v>2</v>
      </c>
      <c r="U510">
        <v>1</v>
      </c>
      <c r="V510" t="s">
        <v>211</v>
      </c>
      <c r="W510" t="s">
        <v>698</v>
      </c>
      <c r="X510">
        <v>15</v>
      </c>
      <c r="Y510">
        <v>15</v>
      </c>
      <c r="Z510" t="s">
        <v>871</v>
      </c>
      <c r="AA510" t="s">
        <v>872</v>
      </c>
      <c r="AB510" t="s">
        <v>96</v>
      </c>
      <c r="AC510" t="s">
        <v>97</v>
      </c>
      <c r="AD510" t="s">
        <v>690</v>
      </c>
      <c r="AG510" t="s">
        <v>873</v>
      </c>
      <c r="AH510">
        <v>0</v>
      </c>
      <c r="AI510">
        <v>727</v>
      </c>
      <c r="AJ510">
        <v>57</v>
      </c>
      <c r="AK510">
        <v>22</v>
      </c>
      <c r="AL510">
        <v>0.69</v>
      </c>
    </row>
    <row r="511" spans="1:38" x14ac:dyDescent="0.3">
      <c r="A511" t="s">
        <v>685</v>
      </c>
      <c r="B511">
        <v>124105</v>
      </c>
      <c r="C511">
        <v>4</v>
      </c>
      <c r="D511" t="s">
        <v>869</v>
      </c>
      <c r="E511" t="s">
        <v>870</v>
      </c>
      <c r="F511">
        <v>32</v>
      </c>
      <c r="G511">
        <v>18.86</v>
      </c>
      <c r="H511">
        <v>62.36</v>
      </c>
      <c r="I511">
        <v>15.05</v>
      </c>
      <c r="J511">
        <v>49.78</v>
      </c>
      <c r="K511">
        <v>8</v>
      </c>
      <c r="T511">
        <v>2</v>
      </c>
      <c r="U511">
        <v>1</v>
      </c>
      <c r="V511" t="s">
        <v>211</v>
      </c>
      <c r="W511" t="s">
        <v>463</v>
      </c>
      <c r="X511">
        <v>15</v>
      </c>
      <c r="Y511">
        <v>15</v>
      </c>
      <c r="Z511" t="s">
        <v>871</v>
      </c>
      <c r="AA511" t="s">
        <v>872</v>
      </c>
      <c r="AB511" t="s">
        <v>96</v>
      </c>
      <c r="AC511" t="s">
        <v>97</v>
      </c>
      <c r="AD511" t="s">
        <v>690</v>
      </c>
      <c r="AG511" t="s">
        <v>873</v>
      </c>
      <c r="AH511">
        <v>0</v>
      </c>
      <c r="AI511">
        <v>727</v>
      </c>
      <c r="AJ511">
        <v>57</v>
      </c>
      <c r="AK511">
        <v>22</v>
      </c>
      <c r="AL511">
        <v>0.69</v>
      </c>
    </row>
    <row r="512" spans="1:38" x14ac:dyDescent="0.3">
      <c r="A512" t="s">
        <v>685</v>
      </c>
      <c r="B512">
        <v>117900</v>
      </c>
      <c r="C512">
        <v>1</v>
      </c>
      <c r="D512" t="s">
        <v>874</v>
      </c>
      <c r="E512" t="s">
        <v>875</v>
      </c>
      <c r="F512">
        <v>32</v>
      </c>
      <c r="G512">
        <v>22.55</v>
      </c>
      <c r="H512">
        <v>74.569999999999993</v>
      </c>
      <c r="I512">
        <v>20.260000000000002</v>
      </c>
      <c r="J512">
        <v>67</v>
      </c>
      <c r="K512">
        <v>8</v>
      </c>
      <c r="T512">
        <v>3</v>
      </c>
      <c r="U512">
        <v>1</v>
      </c>
      <c r="V512" t="s">
        <v>93</v>
      </c>
      <c r="W512" t="s">
        <v>876</v>
      </c>
      <c r="X512">
        <v>5</v>
      </c>
      <c r="Y512">
        <v>5</v>
      </c>
      <c r="Z512" t="s">
        <v>877</v>
      </c>
      <c r="AA512" t="s">
        <v>878</v>
      </c>
      <c r="AB512" t="s">
        <v>96</v>
      </c>
      <c r="AC512" t="s">
        <v>97</v>
      </c>
      <c r="AD512" t="s">
        <v>690</v>
      </c>
      <c r="AG512" t="s">
        <v>879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685</v>
      </c>
      <c r="B513">
        <v>117900</v>
      </c>
      <c r="C513">
        <v>2</v>
      </c>
      <c r="D513" t="s">
        <v>874</v>
      </c>
      <c r="E513" t="s">
        <v>875</v>
      </c>
      <c r="F513">
        <v>32</v>
      </c>
      <c r="G513">
        <v>22.56</v>
      </c>
      <c r="H513">
        <v>74.59</v>
      </c>
      <c r="I513">
        <v>20.260000000000002</v>
      </c>
      <c r="J513">
        <v>67</v>
      </c>
      <c r="K513">
        <v>4</v>
      </c>
      <c r="T513">
        <v>3</v>
      </c>
      <c r="U513">
        <v>1</v>
      </c>
      <c r="V513" t="s">
        <v>93</v>
      </c>
      <c r="W513" t="s">
        <v>880</v>
      </c>
      <c r="X513">
        <v>5</v>
      </c>
      <c r="Y513">
        <v>5</v>
      </c>
      <c r="Z513" t="s">
        <v>877</v>
      </c>
      <c r="AA513" t="s">
        <v>878</v>
      </c>
      <c r="AB513" t="s">
        <v>96</v>
      </c>
      <c r="AC513" t="s">
        <v>97</v>
      </c>
      <c r="AD513" t="s">
        <v>690</v>
      </c>
      <c r="AG513" t="s">
        <v>879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685</v>
      </c>
      <c r="B514">
        <v>117900</v>
      </c>
      <c r="C514">
        <v>3</v>
      </c>
      <c r="D514" t="s">
        <v>874</v>
      </c>
      <c r="E514" t="s">
        <v>875</v>
      </c>
      <c r="F514">
        <v>32</v>
      </c>
      <c r="G514">
        <v>22.42</v>
      </c>
      <c r="H514">
        <v>74.13</v>
      </c>
      <c r="I514">
        <v>20.07</v>
      </c>
      <c r="J514">
        <v>66.37</v>
      </c>
      <c r="K514">
        <v>3</v>
      </c>
      <c r="T514">
        <v>3</v>
      </c>
      <c r="U514">
        <v>1</v>
      </c>
      <c r="V514" t="s">
        <v>93</v>
      </c>
      <c r="W514" t="s">
        <v>876</v>
      </c>
      <c r="X514">
        <v>5</v>
      </c>
      <c r="Y514">
        <v>5</v>
      </c>
      <c r="Z514" t="s">
        <v>877</v>
      </c>
      <c r="AA514" t="s">
        <v>878</v>
      </c>
      <c r="AB514" t="s">
        <v>96</v>
      </c>
      <c r="AC514" t="s">
        <v>97</v>
      </c>
      <c r="AD514" t="s">
        <v>690</v>
      </c>
      <c r="AG514" t="s">
        <v>879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685</v>
      </c>
      <c r="B515">
        <v>117900</v>
      </c>
      <c r="C515">
        <v>4</v>
      </c>
      <c r="D515" t="s">
        <v>874</v>
      </c>
      <c r="E515" t="s">
        <v>875</v>
      </c>
      <c r="F515">
        <v>32</v>
      </c>
      <c r="G515">
        <v>22.39</v>
      </c>
      <c r="H515">
        <v>74.03</v>
      </c>
      <c r="I515">
        <v>20.07</v>
      </c>
      <c r="J515">
        <v>66.37</v>
      </c>
      <c r="K515">
        <v>1</v>
      </c>
      <c r="T515">
        <v>3</v>
      </c>
      <c r="U515">
        <v>1</v>
      </c>
      <c r="V515" t="s">
        <v>93</v>
      </c>
      <c r="W515" t="s">
        <v>406</v>
      </c>
      <c r="X515">
        <v>5</v>
      </c>
      <c r="Y515">
        <v>5</v>
      </c>
      <c r="Z515" t="s">
        <v>877</v>
      </c>
      <c r="AA515" t="s">
        <v>878</v>
      </c>
      <c r="AB515" t="s">
        <v>96</v>
      </c>
      <c r="AC515" t="s">
        <v>97</v>
      </c>
      <c r="AD515" t="s">
        <v>690</v>
      </c>
      <c r="AG515" t="s">
        <v>879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685</v>
      </c>
      <c r="B516">
        <v>117900</v>
      </c>
      <c r="C516">
        <v>5</v>
      </c>
      <c r="D516" t="s">
        <v>874</v>
      </c>
      <c r="E516" t="s">
        <v>875</v>
      </c>
      <c r="F516">
        <v>32</v>
      </c>
      <c r="G516">
        <v>22.86</v>
      </c>
      <c r="H516">
        <v>75.59</v>
      </c>
      <c r="I516">
        <v>20.54</v>
      </c>
      <c r="J516">
        <v>67.92</v>
      </c>
      <c r="K516">
        <v>8</v>
      </c>
      <c r="T516">
        <v>3</v>
      </c>
      <c r="U516">
        <v>1</v>
      </c>
      <c r="V516" t="s">
        <v>93</v>
      </c>
      <c r="W516" t="s">
        <v>881</v>
      </c>
      <c r="X516">
        <v>5</v>
      </c>
      <c r="Y516">
        <v>5</v>
      </c>
      <c r="Z516" t="s">
        <v>877</v>
      </c>
      <c r="AA516" t="s">
        <v>878</v>
      </c>
      <c r="AB516" t="s">
        <v>96</v>
      </c>
      <c r="AC516" t="s">
        <v>97</v>
      </c>
      <c r="AD516" t="s">
        <v>690</v>
      </c>
      <c r="AG516" t="s">
        <v>879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685</v>
      </c>
      <c r="B517">
        <v>117900</v>
      </c>
      <c r="C517">
        <v>6</v>
      </c>
      <c r="D517" t="s">
        <v>874</v>
      </c>
      <c r="E517" t="s">
        <v>875</v>
      </c>
      <c r="F517">
        <v>32</v>
      </c>
      <c r="G517">
        <v>22.7</v>
      </c>
      <c r="H517">
        <v>75.05</v>
      </c>
      <c r="I517">
        <v>20.350000000000001</v>
      </c>
      <c r="J517">
        <v>67.290000000000006</v>
      </c>
      <c r="K517">
        <v>4</v>
      </c>
      <c r="T517">
        <v>3</v>
      </c>
      <c r="U517">
        <v>1</v>
      </c>
      <c r="V517" t="s">
        <v>93</v>
      </c>
      <c r="W517" t="s">
        <v>882</v>
      </c>
      <c r="X517">
        <v>5</v>
      </c>
      <c r="Y517">
        <v>5</v>
      </c>
      <c r="Z517" t="s">
        <v>877</v>
      </c>
      <c r="AA517" t="s">
        <v>878</v>
      </c>
      <c r="AB517" t="s">
        <v>96</v>
      </c>
      <c r="AC517" t="s">
        <v>97</v>
      </c>
      <c r="AD517" t="s">
        <v>690</v>
      </c>
      <c r="AG517" t="s">
        <v>879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685</v>
      </c>
      <c r="B518">
        <v>117900</v>
      </c>
      <c r="C518">
        <v>7</v>
      </c>
      <c r="D518" t="s">
        <v>874</v>
      </c>
      <c r="E518" t="s">
        <v>875</v>
      </c>
      <c r="F518">
        <v>32</v>
      </c>
      <c r="G518">
        <v>22.87</v>
      </c>
      <c r="H518">
        <v>75.61</v>
      </c>
      <c r="I518">
        <v>20.54</v>
      </c>
      <c r="J518">
        <v>67.92</v>
      </c>
      <c r="K518">
        <v>4</v>
      </c>
      <c r="T518">
        <v>3</v>
      </c>
      <c r="U518">
        <v>1</v>
      </c>
      <c r="V518" t="s">
        <v>93</v>
      </c>
      <c r="W518" t="s">
        <v>883</v>
      </c>
      <c r="X518">
        <v>5</v>
      </c>
      <c r="Y518">
        <v>5</v>
      </c>
      <c r="Z518" t="s">
        <v>877</v>
      </c>
      <c r="AA518" t="s">
        <v>878</v>
      </c>
      <c r="AB518" t="s">
        <v>96</v>
      </c>
      <c r="AC518" t="s">
        <v>97</v>
      </c>
      <c r="AD518" t="s">
        <v>690</v>
      </c>
      <c r="AG518" t="s">
        <v>879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685</v>
      </c>
      <c r="B519">
        <v>101982</v>
      </c>
      <c r="C519">
        <v>1</v>
      </c>
      <c r="D519" t="s">
        <v>884</v>
      </c>
      <c r="E519" t="s">
        <v>885</v>
      </c>
      <c r="F519">
        <v>8</v>
      </c>
      <c r="G519">
        <v>25.93</v>
      </c>
      <c r="H519">
        <v>85.73</v>
      </c>
      <c r="I519">
        <v>22.17</v>
      </c>
      <c r="J519">
        <v>73.3</v>
      </c>
      <c r="K519">
        <v>2</v>
      </c>
      <c r="T519">
        <v>3</v>
      </c>
      <c r="U519">
        <v>2</v>
      </c>
      <c r="V519" t="s">
        <v>93</v>
      </c>
      <c r="W519">
        <v>85</v>
      </c>
      <c r="X519">
        <v>9</v>
      </c>
      <c r="Y519">
        <v>9</v>
      </c>
      <c r="Z519" t="s">
        <v>886</v>
      </c>
      <c r="AA519" t="s">
        <v>887</v>
      </c>
      <c r="AB519" t="s">
        <v>96</v>
      </c>
      <c r="AC519" t="s">
        <v>97</v>
      </c>
      <c r="AD519" t="s">
        <v>690</v>
      </c>
      <c r="AG519" t="s">
        <v>888</v>
      </c>
      <c r="AH519">
        <v>0</v>
      </c>
      <c r="AI519">
        <v>507</v>
      </c>
      <c r="AJ519">
        <v>78</v>
      </c>
      <c r="AK519">
        <v>11</v>
      </c>
      <c r="AL519">
        <v>1.38</v>
      </c>
    </row>
    <row r="520" spans="1:38" x14ac:dyDescent="0.3">
      <c r="A520" t="s">
        <v>685</v>
      </c>
      <c r="B520">
        <v>101982</v>
      </c>
      <c r="C520">
        <v>2</v>
      </c>
      <c r="D520" t="s">
        <v>884</v>
      </c>
      <c r="E520" t="s">
        <v>885</v>
      </c>
      <c r="F520">
        <v>8</v>
      </c>
      <c r="G520">
        <v>29.17</v>
      </c>
      <c r="H520">
        <v>96.45</v>
      </c>
      <c r="I520">
        <v>24.94</v>
      </c>
      <c r="J520">
        <v>82.45</v>
      </c>
      <c r="K520">
        <v>4</v>
      </c>
      <c r="T520">
        <v>3</v>
      </c>
      <c r="U520">
        <v>2</v>
      </c>
      <c r="V520" t="s">
        <v>93</v>
      </c>
      <c r="W520" t="s">
        <v>436</v>
      </c>
      <c r="X520">
        <v>9</v>
      </c>
      <c r="Y520">
        <v>9</v>
      </c>
      <c r="Z520" t="s">
        <v>886</v>
      </c>
      <c r="AA520" t="s">
        <v>887</v>
      </c>
      <c r="AB520" t="s">
        <v>96</v>
      </c>
      <c r="AC520" t="s">
        <v>97</v>
      </c>
      <c r="AD520" t="s">
        <v>690</v>
      </c>
      <c r="AG520" t="s">
        <v>888</v>
      </c>
      <c r="AH520">
        <v>0</v>
      </c>
      <c r="AI520">
        <v>507</v>
      </c>
      <c r="AJ520">
        <v>78</v>
      </c>
      <c r="AK520">
        <v>11</v>
      </c>
      <c r="AL520">
        <v>1.38</v>
      </c>
    </row>
    <row r="521" spans="1:38" x14ac:dyDescent="0.3">
      <c r="A521" t="s">
        <v>685</v>
      </c>
      <c r="B521">
        <v>101982</v>
      </c>
      <c r="C521">
        <v>3</v>
      </c>
      <c r="D521" t="s">
        <v>884</v>
      </c>
      <c r="E521" t="s">
        <v>885</v>
      </c>
      <c r="F521">
        <v>8</v>
      </c>
      <c r="G521">
        <v>29.15</v>
      </c>
      <c r="H521">
        <v>96.38</v>
      </c>
      <c r="I521">
        <v>24.92</v>
      </c>
      <c r="J521">
        <v>82.4</v>
      </c>
      <c r="K521">
        <v>2</v>
      </c>
      <c r="T521">
        <v>3</v>
      </c>
      <c r="U521">
        <v>2</v>
      </c>
      <c r="V521" t="s">
        <v>93</v>
      </c>
      <c r="W521" t="s">
        <v>446</v>
      </c>
      <c r="X521">
        <v>9</v>
      </c>
      <c r="Y521">
        <v>9</v>
      </c>
      <c r="Z521" t="s">
        <v>886</v>
      </c>
      <c r="AA521" t="s">
        <v>887</v>
      </c>
      <c r="AB521" t="s">
        <v>96</v>
      </c>
      <c r="AC521" t="s">
        <v>97</v>
      </c>
      <c r="AD521" t="s">
        <v>690</v>
      </c>
      <c r="AG521" t="s">
        <v>888</v>
      </c>
      <c r="AH521">
        <v>0</v>
      </c>
      <c r="AI521">
        <v>507</v>
      </c>
      <c r="AJ521">
        <v>78</v>
      </c>
      <c r="AK521">
        <v>11</v>
      </c>
      <c r="AL521">
        <v>1.38</v>
      </c>
    </row>
    <row r="522" spans="1:38" x14ac:dyDescent="0.3">
      <c r="A522" t="s">
        <v>685</v>
      </c>
      <c r="B522">
        <v>11122</v>
      </c>
      <c r="C522">
        <v>1</v>
      </c>
      <c r="D522" t="s">
        <v>889</v>
      </c>
      <c r="E522" t="s">
        <v>890</v>
      </c>
      <c r="F522">
        <v>19</v>
      </c>
      <c r="G522">
        <v>19.940000000000001</v>
      </c>
      <c r="H522">
        <v>65.95</v>
      </c>
      <c r="I522">
        <v>17.73</v>
      </c>
      <c r="J522">
        <v>58.63</v>
      </c>
      <c r="K522">
        <v>19</v>
      </c>
      <c r="T522">
        <v>3</v>
      </c>
      <c r="U522">
        <v>1</v>
      </c>
      <c r="V522" t="s">
        <v>93</v>
      </c>
      <c r="W522">
        <v>65</v>
      </c>
      <c r="X522">
        <v>6</v>
      </c>
      <c r="Y522">
        <v>6</v>
      </c>
      <c r="Z522" t="s">
        <v>891</v>
      </c>
      <c r="AA522" t="s">
        <v>892</v>
      </c>
      <c r="AB522" t="s">
        <v>96</v>
      </c>
      <c r="AC522" t="s">
        <v>97</v>
      </c>
      <c r="AD522" t="s">
        <v>690</v>
      </c>
      <c r="AG522" t="s">
        <v>893</v>
      </c>
      <c r="AH522">
        <v>0</v>
      </c>
      <c r="AI522">
        <v>345</v>
      </c>
      <c r="AJ522">
        <v>78</v>
      </c>
      <c r="AK522">
        <v>9</v>
      </c>
      <c r="AL522">
        <v>0.47</v>
      </c>
    </row>
    <row r="523" spans="1:38" x14ac:dyDescent="0.3">
      <c r="A523" t="s">
        <v>685</v>
      </c>
      <c r="B523">
        <v>16537</v>
      </c>
      <c r="C523">
        <v>1</v>
      </c>
      <c r="D523" t="s">
        <v>894</v>
      </c>
      <c r="E523" t="s">
        <v>895</v>
      </c>
      <c r="F523">
        <v>98</v>
      </c>
      <c r="G523">
        <v>16.59</v>
      </c>
      <c r="H523">
        <v>54.85</v>
      </c>
      <c r="I523">
        <v>15</v>
      </c>
      <c r="J523">
        <v>49.59</v>
      </c>
      <c r="K523">
        <v>2</v>
      </c>
      <c r="T523">
        <v>2</v>
      </c>
      <c r="U523">
        <v>1</v>
      </c>
      <c r="V523" t="s">
        <v>93</v>
      </c>
      <c r="W523" t="s">
        <v>176</v>
      </c>
      <c r="X523">
        <v>5</v>
      </c>
      <c r="Y523">
        <v>4</v>
      </c>
      <c r="Z523" t="s">
        <v>896</v>
      </c>
      <c r="AA523" t="s">
        <v>897</v>
      </c>
      <c r="AB523" t="s">
        <v>96</v>
      </c>
      <c r="AC523" t="s">
        <v>97</v>
      </c>
      <c r="AD523" t="s">
        <v>690</v>
      </c>
      <c r="AG523" t="s">
        <v>898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">
      <c r="A524" t="s">
        <v>685</v>
      </c>
      <c r="B524">
        <v>16537</v>
      </c>
      <c r="C524">
        <v>2</v>
      </c>
      <c r="D524" t="s">
        <v>894</v>
      </c>
      <c r="E524" t="s">
        <v>895</v>
      </c>
      <c r="F524">
        <v>98</v>
      </c>
      <c r="G524">
        <v>17.190000000000001</v>
      </c>
      <c r="H524">
        <v>56.83</v>
      </c>
      <c r="I524">
        <v>15.62</v>
      </c>
      <c r="J524">
        <v>51.66</v>
      </c>
      <c r="K524">
        <v>10</v>
      </c>
      <c r="T524">
        <v>2</v>
      </c>
      <c r="U524">
        <v>1</v>
      </c>
      <c r="V524" t="s">
        <v>93</v>
      </c>
      <c r="W524" t="s">
        <v>899</v>
      </c>
      <c r="X524">
        <v>5</v>
      </c>
      <c r="Y524">
        <v>4</v>
      </c>
      <c r="Z524" t="s">
        <v>896</v>
      </c>
      <c r="AA524" t="s">
        <v>897</v>
      </c>
      <c r="AB524" t="s">
        <v>96</v>
      </c>
      <c r="AC524" t="s">
        <v>97</v>
      </c>
      <c r="AD524" t="s">
        <v>690</v>
      </c>
      <c r="AG524" t="s">
        <v>898</v>
      </c>
      <c r="AH524">
        <v>0</v>
      </c>
      <c r="AI524">
        <v>0</v>
      </c>
      <c r="AJ524">
        <v>0</v>
      </c>
      <c r="AK524">
        <v>0</v>
      </c>
      <c r="AL524">
        <v>0</v>
      </c>
    </row>
    <row r="525" spans="1:38" x14ac:dyDescent="0.3">
      <c r="A525" t="s">
        <v>685</v>
      </c>
      <c r="B525">
        <v>16537</v>
      </c>
      <c r="C525">
        <v>3</v>
      </c>
      <c r="D525" t="s">
        <v>894</v>
      </c>
      <c r="E525" t="s">
        <v>895</v>
      </c>
      <c r="F525">
        <v>98</v>
      </c>
      <c r="G525">
        <v>17.22</v>
      </c>
      <c r="H525">
        <v>56.93</v>
      </c>
      <c r="I525">
        <v>15.62</v>
      </c>
      <c r="J525">
        <v>51.66</v>
      </c>
      <c r="K525">
        <v>1</v>
      </c>
      <c r="T525">
        <v>2</v>
      </c>
      <c r="U525">
        <v>1</v>
      </c>
      <c r="V525" t="s">
        <v>93</v>
      </c>
      <c r="W525" t="s">
        <v>900</v>
      </c>
      <c r="X525">
        <v>5</v>
      </c>
      <c r="Y525">
        <v>4</v>
      </c>
      <c r="Z525" t="s">
        <v>896</v>
      </c>
      <c r="AA525" t="s">
        <v>897</v>
      </c>
      <c r="AB525" t="s">
        <v>96</v>
      </c>
      <c r="AC525" t="s">
        <v>97</v>
      </c>
      <c r="AD525" t="s">
        <v>690</v>
      </c>
      <c r="AG525" t="s">
        <v>898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685</v>
      </c>
      <c r="B526">
        <v>16537</v>
      </c>
      <c r="C526">
        <v>4</v>
      </c>
      <c r="D526" t="s">
        <v>894</v>
      </c>
      <c r="E526" t="s">
        <v>895</v>
      </c>
      <c r="F526">
        <v>98</v>
      </c>
      <c r="G526">
        <v>17.2</v>
      </c>
      <c r="H526">
        <v>56.86</v>
      </c>
      <c r="I526">
        <v>15.63</v>
      </c>
      <c r="J526">
        <v>51.69</v>
      </c>
      <c r="K526">
        <v>1</v>
      </c>
      <c r="T526">
        <v>2</v>
      </c>
      <c r="U526">
        <v>1</v>
      </c>
      <c r="V526" t="s">
        <v>93</v>
      </c>
      <c r="W526" t="s">
        <v>901</v>
      </c>
      <c r="X526">
        <v>5</v>
      </c>
      <c r="Y526">
        <v>4</v>
      </c>
      <c r="Z526" t="s">
        <v>896</v>
      </c>
      <c r="AA526" t="s">
        <v>897</v>
      </c>
      <c r="AB526" t="s">
        <v>96</v>
      </c>
      <c r="AC526" t="s">
        <v>97</v>
      </c>
      <c r="AD526" t="s">
        <v>690</v>
      </c>
      <c r="AG526" t="s">
        <v>898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685</v>
      </c>
      <c r="B527">
        <v>16537</v>
      </c>
      <c r="C527">
        <v>5</v>
      </c>
      <c r="D527" t="s">
        <v>894</v>
      </c>
      <c r="E527" t="s">
        <v>895</v>
      </c>
      <c r="F527">
        <v>98</v>
      </c>
      <c r="G527">
        <v>17.489999999999998</v>
      </c>
      <c r="H527">
        <v>57.85</v>
      </c>
      <c r="I527">
        <v>15.9</v>
      </c>
      <c r="J527">
        <v>52.59</v>
      </c>
      <c r="K527">
        <v>7</v>
      </c>
      <c r="T527">
        <v>2</v>
      </c>
      <c r="U527">
        <v>1</v>
      </c>
      <c r="V527" t="s">
        <v>93</v>
      </c>
      <c r="W527" t="s">
        <v>349</v>
      </c>
      <c r="X527">
        <v>5</v>
      </c>
      <c r="Y527">
        <v>4</v>
      </c>
      <c r="Z527" t="s">
        <v>896</v>
      </c>
      <c r="AA527" t="s">
        <v>897</v>
      </c>
      <c r="AB527" t="s">
        <v>96</v>
      </c>
      <c r="AC527" t="s">
        <v>97</v>
      </c>
      <c r="AD527" t="s">
        <v>690</v>
      </c>
      <c r="AG527" t="s">
        <v>898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685</v>
      </c>
      <c r="B528">
        <v>16537</v>
      </c>
      <c r="C528">
        <v>6</v>
      </c>
      <c r="D528" t="s">
        <v>894</v>
      </c>
      <c r="E528" t="s">
        <v>895</v>
      </c>
      <c r="F528">
        <v>98</v>
      </c>
      <c r="G528">
        <v>17.420000000000002</v>
      </c>
      <c r="H528">
        <v>57.6</v>
      </c>
      <c r="I528">
        <v>15.56</v>
      </c>
      <c r="J528">
        <v>51.46</v>
      </c>
      <c r="K528">
        <v>1</v>
      </c>
      <c r="T528">
        <v>2</v>
      </c>
      <c r="U528">
        <v>1</v>
      </c>
      <c r="V528" t="s">
        <v>93</v>
      </c>
      <c r="W528" t="s">
        <v>349</v>
      </c>
      <c r="X528">
        <v>5</v>
      </c>
      <c r="Y528">
        <v>4</v>
      </c>
      <c r="Z528" t="s">
        <v>896</v>
      </c>
      <c r="AA528" t="s">
        <v>897</v>
      </c>
      <c r="AB528" t="s">
        <v>96</v>
      </c>
      <c r="AC528" t="s">
        <v>97</v>
      </c>
      <c r="AD528" t="s">
        <v>690</v>
      </c>
      <c r="AG528" t="s">
        <v>898</v>
      </c>
      <c r="AH528">
        <v>0</v>
      </c>
      <c r="AI528">
        <v>0</v>
      </c>
      <c r="AJ528">
        <v>0</v>
      </c>
      <c r="AK528">
        <v>0</v>
      </c>
      <c r="AL528">
        <v>0</v>
      </c>
    </row>
    <row r="529" spans="1:38" x14ac:dyDescent="0.3">
      <c r="A529" t="s">
        <v>685</v>
      </c>
      <c r="B529">
        <v>16537</v>
      </c>
      <c r="C529">
        <v>7</v>
      </c>
      <c r="D529" t="s">
        <v>894</v>
      </c>
      <c r="E529" t="s">
        <v>895</v>
      </c>
      <c r="F529">
        <v>98</v>
      </c>
      <c r="G529">
        <v>17.59</v>
      </c>
      <c r="H529">
        <v>58.17</v>
      </c>
      <c r="I529">
        <v>15.73</v>
      </c>
      <c r="J529">
        <v>52.03</v>
      </c>
      <c r="K529">
        <v>1</v>
      </c>
      <c r="T529">
        <v>2</v>
      </c>
      <c r="U529">
        <v>1</v>
      </c>
      <c r="V529" t="s">
        <v>93</v>
      </c>
      <c r="W529" t="s">
        <v>178</v>
      </c>
      <c r="X529">
        <v>5</v>
      </c>
      <c r="Y529">
        <v>4</v>
      </c>
      <c r="Z529" t="s">
        <v>896</v>
      </c>
      <c r="AA529" t="s">
        <v>897</v>
      </c>
      <c r="AB529" t="s">
        <v>96</v>
      </c>
      <c r="AC529" t="s">
        <v>97</v>
      </c>
      <c r="AD529" t="s">
        <v>690</v>
      </c>
      <c r="AG529" t="s">
        <v>898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">
      <c r="A530" t="s">
        <v>685</v>
      </c>
      <c r="B530">
        <v>16537</v>
      </c>
      <c r="C530">
        <v>8</v>
      </c>
      <c r="D530" t="s">
        <v>894</v>
      </c>
      <c r="E530" t="s">
        <v>895</v>
      </c>
      <c r="F530">
        <v>98</v>
      </c>
      <c r="G530">
        <v>17.59</v>
      </c>
      <c r="H530">
        <v>58.15</v>
      </c>
      <c r="I530">
        <v>15.99</v>
      </c>
      <c r="J530">
        <v>52.89</v>
      </c>
      <c r="K530">
        <v>1</v>
      </c>
      <c r="T530">
        <v>2</v>
      </c>
      <c r="U530">
        <v>1</v>
      </c>
      <c r="V530" t="s">
        <v>93</v>
      </c>
      <c r="W530" t="s">
        <v>418</v>
      </c>
      <c r="X530">
        <v>5</v>
      </c>
      <c r="Y530">
        <v>4</v>
      </c>
      <c r="Z530" t="s">
        <v>896</v>
      </c>
      <c r="AA530" t="s">
        <v>897</v>
      </c>
      <c r="AB530" t="s">
        <v>96</v>
      </c>
      <c r="AC530" t="s">
        <v>97</v>
      </c>
      <c r="AD530" t="s">
        <v>690</v>
      </c>
      <c r="AG530" t="s">
        <v>898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">
      <c r="A531" t="s">
        <v>685</v>
      </c>
      <c r="B531">
        <v>16537</v>
      </c>
      <c r="C531">
        <v>9</v>
      </c>
      <c r="D531" t="s">
        <v>894</v>
      </c>
      <c r="E531" t="s">
        <v>895</v>
      </c>
      <c r="F531">
        <v>98</v>
      </c>
      <c r="G531">
        <v>19.07</v>
      </c>
      <c r="H531">
        <v>63.05</v>
      </c>
      <c r="I531">
        <v>17.329999999999998</v>
      </c>
      <c r="J531">
        <v>57.31</v>
      </c>
      <c r="K531">
        <v>30</v>
      </c>
      <c r="T531">
        <v>2</v>
      </c>
      <c r="U531">
        <v>1</v>
      </c>
      <c r="V531" t="s">
        <v>93</v>
      </c>
      <c r="W531" t="s">
        <v>194</v>
      </c>
      <c r="X531">
        <v>5</v>
      </c>
      <c r="Y531">
        <v>4</v>
      </c>
      <c r="Z531" t="s">
        <v>896</v>
      </c>
      <c r="AA531" t="s">
        <v>897</v>
      </c>
      <c r="AB531" t="s">
        <v>96</v>
      </c>
      <c r="AC531" t="s">
        <v>97</v>
      </c>
      <c r="AD531" t="s">
        <v>690</v>
      </c>
      <c r="AG531" t="s">
        <v>898</v>
      </c>
      <c r="AH531">
        <v>0</v>
      </c>
      <c r="AI531">
        <v>0</v>
      </c>
      <c r="AJ531">
        <v>0</v>
      </c>
      <c r="AK531">
        <v>0</v>
      </c>
      <c r="AL531">
        <v>0</v>
      </c>
    </row>
    <row r="532" spans="1:38" x14ac:dyDescent="0.3">
      <c r="A532" t="s">
        <v>685</v>
      </c>
      <c r="B532">
        <v>16537</v>
      </c>
      <c r="C532">
        <v>10</v>
      </c>
      <c r="D532" t="s">
        <v>894</v>
      </c>
      <c r="E532" t="s">
        <v>895</v>
      </c>
      <c r="F532">
        <v>98</v>
      </c>
      <c r="G532">
        <v>19.2</v>
      </c>
      <c r="H532">
        <v>63.49</v>
      </c>
      <c r="I532">
        <v>17.45</v>
      </c>
      <c r="J532">
        <v>57.71</v>
      </c>
      <c r="K532">
        <v>7</v>
      </c>
      <c r="T532">
        <v>2</v>
      </c>
      <c r="U532">
        <v>1</v>
      </c>
      <c r="V532" t="s">
        <v>93</v>
      </c>
      <c r="W532" t="s">
        <v>721</v>
      </c>
      <c r="X532">
        <v>5</v>
      </c>
      <c r="Y532">
        <v>4</v>
      </c>
      <c r="Z532" t="s">
        <v>896</v>
      </c>
      <c r="AA532" t="s">
        <v>897</v>
      </c>
      <c r="AB532" t="s">
        <v>96</v>
      </c>
      <c r="AC532" t="s">
        <v>97</v>
      </c>
      <c r="AD532" t="s">
        <v>690</v>
      </c>
      <c r="AG532" t="s">
        <v>898</v>
      </c>
      <c r="AH532">
        <v>0</v>
      </c>
      <c r="AI532">
        <v>0</v>
      </c>
      <c r="AJ532">
        <v>0</v>
      </c>
      <c r="AK532">
        <v>0</v>
      </c>
      <c r="AL532">
        <v>0</v>
      </c>
    </row>
    <row r="533" spans="1:38" x14ac:dyDescent="0.3">
      <c r="A533" t="s">
        <v>685</v>
      </c>
      <c r="B533">
        <v>16537</v>
      </c>
      <c r="C533">
        <v>11</v>
      </c>
      <c r="D533" t="s">
        <v>894</v>
      </c>
      <c r="E533" t="s">
        <v>895</v>
      </c>
      <c r="F533">
        <v>98</v>
      </c>
      <c r="G533">
        <v>19.2</v>
      </c>
      <c r="H533">
        <v>63.48</v>
      </c>
      <c r="I533">
        <v>17.45</v>
      </c>
      <c r="J533">
        <v>57.7</v>
      </c>
      <c r="K533">
        <v>1</v>
      </c>
      <c r="T533">
        <v>2</v>
      </c>
      <c r="U533">
        <v>1</v>
      </c>
      <c r="V533" t="s">
        <v>93</v>
      </c>
      <c r="W533" t="s">
        <v>195</v>
      </c>
      <c r="X533">
        <v>5</v>
      </c>
      <c r="Y533">
        <v>4</v>
      </c>
      <c r="Z533" t="s">
        <v>896</v>
      </c>
      <c r="AA533" t="s">
        <v>897</v>
      </c>
      <c r="AB533" t="s">
        <v>96</v>
      </c>
      <c r="AC533" t="s">
        <v>97</v>
      </c>
      <c r="AD533" t="s">
        <v>690</v>
      </c>
      <c r="AG533" t="s">
        <v>898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685</v>
      </c>
      <c r="B534">
        <v>16537</v>
      </c>
      <c r="C534">
        <v>12</v>
      </c>
      <c r="D534" t="s">
        <v>894</v>
      </c>
      <c r="E534" t="s">
        <v>895</v>
      </c>
      <c r="F534">
        <v>98</v>
      </c>
      <c r="G534">
        <v>20.420000000000002</v>
      </c>
      <c r="H534">
        <v>67.52</v>
      </c>
      <c r="I534">
        <v>18.559999999999999</v>
      </c>
      <c r="J534">
        <v>61.38</v>
      </c>
      <c r="K534">
        <v>3</v>
      </c>
      <c r="T534">
        <v>2</v>
      </c>
      <c r="U534">
        <v>1</v>
      </c>
      <c r="V534" t="s">
        <v>93</v>
      </c>
      <c r="W534" t="s">
        <v>902</v>
      </c>
      <c r="X534">
        <v>5</v>
      </c>
      <c r="Y534">
        <v>4</v>
      </c>
      <c r="Z534" t="s">
        <v>896</v>
      </c>
      <c r="AA534" t="s">
        <v>897</v>
      </c>
      <c r="AB534" t="s">
        <v>96</v>
      </c>
      <c r="AC534" t="s">
        <v>97</v>
      </c>
      <c r="AD534" t="s">
        <v>690</v>
      </c>
      <c r="AG534" t="s">
        <v>898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685</v>
      </c>
      <c r="B535">
        <v>16537</v>
      </c>
      <c r="C535">
        <v>13</v>
      </c>
      <c r="D535" t="s">
        <v>894</v>
      </c>
      <c r="E535" t="s">
        <v>895</v>
      </c>
      <c r="F535">
        <v>98</v>
      </c>
      <c r="G535">
        <v>20.83</v>
      </c>
      <c r="H535">
        <v>68.89</v>
      </c>
      <c r="I535">
        <v>19.29</v>
      </c>
      <c r="J535">
        <v>63.8</v>
      </c>
      <c r="K535">
        <v>2</v>
      </c>
      <c r="T535">
        <v>2</v>
      </c>
      <c r="U535">
        <v>1</v>
      </c>
      <c r="V535" t="s">
        <v>93</v>
      </c>
      <c r="W535" t="s">
        <v>380</v>
      </c>
      <c r="X535">
        <v>5</v>
      </c>
      <c r="Y535">
        <v>4</v>
      </c>
      <c r="Z535" t="s">
        <v>896</v>
      </c>
      <c r="AA535" t="s">
        <v>897</v>
      </c>
      <c r="AB535" t="s">
        <v>96</v>
      </c>
      <c r="AC535" t="s">
        <v>97</v>
      </c>
      <c r="AD535" t="s">
        <v>690</v>
      </c>
      <c r="AG535" t="s">
        <v>898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685</v>
      </c>
      <c r="B536">
        <v>16537</v>
      </c>
      <c r="C536">
        <v>14</v>
      </c>
      <c r="D536" t="s">
        <v>894</v>
      </c>
      <c r="E536" t="s">
        <v>895</v>
      </c>
      <c r="F536">
        <v>98</v>
      </c>
      <c r="G536">
        <v>21.68</v>
      </c>
      <c r="H536">
        <v>71.7</v>
      </c>
      <c r="I536">
        <v>19.71</v>
      </c>
      <c r="J536">
        <v>65.180000000000007</v>
      </c>
      <c r="K536">
        <v>4</v>
      </c>
      <c r="T536">
        <v>2</v>
      </c>
      <c r="U536">
        <v>1</v>
      </c>
      <c r="V536" t="s">
        <v>93</v>
      </c>
      <c r="W536" t="s">
        <v>460</v>
      </c>
      <c r="X536">
        <v>5</v>
      </c>
      <c r="Y536">
        <v>4</v>
      </c>
      <c r="Z536" t="s">
        <v>896</v>
      </c>
      <c r="AA536" t="s">
        <v>897</v>
      </c>
      <c r="AB536" t="s">
        <v>96</v>
      </c>
      <c r="AC536" t="s">
        <v>97</v>
      </c>
      <c r="AD536" t="s">
        <v>690</v>
      </c>
      <c r="AG536" t="s">
        <v>898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685</v>
      </c>
      <c r="B537">
        <v>16537</v>
      </c>
      <c r="C537">
        <v>15</v>
      </c>
      <c r="D537" t="s">
        <v>894</v>
      </c>
      <c r="E537" t="s">
        <v>895</v>
      </c>
      <c r="F537">
        <v>98</v>
      </c>
      <c r="G537">
        <v>22.2</v>
      </c>
      <c r="H537">
        <v>73.41</v>
      </c>
      <c r="I537">
        <v>20.18</v>
      </c>
      <c r="J537">
        <v>66.73</v>
      </c>
      <c r="K537">
        <v>8</v>
      </c>
      <c r="T537">
        <v>2</v>
      </c>
      <c r="U537">
        <v>1</v>
      </c>
      <c r="V537" t="s">
        <v>93</v>
      </c>
      <c r="W537" t="s">
        <v>286</v>
      </c>
      <c r="X537">
        <v>5</v>
      </c>
      <c r="Y537">
        <v>4</v>
      </c>
      <c r="Z537" t="s">
        <v>896</v>
      </c>
      <c r="AA537" t="s">
        <v>897</v>
      </c>
      <c r="AB537" t="s">
        <v>96</v>
      </c>
      <c r="AC537" t="s">
        <v>97</v>
      </c>
      <c r="AD537" t="s">
        <v>690</v>
      </c>
      <c r="AG537" t="s">
        <v>898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685</v>
      </c>
      <c r="B538">
        <v>16537</v>
      </c>
      <c r="C538">
        <v>16</v>
      </c>
      <c r="D538" t="s">
        <v>894</v>
      </c>
      <c r="E538" t="s">
        <v>895</v>
      </c>
      <c r="F538">
        <v>98</v>
      </c>
      <c r="G538">
        <v>22.38</v>
      </c>
      <c r="H538">
        <v>73.989999999999995</v>
      </c>
      <c r="I538">
        <v>20.34</v>
      </c>
      <c r="J538">
        <v>67.260000000000005</v>
      </c>
      <c r="K538">
        <v>1</v>
      </c>
      <c r="T538">
        <v>2</v>
      </c>
      <c r="U538">
        <v>1</v>
      </c>
      <c r="V538" t="s">
        <v>93</v>
      </c>
      <c r="W538" t="s">
        <v>903</v>
      </c>
      <c r="X538">
        <v>5</v>
      </c>
      <c r="Y538">
        <v>4</v>
      </c>
      <c r="Z538" t="s">
        <v>896</v>
      </c>
      <c r="AA538" t="s">
        <v>897</v>
      </c>
      <c r="AB538" t="s">
        <v>96</v>
      </c>
      <c r="AC538" t="s">
        <v>97</v>
      </c>
      <c r="AD538" t="s">
        <v>690</v>
      </c>
      <c r="AG538" t="s">
        <v>898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685</v>
      </c>
      <c r="B539">
        <v>16537</v>
      </c>
      <c r="C539">
        <v>17</v>
      </c>
      <c r="D539" t="s">
        <v>894</v>
      </c>
      <c r="E539" t="s">
        <v>895</v>
      </c>
      <c r="F539">
        <v>98</v>
      </c>
      <c r="G539">
        <v>22.47</v>
      </c>
      <c r="H539">
        <v>74.290000000000006</v>
      </c>
      <c r="I539">
        <v>20.43</v>
      </c>
      <c r="J539">
        <v>67.56</v>
      </c>
      <c r="K539">
        <v>1</v>
      </c>
      <c r="T539">
        <v>2</v>
      </c>
      <c r="U539">
        <v>1</v>
      </c>
      <c r="V539" t="s">
        <v>93</v>
      </c>
      <c r="W539" t="s">
        <v>880</v>
      </c>
      <c r="X539">
        <v>5</v>
      </c>
      <c r="Y539">
        <v>4</v>
      </c>
      <c r="Z539" t="s">
        <v>896</v>
      </c>
      <c r="AA539" t="s">
        <v>897</v>
      </c>
      <c r="AB539" t="s">
        <v>96</v>
      </c>
      <c r="AC539" t="s">
        <v>97</v>
      </c>
      <c r="AD539" t="s">
        <v>690</v>
      </c>
      <c r="AG539" t="s">
        <v>898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685</v>
      </c>
      <c r="B540">
        <v>16537</v>
      </c>
      <c r="C540">
        <v>18</v>
      </c>
      <c r="D540" t="s">
        <v>894</v>
      </c>
      <c r="E540" t="s">
        <v>895</v>
      </c>
      <c r="F540">
        <v>98</v>
      </c>
      <c r="G540">
        <v>24.23</v>
      </c>
      <c r="H540">
        <v>80.13</v>
      </c>
      <c r="I540">
        <v>22.4</v>
      </c>
      <c r="J540">
        <v>74.05</v>
      </c>
      <c r="K540">
        <v>1</v>
      </c>
      <c r="T540">
        <v>2</v>
      </c>
      <c r="U540">
        <v>1</v>
      </c>
      <c r="V540" t="s">
        <v>93</v>
      </c>
      <c r="W540" t="s">
        <v>633</v>
      </c>
      <c r="X540">
        <v>5</v>
      </c>
      <c r="Y540">
        <v>4</v>
      </c>
      <c r="Z540" t="s">
        <v>896</v>
      </c>
      <c r="AA540" t="s">
        <v>897</v>
      </c>
      <c r="AB540" t="s">
        <v>96</v>
      </c>
      <c r="AC540" t="s">
        <v>97</v>
      </c>
      <c r="AD540" t="s">
        <v>690</v>
      </c>
      <c r="AG540" t="s">
        <v>898</v>
      </c>
      <c r="AH540">
        <v>0</v>
      </c>
      <c r="AI540">
        <v>0</v>
      </c>
      <c r="AJ540">
        <v>0</v>
      </c>
      <c r="AK540">
        <v>0</v>
      </c>
      <c r="AL540">
        <v>0</v>
      </c>
    </row>
    <row r="541" spans="1:38" x14ac:dyDescent="0.3">
      <c r="A541" t="s">
        <v>685</v>
      </c>
      <c r="B541">
        <v>16537</v>
      </c>
      <c r="C541">
        <v>19</v>
      </c>
      <c r="D541" t="s">
        <v>894</v>
      </c>
      <c r="E541" t="s">
        <v>895</v>
      </c>
      <c r="F541">
        <v>98</v>
      </c>
      <c r="G541">
        <v>25.56</v>
      </c>
      <c r="H541">
        <v>84.51</v>
      </c>
      <c r="I541">
        <v>23.23</v>
      </c>
      <c r="J541">
        <v>76.819999999999993</v>
      </c>
      <c r="K541">
        <v>2</v>
      </c>
      <c r="T541">
        <v>2</v>
      </c>
      <c r="U541">
        <v>1</v>
      </c>
      <c r="V541" t="s">
        <v>93</v>
      </c>
      <c r="W541" t="s">
        <v>383</v>
      </c>
      <c r="X541">
        <v>5</v>
      </c>
      <c r="Y541">
        <v>4</v>
      </c>
      <c r="Z541" t="s">
        <v>896</v>
      </c>
      <c r="AA541" t="s">
        <v>897</v>
      </c>
      <c r="AB541" t="s">
        <v>96</v>
      </c>
      <c r="AC541" t="s">
        <v>97</v>
      </c>
      <c r="AD541" t="s">
        <v>690</v>
      </c>
      <c r="AG541" t="s">
        <v>898</v>
      </c>
      <c r="AH541">
        <v>0</v>
      </c>
      <c r="AI541">
        <v>0</v>
      </c>
      <c r="AJ541">
        <v>0</v>
      </c>
      <c r="AK541">
        <v>0</v>
      </c>
      <c r="AL541">
        <v>0</v>
      </c>
    </row>
    <row r="542" spans="1:38" x14ac:dyDescent="0.3">
      <c r="A542" t="s">
        <v>685</v>
      </c>
      <c r="B542">
        <v>16537</v>
      </c>
      <c r="C542">
        <v>20</v>
      </c>
      <c r="D542" t="s">
        <v>894</v>
      </c>
      <c r="E542" t="s">
        <v>895</v>
      </c>
      <c r="F542">
        <v>98</v>
      </c>
      <c r="G542">
        <v>26.42</v>
      </c>
      <c r="H542">
        <v>87.34</v>
      </c>
      <c r="I542">
        <v>24.42</v>
      </c>
      <c r="J542">
        <v>80.73</v>
      </c>
      <c r="K542">
        <v>1</v>
      </c>
      <c r="T542">
        <v>2</v>
      </c>
      <c r="U542">
        <v>1</v>
      </c>
      <c r="V542" t="s">
        <v>93</v>
      </c>
      <c r="W542" t="s">
        <v>223</v>
      </c>
      <c r="X542">
        <v>5</v>
      </c>
      <c r="Y542">
        <v>4</v>
      </c>
      <c r="Z542" t="s">
        <v>896</v>
      </c>
      <c r="AA542" t="s">
        <v>897</v>
      </c>
      <c r="AB542" t="s">
        <v>96</v>
      </c>
      <c r="AC542" t="s">
        <v>97</v>
      </c>
      <c r="AD542" t="s">
        <v>690</v>
      </c>
      <c r="AG542" t="s">
        <v>898</v>
      </c>
      <c r="AH542">
        <v>0</v>
      </c>
      <c r="AI542">
        <v>0</v>
      </c>
      <c r="AJ542">
        <v>0</v>
      </c>
      <c r="AK542">
        <v>0</v>
      </c>
      <c r="AL542">
        <v>0</v>
      </c>
    </row>
    <row r="543" spans="1:38" x14ac:dyDescent="0.3">
      <c r="A543" t="s">
        <v>685</v>
      </c>
      <c r="B543">
        <v>16537</v>
      </c>
      <c r="C543">
        <v>21</v>
      </c>
      <c r="D543" t="s">
        <v>894</v>
      </c>
      <c r="E543" t="s">
        <v>895</v>
      </c>
      <c r="F543">
        <v>98</v>
      </c>
      <c r="G543">
        <v>27.02</v>
      </c>
      <c r="H543">
        <v>89.35</v>
      </c>
      <c r="I543">
        <v>24.98</v>
      </c>
      <c r="J543">
        <v>82.61</v>
      </c>
      <c r="K543">
        <v>1</v>
      </c>
      <c r="T543">
        <v>2</v>
      </c>
      <c r="U543">
        <v>1</v>
      </c>
      <c r="V543" t="s">
        <v>93</v>
      </c>
      <c r="W543" t="s">
        <v>904</v>
      </c>
      <c r="X543">
        <v>5</v>
      </c>
      <c r="Y543">
        <v>4</v>
      </c>
      <c r="Z543" t="s">
        <v>896</v>
      </c>
      <c r="AA543" t="s">
        <v>897</v>
      </c>
      <c r="AB543" t="s">
        <v>96</v>
      </c>
      <c r="AC543" t="s">
        <v>97</v>
      </c>
      <c r="AD543" t="s">
        <v>690</v>
      </c>
      <c r="AG543" t="s">
        <v>898</v>
      </c>
      <c r="AH543">
        <v>0</v>
      </c>
      <c r="AI543">
        <v>0</v>
      </c>
      <c r="AJ543">
        <v>0</v>
      </c>
      <c r="AK543">
        <v>0</v>
      </c>
      <c r="AL543">
        <v>0</v>
      </c>
    </row>
    <row r="544" spans="1:38" x14ac:dyDescent="0.3">
      <c r="A544" t="s">
        <v>685</v>
      </c>
      <c r="B544">
        <v>16537</v>
      </c>
      <c r="C544">
        <v>22</v>
      </c>
      <c r="D544" t="s">
        <v>894</v>
      </c>
      <c r="E544" t="s">
        <v>895</v>
      </c>
      <c r="F544">
        <v>98</v>
      </c>
      <c r="G544">
        <v>27.63</v>
      </c>
      <c r="H544">
        <v>91.37</v>
      </c>
      <c r="I544">
        <v>25.57</v>
      </c>
      <c r="J544">
        <v>84.56</v>
      </c>
      <c r="K544">
        <v>3</v>
      </c>
      <c r="T544">
        <v>2</v>
      </c>
      <c r="U544">
        <v>1</v>
      </c>
      <c r="V544" t="s">
        <v>93</v>
      </c>
      <c r="W544" t="s">
        <v>905</v>
      </c>
      <c r="X544">
        <v>5</v>
      </c>
      <c r="Y544">
        <v>4</v>
      </c>
      <c r="Z544" t="s">
        <v>896</v>
      </c>
      <c r="AA544" t="s">
        <v>897</v>
      </c>
      <c r="AB544" t="s">
        <v>96</v>
      </c>
      <c r="AC544" t="s">
        <v>97</v>
      </c>
      <c r="AD544" t="s">
        <v>690</v>
      </c>
      <c r="AG544" t="s">
        <v>898</v>
      </c>
      <c r="AH544">
        <v>0</v>
      </c>
      <c r="AI544">
        <v>0</v>
      </c>
      <c r="AJ544">
        <v>0</v>
      </c>
      <c r="AK544">
        <v>0</v>
      </c>
      <c r="AL544">
        <v>0</v>
      </c>
    </row>
    <row r="545" spans="1:38" x14ac:dyDescent="0.3">
      <c r="A545" t="s">
        <v>685</v>
      </c>
      <c r="B545">
        <v>16537</v>
      </c>
      <c r="C545">
        <v>23</v>
      </c>
      <c r="D545" t="s">
        <v>894</v>
      </c>
      <c r="E545" t="s">
        <v>895</v>
      </c>
      <c r="F545">
        <v>98</v>
      </c>
      <c r="G545">
        <v>30.43</v>
      </c>
      <c r="H545">
        <v>100.6</v>
      </c>
      <c r="I545">
        <v>28.1</v>
      </c>
      <c r="J545">
        <v>92.9</v>
      </c>
      <c r="K545">
        <v>1</v>
      </c>
      <c r="T545">
        <v>2</v>
      </c>
      <c r="U545">
        <v>1</v>
      </c>
      <c r="V545" t="s">
        <v>93</v>
      </c>
      <c r="W545" t="s">
        <v>906</v>
      </c>
      <c r="X545">
        <v>5</v>
      </c>
      <c r="Y545">
        <v>4</v>
      </c>
      <c r="Z545" t="s">
        <v>896</v>
      </c>
      <c r="AA545" t="s">
        <v>897</v>
      </c>
      <c r="AB545" t="s">
        <v>96</v>
      </c>
      <c r="AC545" t="s">
        <v>97</v>
      </c>
      <c r="AD545" t="s">
        <v>690</v>
      </c>
      <c r="AG545" t="s">
        <v>898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38" x14ac:dyDescent="0.3">
      <c r="A546" t="s">
        <v>685</v>
      </c>
      <c r="B546">
        <v>16537</v>
      </c>
      <c r="C546">
        <v>24</v>
      </c>
      <c r="D546" t="s">
        <v>894</v>
      </c>
      <c r="E546" t="s">
        <v>895</v>
      </c>
      <c r="F546">
        <v>98</v>
      </c>
      <c r="G546">
        <v>31.33</v>
      </c>
      <c r="H546">
        <v>103.59</v>
      </c>
      <c r="I546">
        <v>28.86</v>
      </c>
      <c r="J546">
        <v>95.42</v>
      </c>
      <c r="K546">
        <v>3</v>
      </c>
      <c r="T546">
        <v>2</v>
      </c>
      <c r="U546">
        <v>1</v>
      </c>
      <c r="V546" t="s">
        <v>93</v>
      </c>
      <c r="W546" t="s">
        <v>635</v>
      </c>
      <c r="X546">
        <v>5</v>
      </c>
      <c r="Y546">
        <v>4</v>
      </c>
      <c r="Z546" t="s">
        <v>896</v>
      </c>
      <c r="AA546" t="s">
        <v>897</v>
      </c>
      <c r="AB546" t="s">
        <v>96</v>
      </c>
      <c r="AC546" t="s">
        <v>97</v>
      </c>
      <c r="AD546" t="s">
        <v>690</v>
      </c>
      <c r="AG546" t="s">
        <v>898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 x14ac:dyDescent="0.3">
      <c r="A547" t="s">
        <v>685</v>
      </c>
      <c r="B547">
        <v>16537</v>
      </c>
      <c r="C547">
        <v>25</v>
      </c>
      <c r="D547" t="s">
        <v>894</v>
      </c>
      <c r="E547" t="s">
        <v>895</v>
      </c>
      <c r="F547">
        <v>98</v>
      </c>
      <c r="G547">
        <v>32.6</v>
      </c>
      <c r="H547">
        <v>107.77</v>
      </c>
      <c r="I547">
        <v>30.12</v>
      </c>
      <c r="J547">
        <v>99.6</v>
      </c>
      <c r="K547">
        <v>2</v>
      </c>
      <c r="T547">
        <v>2</v>
      </c>
      <c r="U547">
        <v>1</v>
      </c>
      <c r="V547" t="s">
        <v>93</v>
      </c>
      <c r="W547" t="s">
        <v>907</v>
      </c>
      <c r="X547">
        <v>5</v>
      </c>
      <c r="Y547">
        <v>4</v>
      </c>
      <c r="Z547" t="s">
        <v>896</v>
      </c>
      <c r="AA547" t="s">
        <v>897</v>
      </c>
      <c r="AB547" t="s">
        <v>96</v>
      </c>
      <c r="AC547" t="s">
        <v>97</v>
      </c>
      <c r="AD547" t="s">
        <v>690</v>
      </c>
      <c r="AG547" t="s">
        <v>898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38" x14ac:dyDescent="0.3">
      <c r="A548" t="s">
        <v>685</v>
      </c>
      <c r="B548">
        <v>16537</v>
      </c>
      <c r="C548">
        <v>26</v>
      </c>
      <c r="D548" t="s">
        <v>894</v>
      </c>
      <c r="E548" t="s">
        <v>895</v>
      </c>
      <c r="F548">
        <v>98</v>
      </c>
      <c r="G548">
        <v>32.770000000000003</v>
      </c>
      <c r="H548">
        <v>108.34</v>
      </c>
      <c r="I548">
        <v>30.3</v>
      </c>
      <c r="J548">
        <v>100.17</v>
      </c>
      <c r="K548">
        <v>1</v>
      </c>
      <c r="T548">
        <v>2</v>
      </c>
      <c r="U548">
        <v>1</v>
      </c>
      <c r="V548" t="s">
        <v>93</v>
      </c>
      <c r="W548" t="s">
        <v>908</v>
      </c>
      <c r="X548">
        <v>5</v>
      </c>
      <c r="Y548">
        <v>4</v>
      </c>
      <c r="Z548" t="s">
        <v>896</v>
      </c>
      <c r="AA548" t="s">
        <v>897</v>
      </c>
      <c r="AB548" t="s">
        <v>96</v>
      </c>
      <c r="AC548" t="s">
        <v>97</v>
      </c>
      <c r="AD548" t="s">
        <v>690</v>
      </c>
      <c r="AG548" t="s">
        <v>898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38" x14ac:dyDescent="0.3">
      <c r="A549" t="s">
        <v>685</v>
      </c>
      <c r="B549">
        <v>16537</v>
      </c>
      <c r="C549">
        <v>27</v>
      </c>
      <c r="D549" t="s">
        <v>894</v>
      </c>
      <c r="E549" t="s">
        <v>895</v>
      </c>
      <c r="F549">
        <v>98</v>
      </c>
      <c r="G549">
        <v>33</v>
      </c>
      <c r="H549">
        <v>109.1</v>
      </c>
      <c r="I549">
        <v>30.53</v>
      </c>
      <c r="J549">
        <v>100.93</v>
      </c>
      <c r="K549">
        <v>2</v>
      </c>
      <c r="T549">
        <v>2</v>
      </c>
      <c r="U549">
        <v>1</v>
      </c>
      <c r="V549" t="s">
        <v>93</v>
      </c>
      <c r="W549" t="s">
        <v>232</v>
      </c>
      <c r="X549">
        <v>5</v>
      </c>
      <c r="Y549">
        <v>4</v>
      </c>
      <c r="Z549" t="s">
        <v>896</v>
      </c>
      <c r="AA549" t="s">
        <v>897</v>
      </c>
      <c r="AB549" t="s">
        <v>96</v>
      </c>
      <c r="AC549" t="s">
        <v>97</v>
      </c>
      <c r="AD549" t="s">
        <v>690</v>
      </c>
      <c r="AG549" t="s">
        <v>898</v>
      </c>
      <c r="AH549">
        <v>0</v>
      </c>
      <c r="AI549">
        <v>0</v>
      </c>
      <c r="AJ549">
        <v>0</v>
      </c>
      <c r="AK549">
        <v>0</v>
      </c>
      <c r="AL549">
        <v>0</v>
      </c>
    </row>
    <row r="550" spans="1:38" x14ac:dyDescent="0.3">
      <c r="A550" t="s">
        <v>685</v>
      </c>
      <c r="B550">
        <v>118500</v>
      </c>
      <c r="C550">
        <v>1</v>
      </c>
      <c r="D550" t="s">
        <v>909</v>
      </c>
      <c r="E550" t="s">
        <v>910</v>
      </c>
      <c r="F550">
        <v>24</v>
      </c>
      <c r="G550">
        <v>19.63</v>
      </c>
      <c r="H550">
        <v>64.900000000000006</v>
      </c>
      <c r="I550">
        <v>15.78</v>
      </c>
      <c r="J550">
        <v>52.17</v>
      </c>
      <c r="K550">
        <v>3</v>
      </c>
      <c r="T550">
        <v>3</v>
      </c>
      <c r="U550">
        <v>2</v>
      </c>
      <c r="V550" t="s">
        <v>93</v>
      </c>
      <c r="W550" t="s">
        <v>275</v>
      </c>
      <c r="X550">
        <v>14</v>
      </c>
      <c r="Y550">
        <v>14</v>
      </c>
      <c r="Z550" t="s">
        <v>911</v>
      </c>
      <c r="AA550" t="s">
        <v>912</v>
      </c>
      <c r="AB550" t="s">
        <v>96</v>
      </c>
      <c r="AC550" t="s">
        <v>97</v>
      </c>
      <c r="AD550" t="s">
        <v>690</v>
      </c>
      <c r="AG550" t="s">
        <v>913</v>
      </c>
      <c r="AH550">
        <v>0</v>
      </c>
      <c r="AI550">
        <v>810</v>
      </c>
      <c r="AJ550">
        <v>74</v>
      </c>
      <c r="AK550">
        <v>23</v>
      </c>
      <c r="AL550">
        <v>0.96</v>
      </c>
    </row>
    <row r="551" spans="1:38" x14ac:dyDescent="0.3">
      <c r="A551" t="s">
        <v>685</v>
      </c>
      <c r="B551">
        <v>118500</v>
      </c>
      <c r="C551">
        <v>2</v>
      </c>
      <c r="D551" t="s">
        <v>909</v>
      </c>
      <c r="E551" t="s">
        <v>910</v>
      </c>
      <c r="F551">
        <v>24</v>
      </c>
      <c r="G551">
        <v>19.600000000000001</v>
      </c>
      <c r="H551">
        <v>64.81</v>
      </c>
      <c r="I551">
        <v>15.78</v>
      </c>
      <c r="J551">
        <v>52.17</v>
      </c>
      <c r="K551">
        <v>1</v>
      </c>
      <c r="T551">
        <v>3</v>
      </c>
      <c r="U551">
        <v>2</v>
      </c>
      <c r="V551" t="s">
        <v>93</v>
      </c>
      <c r="W551" t="s">
        <v>279</v>
      </c>
      <c r="X551">
        <v>14</v>
      </c>
      <c r="Y551">
        <v>14</v>
      </c>
      <c r="Z551" t="s">
        <v>911</v>
      </c>
      <c r="AA551" t="s">
        <v>912</v>
      </c>
      <c r="AB551" t="s">
        <v>96</v>
      </c>
      <c r="AC551" t="s">
        <v>97</v>
      </c>
      <c r="AD551" t="s">
        <v>690</v>
      </c>
      <c r="AG551" t="s">
        <v>913</v>
      </c>
      <c r="AH551">
        <v>0</v>
      </c>
      <c r="AI551">
        <v>810</v>
      </c>
      <c r="AJ551">
        <v>74</v>
      </c>
      <c r="AK551">
        <v>23</v>
      </c>
      <c r="AL551">
        <v>0.96</v>
      </c>
    </row>
    <row r="552" spans="1:38" x14ac:dyDescent="0.3">
      <c r="A552" t="s">
        <v>685</v>
      </c>
      <c r="B552">
        <v>118500</v>
      </c>
      <c r="C552">
        <v>3</v>
      </c>
      <c r="D552" t="s">
        <v>909</v>
      </c>
      <c r="E552" t="s">
        <v>910</v>
      </c>
      <c r="F552">
        <v>24</v>
      </c>
      <c r="G552">
        <v>19.739999999999998</v>
      </c>
      <c r="H552">
        <v>65.28</v>
      </c>
      <c r="I552">
        <v>16.239999999999998</v>
      </c>
      <c r="J552">
        <v>53.71</v>
      </c>
      <c r="K552">
        <v>4</v>
      </c>
      <c r="T552">
        <v>3</v>
      </c>
      <c r="U552">
        <v>2</v>
      </c>
      <c r="V552" t="s">
        <v>93</v>
      </c>
      <c r="W552" t="s">
        <v>198</v>
      </c>
      <c r="X552">
        <v>14</v>
      </c>
      <c r="Y552">
        <v>14</v>
      </c>
      <c r="Z552" t="s">
        <v>911</v>
      </c>
      <c r="AA552" t="s">
        <v>912</v>
      </c>
      <c r="AB552" t="s">
        <v>96</v>
      </c>
      <c r="AC552" t="s">
        <v>97</v>
      </c>
      <c r="AD552" t="s">
        <v>690</v>
      </c>
      <c r="AG552" t="s">
        <v>913</v>
      </c>
      <c r="AH552">
        <v>0</v>
      </c>
      <c r="AI552">
        <v>810</v>
      </c>
      <c r="AJ552">
        <v>74</v>
      </c>
      <c r="AK552">
        <v>23</v>
      </c>
      <c r="AL552">
        <v>0.96</v>
      </c>
    </row>
    <row r="553" spans="1:38" x14ac:dyDescent="0.3">
      <c r="A553" t="s">
        <v>685</v>
      </c>
      <c r="B553">
        <v>118500</v>
      </c>
      <c r="C553">
        <v>4</v>
      </c>
      <c r="D553" t="s">
        <v>909</v>
      </c>
      <c r="E553" t="s">
        <v>910</v>
      </c>
      <c r="F553">
        <v>24</v>
      </c>
      <c r="G553">
        <v>21.05</v>
      </c>
      <c r="H553">
        <v>69.599999999999994</v>
      </c>
      <c r="I553">
        <v>17.48</v>
      </c>
      <c r="J553">
        <v>57.79</v>
      </c>
      <c r="K553">
        <v>4</v>
      </c>
      <c r="T553">
        <v>3</v>
      </c>
      <c r="U553">
        <v>2</v>
      </c>
      <c r="V553" t="s">
        <v>93</v>
      </c>
      <c r="W553">
        <v>69</v>
      </c>
      <c r="X553">
        <v>14</v>
      </c>
      <c r="Y553">
        <v>14</v>
      </c>
      <c r="Z553" t="s">
        <v>911</v>
      </c>
      <c r="AA553" t="s">
        <v>912</v>
      </c>
      <c r="AB553" t="s">
        <v>96</v>
      </c>
      <c r="AC553" t="s">
        <v>97</v>
      </c>
      <c r="AD553" t="s">
        <v>690</v>
      </c>
      <c r="AG553" t="s">
        <v>913</v>
      </c>
      <c r="AH553">
        <v>0</v>
      </c>
      <c r="AI553">
        <v>810</v>
      </c>
      <c r="AJ553">
        <v>74</v>
      </c>
      <c r="AK553">
        <v>23</v>
      </c>
      <c r="AL553">
        <v>0.96</v>
      </c>
    </row>
    <row r="554" spans="1:38" x14ac:dyDescent="0.3">
      <c r="A554" t="s">
        <v>685</v>
      </c>
      <c r="B554">
        <v>118500</v>
      </c>
      <c r="C554">
        <v>5</v>
      </c>
      <c r="D554" t="s">
        <v>909</v>
      </c>
      <c r="E554" t="s">
        <v>910</v>
      </c>
      <c r="F554">
        <v>24</v>
      </c>
      <c r="G554">
        <v>21.66</v>
      </c>
      <c r="H554">
        <v>71.63</v>
      </c>
      <c r="I554">
        <v>18.100000000000001</v>
      </c>
      <c r="J554">
        <v>59.85</v>
      </c>
      <c r="K554">
        <v>4</v>
      </c>
      <c r="T554">
        <v>3</v>
      </c>
      <c r="U554">
        <v>2</v>
      </c>
      <c r="V554" t="s">
        <v>93</v>
      </c>
      <c r="W554" t="s">
        <v>460</v>
      </c>
      <c r="X554">
        <v>14</v>
      </c>
      <c r="Y554">
        <v>14</v>
      </c>
      <c r="Z554" t="s">
        <v>911</v>
      </c>
      <c r="AA554" t="s">
        <v>912</v>
      </c>
      <c r="AB554" t="s">
        <v>96</v>
      </c>
      <c r="AC554" t="s">
        <v>97</v>
      </c>
      <c r="AD554" t="s">
        <v>690</v>
      </c>
      <c r="AG554" t="s">
        <v>913</v>
      </c>
      <c r="AH554">
        <v>0</v>
      </c>
      <c r="AI554">
        <v>810</v>
      </c>
      <c r="AJ554">
        <v>74</v>
      </c>
      <c r="AK554">
        <v>23</v>
      </c>
      <c r="AL554">
        <v>0.96</v>
      </c>
    </row>
    <row r="555" spans="1:38" x14ac:dyDescent="0.3">
      <c r="A555" t="s">
        <v>685</v>
      </c>
      <c r="B555">
        <v>118500</v>
      </c>
      <c r="C555">
        <v>6</v>
      </c>
      <c r="D555" t="s">
        <v>909</v>
      </c>
      <c r="E555" t="s">
        <v>910</v>
      </c>
      <c r="F555">
        <v>24</v>
      </c>
      <c r="G555">
        <v>21.73</v>
      </c>
      <c r="H555">
        <v>71.86</v>
      </c>
      <c r="I555">
        <v>18.11</v>
      </c>
      <c r="J555">
        <v>59.9</v>
      </c>
      <c r="K555">
        <v>4</v>
      </c>
      <c r="T555">
        <v>3</v>
      </c>
      <c r="U555">
        <v>2</v>
      </c>
      <c r="V555" t="s">
        <v>93</v>
      </c>
      <c r="W555" t="s">
        <v>914</v>
      </c>
      <c r="X555">
        <v>14</v>
      </c>
      <c r="Y555">
        <v>14</v>
      </c>
      <c r="Z555" t="s">
        <v>911</v>
      </c>
      <c r="AA555" t="s">
        <v>912</v>
      </c>
      <c r="AB555" t="s">
        <v>96</v>
      </c>
      <c r="AC555" t="s">
        <v>97</v>
      </c>
      <c r="AD555" t="s">
        <v>690</v>
      </c>
      <c r="AG555" t="s">
        <v>913</v>
      </c>
      <c r="AH555">
        <v>0</v>
      </c>
      <c r="AI555">
        <v>810</v>
      </c>
      <c r="AJ555">
        <v>74</v>
      </c>
      <c r="AK555">
        <v>23</v>
      </c>
      <c r="AL555">
        <v>0.96</v>
      </c>
    </row>
    <row r="556" spans="1:38" x14ac:dyDescent="0.3">
      <c r="A556" t="s">
        <v>685</v>
      </c>
      <c r="B556">
        <v>118500</v>
      </c>
      <c r="C556">
        <v>7</v>
      </c>
      <c r="D556" t="s">
        <v>909</v>
      </c>
      <c r="E556" t="s">
        <v>910</v>
      </c>
      <c r="F556">
        <v>24</v>
      </c>
      <c r="G556">
        <v>21.98</v>
      </c>
      <c r="H556">
        <v>72.680000000000007</v>
      </c>
      <c r="I556">
        <v>18.100000000000001</v>
      </c>
      <c r="J556">
        <v>59.86</v>
      </c>
      <c r="K556">
        <v>4</v>
      </c>
      <c r="T556">
        <v>3</v>
      </c>
      <c r="U556">
        <v>2</v>
      </c>
      <c r="V556" t="s">
        <v>93</v>
      </c>
      <c r="W556" t="s">
        <v>296</v>
      </c>
      <c r="X556">
        <v>14</v>
      </c>
      <c r="Y556">
        <v>14</v>
      </c>
      <c r="Z556" t="s">
        <v>911</v>
      </c>
      <c r="AA556" t="s">
        <v>912</v>
      </c>
      <c r="AB556" t="s">
        <v>96</v>
      </c>
      <c r="AC556" t="s">
        <v>97</v>
      </c>
      <c r="AD556" t="s">
        <v>690</v>
      </c>
      <c r="AG556" t="s">
        <v>913</v>
      </c>
      <c r="AH556">
        <v>0</v>
      </c>
      <c r="AI556">
        <v>810</v>
      </c>
      <c r="AJ556">
        <v>74</v>
      </c>
      <c r="AK556">
        <v>23</v>
      </c>
      <c r="AL556">
        <v>0.96</v>
      </c>
    </row>
    <row r="557" spans="1:38" x14ac:dyDescent="0.3">
      <c r="A557" t="s">
        <v>685</v>
      </c>
      <c r="B557">
        <v>13586</v>
      </c>
      <c r="C557">
        <v>1</v>
      </c>
      <c r="D557" t="s">
        <v>915</v>
      </c>
      <c r="E557" t="s">
        <v>916</v>
      </c>
      <c r="F557">
        <v>115</v>
      </c>
      <c r="G557">
        <v>16.989999999999998</v>
      </c>
      <c r="H557">
        <v>56.19</v>
      </c>
      <c r="I557">
        <v>16.989999999999998</v>
      </c>
      <c r="J557">
        <v>56.19</v>
      </c>
      <c r="K557">
        <v>69</v>
      </c>
      <c r="T557">
        <v>2</v>
      </c>
      <c r="U557">
        <v>1</v>
      </c>
      <c r="V557" t="s">
        <v>93</v>
      </c>
      <c r="W557" t="s">
        <v>687</v>
      </c>
      <c r="X557">
        <v>5</v>
      </c>
      <c r="Y557">
        <v>5</v>
      </c>
      <c r="Z557" t="s">
        <v>917</v>
      </c>
      <c r="AA557" t="s">
        <v>918</v>
      </c>
      <c r="AB557" t="s">
        <v>96</v>
      </c>
      <c r="AC557" t="s">
        <v>97</v>
      </c>
      <c r="AD557" t="s">
        <v>690</v>
      </c>
      <c r="AG557" t="s">
        <v>919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685</v>
      </c>
      <c r="B558">
        <v>13586</v>
      </c>
      <c r="C558">
        <v>2</v>
      </c>
      <c r="D558" t="s">
        <v>915</v>
      </c>
      <c r="E558" t="s">
        <v>916</v>
      </c>
      <c r="F558">
        <v>115</v>
      </c>
      <c r="G558">
        <v>17</v>
      </c>
      <c r="H558">
        <v>56.2</v>
      </c>
      <c r="I558">
        <v>17</v>
      </c>
      <c r="J558">
        <v>56.2</v>
      </c>
      <c r="K558">
        <v>1</v>
      </c>
      <c r="T558">
        <v>2</v>
      </c>
      <c r="U558">
        <v>1</v>
      </c>
      <c r="V558" t="s">
        <v>93</v>
      </c>
      <c r="W558" t="s">
        <v>920</v>
      </c>
      <c r="X558">
        <v>5</v>
      </c>
      <c r="Y558">
        <v>5</v>
      </c>
      <c r="Z558" t="s">
        <v>917</v>
      </c>
      <c r="AA558" t="s">
        <v>918</v>
      </c>
      <c r="AB558" t="s">
        <v>96</v>
      </c>
      <c r="AC558" t="s">
        <v>97</v>
      </c>
      <c r="AD558" t="s">
        <v>690</v>
      </c>
      <c r="AG558" t="s">
        <v>919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685</v>
      </c>
      <c r="B559">
        <v>13586</v>
      </c>
      <c r="C559">
        <v>3</v>
      </c>
      <c r="D559" t="s">
        <v>915</v>
      </c>
      <c r="E559" t="s">
        <v>916</v>
      </c>
      <c r="F559">
        <v>115</v>
      </c>
      <c r="G559">
        <v>24.39</v>
      </c>
      <c r="H559">
        <v>80.650000000000006</v>
      </c>
      <c r="I559">
        <v>24.13</v>
      </c>
      <c r="J559">
        <v>79.77</v>
      </c>
      <c r="K559">
        <v>10</v>
      </c>
      <c r="T559">
        <v>3</v>
      </c>
      <c r="U559">
        <v>1</v>
      </c>
      <c r="V559" t="s">
        <v>93</v>
      </c>
      <c r="W559">
        <v>80</v>
      </c>
      <c r="X559">
        <v>5</v>
      </c>
      <c r="Y559">
        <v>5</v>
      </c>
      <c r="Z559" t="s">
        <v>917</v>
      </c>
      <c r="AA559" t="s">
        <v>918</v>
      </c>
      <c r="AB559" t="s">
        <v>96</v>
      </c>
      <c r="AC559" t="s">
        <v>97</v>
      </c>
      <c r="AD559" t="s">
        <v>690</v>
      </c>
      <c r="AG559" t="s">
        <v>919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38" x14ac:dyDescent="0.3">
      <c r="A560" t="s">
        <v>685</v>
      </c>
      <c r="B560">
        <v>13586</v>
      </c>
      <c r="C560">
        <v>4</v>
      </c>
      <c r="D560" t="s">
        <v>915</v>
      </c>
      <c r="E560" t="s">
        <v>916</v>
      </c>
      <c r="F560">
        <v>115</v>
      </c>
      <c r="G560">
        <v>25.16</v>
      </c>
      <c r="H560">
        <v>83.19</v>
      </c>
      <c r="I560">
        <v>24.89</v>
      </c>
      <c r="J560">
        <v>82.31</v>
      </c>
      <c r="K560">
        <v>35</v>
      </c>
      <c r="T560">
        <v>3</v>
      </c>
      <c r="U560">
        <v>1</v>
      </c>
      <c r="V560" t="s">
        <v>93</v>
      </c>
      <c r="W560">
        <v>83</v>
      </c>
      <c r="X560">
        <v>5</v>
      </c>
      <c r="Y560">
        <v>5</v>
      </c>
      <c r="Z560" t="s">
        <v>917</v>
      </c>
      <c r="AA560" t="s">
        <v>918</v>
      </c>
      <c r="AB560" t="s">
        <v>96</v>
      </c>
      <c r="AC560" t="s">
        <v>97</v>
      </c>
      <c r="AD560" t="s">
        <v>690</v>
      </c>
      <c r="AG560" t="s">
        <v>919</v>
      </c>
      <c r="AH560">
        <v>0</v>
      </c>
      <c r="AI560">
        <v>0</v>
      </c>
      <c r="AJ560">
        <v>0</v>
      </c>
      <c r="AK560">
        <v>0</v>
      </c>
      <c r="AL560">
        <v>0</v>
      </c>
    </row>
    <row r="561" spans="1:38" x14ac:dyDescent="0.3">
      <c r="A561" t="s">
        <v>685</v>
      </c>
      <c r="B561">
        <v>119294</v>
      </c>
      <c r="C561">
        <v>1</v>
      </c>
      <c r="D561" t="s">
        <v>921</v>
      </c>
      <c r="E561" t="s">
        <v>338</v>
      </c>
      <c r="F561">
        <v>56</v>
      </c>
      <c r="G561">
        <v>18.89</v>
      </c>
      <c r="H561">
        <v>62.45</v>
      </c>
      <c r="I561">
        <v>15.07</v>
      </c>
      <c r="J561">
        <v>49.85</v>
      </c>
      <c r="K561">
        <v>14</v>
      </c>
      <c r="T561">
        <v>2</v>
      </c>
      <c r="U561">
        <v>1</v>
      </c>
      <c r="V561" t="s">
        <v>93</v>
      </c>
      <c r="W561" t="s">
        <v>255</v>
      </c>
      <c r="X561">
        <v>14</v>
      </c>
      <c r="Y561">
        <v>14</v>
      </c>
      <c r="Z561" t="s">
        <v>922</v>
      </c>
      <c r="AA561" t="s">
        <v>923</v>
      </c>
      <c r="AB561" t="s">
        <v>96</v>
      </c>
      <c r="AC561" t="s">
        <v>97</v>
      </c>
      <c r="AD561" t="s">
        <v>690</v>
      </c>
      <c r="AG561" t="s">
        <v>924</v>
      </c>
      <c r="AH561">
        <v>0</v>
      </c>
      <c r="AI561">
        <v>0</v>
      </c>
      <c r="AJ561">
        <v>0</v>
      </c>
      <c r="AK561">
        <v>43</v>
      </c>
      <c r="AL561">
        <v>0.77</v>
      </c>
    </row>
    <row r="562" spans="1:38" x14ac:dyDescent="0.3">
      <c r="A562" t="s">
        <v>685</v>
      </c>
      <c r="B562">
        <v>119294</v>
      </c>
      <c r="C562">
        <v>2</v>
      </c>
      <c r="D562" t="s">
        <v>921</v>
      </c>
      <c r="E562" t="s">
        <v>338</v>
      </c>
      <c r="F562">
        <v>56</v>
      </c>
      <c r="G562">
        <v>19.14</v>
      </c>
      <c r="H562">
        <v>63.29</v>
      </c>
      <c r="I562">
        <v>15.06</v>
      </c>
      <c r="J562">
        <v>49.79</v>
      </c>
      <c r="K562">
        <v>28</v>
      </c>
      <c r="T562">
        <v>2</v>
      </c>
      <c r="U562">
        <v>1</v>
      </c>
      <c r="V562" t="s">
        <v>93</v>
      </c>
      <c r="W562" t="s">
        <v>194</v>
      </c>
      <c r="X562">
        <v>14</v>
      </c>
      <c r="Y562">
        <v>14</v>
      </c>
      <c r="Z562" t="s">
        <v>922</v>
      </c>
      <c r="AA562" t="s">
        <v>923</v>
      </c>
      <c r="AB562" t="s">
        <v>96</v>
      </c>
      <c r="AC562" t="s">
        <v>97</v>
      </c>
      <c r="AD562" t="s">
        <v>690</v>
      </c>
      <c r="AG562" t="s">
        <v>924</v>
      </c>
      <c r="AH562">
        <v>0</v>
      </c>
      <c r="AI562">
        <v>0</v>
      </c>
      <c r="AJ562">
        <v>0</v>
      </c>
      <c r="AK562">
        <v>43</v>
      </c>
      <c r="AL562">
        <v>0.77</v>
      </c>
    </row>
    <row r="563" spans="1:38" x14ac:dyDescent="0.3">
      <c r="A563" t="s">
        <v>685</v>
      </c>
      <c r="B563">
        <v>119294</v>
      </c>
      <c r="C563">
        <v>3</v>
      </c>
      <c r="D563" t="s">
        <v>921</v>
      </c>
      <c r="E563" t="s">
        <v>338</v>
      </c>
      <c r="F563">
        <v>56</v>
      </c>
      <c r="G563">
        <v>19.27</v>
      </c>
      <c r="H563">
        <v>63.71</v>
      </c>
      <c r="I563">
        <v>15.09</v>
      </c>
      <c r="J563">
        <v>49.9</v>
      </c>
      <c r="K563">
        <v>14</v>
      </c>
      <c r="T563">
        <v>2</v>
      </c>
      <c r="U563">
        <v>1</v>
      </c>
      <c r="V563" t="s">
        <v>93</v>
      </c>
      <c r="W563" t="s">
        <v>721</v>
      </c>
      <c r="X563">
        <v>14</v>
      </c>
      <c r="Y563">
        <v>14</v>
      </c>
      <c r="Z563" t="s">
        <v>922</v>
      </c>
      <c r="AA563" t="s">
        <v>923</v>
      </c>
      <c r="AB563" t="s">
        <v>96</v>
      </c>
      <c r="AC563" t="s">
        <v>97</v>
      </c>
      <c r="AD563" t="s">
        <v>690</v>
      </c>
      <c r="AG563" t="s">
        <v>924</v>
      </c>
      <c r="AH563">
        <v>0</v>
      </c>
      <c r="AI563">
        <v>0</v>
      </c>
      <c r="AJ563">
        <v>0</v>
      </c>
      <c r="AK563">
        <v>43</v>
      </c>
      <c r="AL563">
        <v>0.77</v>
      </c>
    </row>
    <row r="564" spans="1:38" x14ac:dyDescent="0.3">
      <c r="A564" t="s">
        <v>685</v>
      </c>
      <c r="B564">
        <v>126280</v>
      </c>
      <c r="C564">
        <v>1</v>
      </c>
      <c r="D564" t="s">
        <v>925</v>
      </c>
      <c r="E564" t="s">
        <v>737</v>
      </c>
      <c r="F564">
        <v>6</v>
      </c>
      <c r="G564">
        <v>26.82</v>
      </c>
      <c r="H564">
        <v>88.68</v>
      </c>
      <c r="I564">
        <v>21.48</v>
      </c>
      <c r="J564">
        <v>71.040000000000006</v>
      </c>
      <c r="K564">
        <v>3</v>
      </c>
      <c r="T564">
        <v>3</v>
      </c>
      <c r="U564">
        <v>2</v>
      </c>
      <c r="V564" t="s">
        <v>93</v>
      </c>
      <c r="W564">
        <v>88</v>
      </c>
      <c r="X564">
        <v>4</v>
      </c>
      <c r="Y564">
        <v>4</v>
      </c>
      <c r="Z564" t="s">
        <v>926</v>
      </c>
      <c r="AA564" t="s">
        <v>927</v>
      </c>
      <c r="AB564" t="s">
        <v>96</v>
      </c>
      <c r="AC564" t="s">
        <v>97</v>
      </c>
      <c r="AD564" t="s">
        <v>690</v>
      </c>
      <c r="AG564" t="s">
        <v>928</v>
      </c>
      <c r="AH564">
        <v>0</v>
      </c>
      <c r="AI564">
        <v>292</v>
      </c>
      <c r="AJ564">
        <v>51</v>
      </c>
      <c r="AK564">
        <v>6</v>
      </c>
      <c r="AL564">
        <v>1</v>
      </c>
    </row>
    <row r="565" spans="1:38" x14ac:dyDescent="0.3">
      <c r="A565" t="s">
        <v>685</v>
      </c>
      <c r="B565">
        <v>126280</v>
      </c>
      <c r="C565">
        <v>2</v>
      </c>
      <c r="D565" t="s">
        <v>925</v>
      </c>
      <c r="E565" t="s">
        <v>737</v>
      </c>
      <c r="F565">
        <v>6</v>
      </c>
      <c r="G565">
        <v>27.84</v>
      </c>
      <c r="H565">
        <v>92.05</v>
      </c>
      <c r="I565">
        <v>22.3</v>
      </c>
      <c r="J565">
        <v>73.75</v>
      </c>
      <c r="K565">
        <v>3</v>
      </c>
      <c r="T565">
        <v>3</v>
      </c>
      <c r="U565">
        <v>2</v>
      </c>
      <c r="V565" t="s">
        <v>93</v>
      </c>
      <c r="W565">
        <v>92</v>
      </c>
      <c r="X565">
        <v>4</v>
      </c>
      <c r="Y565">
        <v>4</v>
      </c>
      <c r="Z565" t="s">
        <v>926</v>
      </c>
      <c r="AA565" t="s">
        <v>927</v>
      </c>
      <c r="AB565" t="s">
        <v>96</v>
      </c>
      <c r="AC565" t="s">
        <v>97</v>
      </c>
      <c r="AD565" t="s">
        <v>690</v>
      </c>
      <c r="AG565" t="s">
        <v>928</v>
      </c>
      <c r="AH565">
        <v>0</v>
      </c>
      <c r="AI565">
        <v>292</v>
      </c>
      <c r="AJ565">
        <v>51</v>
      </c>
      <c r="AK565">
        <v>6</v>
      </c>
      <c r="AL565">
        <v>1</v>
      </c>
    </row>
    <row r="566" spans="1:38" x14ac:dyDescent="0.3">
      <c r="A566" t="s">
        <v>685</v>
      </c>
      <c r="B566">
        <v>25697</v>
      </c>
      <c r="C566">
        <v>1</v>
      </c>
      <c r="D566" t="s">
        <v>929</v>
      </c>
      <c r="E566" t="s">
        <v>930</v>
      </c>
      <c r="F566">
        <v>28</v>
      </c>
      <c r="G566">
        <v>30.28</v>
      </c>
      <c r="H566">
        <v>100.1</v>
      </c>
      <c r="I566">
        <v>24.46</v>
      </c>
      <c r="J566">
        <v>80.86</v>
      </c>
      <c r="K566">
        <v>28</v>
      </c>
      <c r="T566">
        <v>3</v>
      </c>
      <c r="U566">
        <v>2</v>
      </c>
      <c r="V566" t="s">
        <v>93</v>
      </c>
      <c r="W566">
        <v>100</v>
      </c>
      <c r="X566">
        <v>14</v>
      </c>
      <c r="Y566">
        <v>14</v>
      </c>
      <c r="Z566" t="s">
        <v>931</v>
      </c>
      <c r="AA566" t="s">
        <v>932</v>
      </c>
      <c r="AB566" t="s">
        <v>96</v>
      </c>
      <c r="AC566" t="s">
        <v>97</v>
      </c>
      <c r="AD566" t="s">
        <v>690</v>
      </c>
      <c r="AG566" t="s">
        <v>933</v>
      </c>
      <c r="AH566">
        <v>0</v>
      </c>
      <c r="AI566">
        <v>524</v>
      </c>
      <c r="AJ566">
        <v>45</v>
      </c>
      <c r="AK566">
        <v>0</v>
      </c>
      <c r="AL566">
        <v>0</v>
      </c>
    </row>
    <row r="567" spans="1:38" x14ac:dyDescent="0.3">
      <c r="A567" t="s">
        <v>685</v>
      </c>
      <c r="B567">
        <v>113815</v>
      </c>
      <c r="C567">
        <v>1</v>
      </c>
      <c r="D567" t="s">
        <v>934</v>
      </c>
      <c r="E567" t="s">
        <v>935</v>
      </c>
      <c r="F567">
        <v>26</v>
      </c>
      <c r="G567">
        <v>13.78</v>
      </c>
      <c r="H567">
        <v>45.57</v>
      </c>
      <c r="I567">
        <v>10.65</v>
      </c>
      <c r="J567">
        <v>35.22</v>
      </c>
      <c r="K567">
        <v>7</v>
      </c>
      <c r="T567">
        <v>1</v>
      </c>
      <c r="U567">
        <v>1</v>
      </c>
      <c r="V567" t="s">
        <v>93</v>
      </c>
      <c r="W567">
        <v>45</v>
      </c>
      <c r="X567">
        <v>14</v>
      </c>
      <c r="Y567">
        <v>14</v>
      </c>
      <c r="Z567" t="s">
        <v>936</v>
      </c>
      <c r="AA567" t="s">
        <v>937</v>
      </c>
      <c r="AB567" t="s">
        <v>96</v>
      </c>
      <c r="AC567" t="s">
        <v>97</v>
      </c>
      <c r="AD567" t="s">
        <v>690</v>
      </c>
      <c r="AG567" t="s">
        <v>938</v>
      </c>
      <c r="AH567">
        <v>0</v>
      </c>
      <c r="AI567">
        <v>672</v>
      </c>
      <c r="AJ567">
        <v>67</v>
      </c>
      <c r="AK567">
        <v>18</v>
      </c>
      <c r="AL567">
        <v>0.69</v>
      </c>
    </row>
    <row r="568" spans="1:38" x14ac:dyDescent="0.3">
      <c r="A568" t="s">
        <v>685</v>
      </c>
      <c r="B568">
        <v>113815</v>
      </c>
      <c r="C568">
        <v>2</v>
      </c>
      <c r="D568" t="s">
        <v>934</v>
      </c>
      <c r="E568" t="s">
        <v>935</v>
      </c>
      <c r="F568">
        <v>26</v>
      </c>
      <c r="G568">
        <v>19.190000000000001</v>
      </c>
      <c r="H568">
        <v>63.47</v>
      </c>
      <c r="I568">
        <v>14.7</v>
      </c>
      <c r="J568">
        <v>48.62</v>
      </c>
      <c r="K568">
        <v>12</v>
      </c>
      <c r="T568">
        <v>2</v>
      </c>
      <c r="U568">
        <v>1</v>
      </c>
      <c r="V568" t="s">
        <v>93</v>
      </c>
      <c r="W568" t="s">
        <v>194</v>
      </c>
      <c r="X568">
        <v>14</v>
      </c>
      <c r="Y568">
        <v>14</v>
      </c>
      <c r="Z568" t="s">
        <v>936</v>
      </c>
      <c r="AA568" t="s">
        <v>937</v>
      </c>
      <c r="AB568" t="s">
        <v>96</v>
      </c>
      <c r="AC568" t="s">
        <v>97</v>
      </c>
      <c r="AD568" t="s">
        <v>690</v>
      </c>
      <c r="AG568" t="s">
        <v>938</v>
      </c>
      <c r="AH568">
        <v>0</v>
      </c>
      <c r="AI568">
        <v>672</v>
      </c>
      <c r="AJ568">
        <v>67</v>
      </c>
      <c r="AK568">
        <v>18</v>
      </c>
      <c r="AL568">
        <v>0.69</v>
      </c>
    </row>
    <row r="569" spans="1:38" x14ac:dyDescent="0.3">
      <c r="A569" t="s">
        <v>685</v>
      </c>
      <c r="B569">
        <v>113815</v>
      </c>
      <c r="C569">
        <v>3</v>
      </c>
      <c r="D569" t="s">
        <v>934</v>
      </c>
      <c r="E569" t="s">
        <v>935</v>
      </c>
      <c r="F569">
        <v>26</v>
      </c>
      <c r="G569">
        <v>19.46</v>
      </c>
      <c r="H569">
        <v>64.349999999999994</v>
      </c>
      <c r="I569">
        <v>15.07</v>
      </c>
      <c r="J569">
        <v>49.82</v>
      </c>
      <c r="K569">
        <v>7</v>
      </c>
      <c r="T569">
        <v>2</v>
      </c>
      <c r="U569">
        <v>1</v>
      </c>
      <c r="V569" t="s">
        <v>93</v>
      </c>
      <c r="W569" t="s">
        <v>275</v>
      </c>
      <c r="X569">
        <v>14</v>
      </c>
      <c r="Y569">
        <v>14</v>
      </c>
      <c r="Z569" t="s">
        <v>936</v>
      </c>
      <c r="AA569" t="s">
        <v>937</v>
      </c>
      <c r="AB569" t="s">
        <v>96</v>
      </c>
      <c r="AC569" t="s">
        <v>97</v>
      </c>
      <c r="AD569" t="s">
        <v>690</v>
      </c>
      <c r="AG569" t="s">
        <v>938</v>
      </c>
      <c r="AH569">
        <v>0</v>
      </c>
      <c r="AI569">
        <v>672</v>
      </c>
      <c r="AJ569">
        <v>67</v>
      </c>
      <c r="AK569">
        <v>18</v>
      </c>
      <c r="AL569">
        <v>0.69</v>
      </c>
    </row>
    <row r="570" spans="1:38" x14ac:dyDescent="0.3">
      <c r="A570" t="s">
        <v>685</v>
      </c>
      <c r="B570">
        <v>126080</v>
      </c>
      <c r="C570">
        <v>1</v>
      </c>
      <c r="D570" t="s">
        <v>939</v>
      </c>
      <c r="E570" t="s">
        <v>534</v>
      </c>
      <c r="F570">
        <v>12</v>
      </c>
      <c r="G570">
        <v>22.84</v>
      </c>
      <c r="H570">
        <v>75.53</v>
      </c>
      <c r="I570">
        <v>18.13</v>
      </c>
      <c r="J570">
        <v>59.96</v>
      </c>
      <c r="K570">
        <v>12</v>
      </c>
      <c r="T570">
        <v>3</v>
      </c>
      <c r="U570">
        <v>1</v>
      </c>
      <c r="V570" t="s">
        <v>93</v>
      </c>
      <c r="W570">
        <v>75</v>
      </c>
      <c r="X570">
        <v>5</v>
      </c>
      <c r="Y570">
        <v>5</v>
      </c>
      <c r="Z570" t="s">
        <v>940</v>
      </c>
      <c r="AA570" t="s">
        <v>941</v>
      </c>
      <c r="AB570" t="s">
        <v>96</v>
      </c>
      <c r="AC570" t="s">
        <v>97</v>
      </c>
      <c r="AD570" t="s">
        <v>690</v>
      </c>
      <c r="AG570" t="s">
        <v>942</v>
      </c>
      <c r="AH570">
        <v>0</v>
      </c>
      <c r="AI570">
        <v>720</v>
      </c>
      <c r="AJ570">
        <v>70</v>
      </c>
      <c r="AK570">
        <v>11</v>
      </c>
      <c r="AL570">
        <v>0.92</v>
      </c>
    </row>
    <row r="571" spans="1:38" x14ac:dyDescent="0.3">
      <c r="A571" t="s">
        <v>685</v>
      </c>
      <c r="B571">
        <v>125502</v>
      </c>
      <c r="C571">
        <v>1</v>
      </c>
      <c r="D571" t="s">
        <v>943</v>
      </c>
      <c r="E571" t="s">
        <v>944</v>
      </c>
      <c r="F571">
        <v>38</v>
      </c>
      <c r="G571">
        <v>21.55</v>
      </c>
      <c r="H571">
        <v>71.239999999999995</v>
      </c>
      <c r="I571">
        <v>16.16</v>
      </c>
      <c r="J571">
        <v>53.45</v>
      </c>
      <c r="K571">
        <v>6</v>
      </c>
      <c r="T571">
        <v>3</v>
      </c>
      <c r="U571">
        <v>1</v>
      </c>
      <c r="V571" t="s">
        <v>93</v>
      </c>
      <c r="W571">
        <v>71</v>
      </c>
      <c r="X571">
        <v>15</v>
      </c>
      <c r="Y571">
        <v>14</v>
      </c>
      <c r="Z571" t="s">
        <v>945</v>
      </c>
      <c r="AA571" t="s">
        <v>946</v>
      </c>
      <c r="AB571" t="s">
        <v>96</v>
      </c>
      <c r="AC571" t="s">
        <v>97</v>
      </c>
      <c r="AD571" t="s">
        <v>690</v>
      </c>
      <c r="AG571" t="s">
        <v>947</v>
      </c>
      <c r="AH571">
        <v>0</v>
      </c>
      <c r="AI571">
        <v>0</v>
      </c>
      <c r="AJ571">
        <v>0</v>
      </c>
      <c r="AK571">
        <v>36</v>
      </c>
      <c r="AL571">
        <v>0.95</v>
      </c>
    </row>
    <row r="572" spans="1:38" x14ac:dyDescent="0.3">
      <c r="A572" t="s">
        <v>685</v>
      </c>
      <c r="B572">
        <v>125502</v>
      </c>
      <c r="C572">
        <v>2</v>
      </c>
      <c r="D572" t="s">
        <v>943</v>
      </c>
      <c r="E572" t="s">
        <v>944</v>
      </c>
      <c r="F572">
        <v>38</v>
      </c>
      <c r="G572">
        <v>22.92</v>
      </c>
      <c r="H572">
        <v>75.8</v>
      </c>
      <c r="I572">
        <v>17.170000000000002</v>
      </c>
      <c r="J572">
        <v>56.78</v>
      </c>
      <c r="K572">
        <v>8</v>
      </c>
      <c r="T572">
        <v>3</v>
      </c>
      <c r="U572">
        <v>1</v>
      </c>
      <c r="V572" t="s">
        <v>93</v>
      </c>
      <c r="W572" t="s">
        <v>882</v>
      </c>
      <c r="X572">
        <v>15</v>
      </c>
      <c r="Y572">
        <v>14</v>
      </c>
      <c r="Z572" t="s">
        <v>945</v>
      </c>
      <c r="AA572" t="s">
        <v>946</v>
      </c>
      <c r="AB572" t="s">
        <v>96</v>
      </c>
      <c r="AC572" t="s">
        <v>97</v>
      </c>
      <c r="AD572" t="s">
        <v>690</v>
      </c>
      <c r="AG572" t="s">
        <v>947</v>
      </c>
      <c r="AH572">
        <v>0</v>
      </c>
      <c r="AI572">
        <v>0</v>
      </c>
      <c r="AJ572">
        <v>0</v>
      </c>
      <c r="AK572">
        <v>36</v>
      </c>
      <c r="AL572">
        <v>0.95</v>
      </c>
    </row>
    <row r="573" spans="1:38" x14ac:dyDescent="0.3">
      <c r="A573" t="s">
        <v>685</v>
      </c>
      <c r="B573">
        <v>125502</v>
      </c>
      <c r="C573">
        <v>3</v>
      </c>
      <c r="D573" t="s">
        <v>943</v>
      </c>
      <c r="E573" t="s">
        <v>944</v>
      </c>
      <c r="F573">
        <v>38</v>
      </c>
      <c r="G573">
        <v>23.33</v>
      </c>
      <c r="H573">
        <v>77.150000000000006</v>
      </c>
      <c r="I573">
        <v>17.47</v>
      </c>
      <c r="J573">
        <v>57.77</v>
      </c>
      <c r="K573">
        <v>8</v>
      </c>
      <c r="T573">
        <v>3</v>
      </c>
      <c r="U573">
        <v>1</v>
      </c>
      <c r="V573" t="s">
        <v>93</v>
      </c>
      <c r="W573" t="s">
        <v>948</v>
      </c>
      <c r="X573">
        <v>15</v>
      </c>
      <c r="Y573">
        <v>14</v>
      </c>
      <c r="Z573" t="s">
        <v>945</v>
      </c>
      <c r="AA573" t="s">
        <v>946</v>
      </c>
      <c r="AB573" t="s">
        <v>96</v>
      </c>
      <c r="AC573" t="s">
        <v>97</v>
      </c>
      <c r="AD573" t="s">
        <v>690</v>
      </c>
      <c r="AG573" t="s">
        <v>947</v>
      </c>
      <c r="AH573">
        <v>0</v>
      </c>
      <c r="AI573">
        <v>0</v>
      </c>
      <c r="AJ573">
        <v>0</v>
      </c>
      <c r="AK573">
        <v>36</v>
      </c>
      <c r="AL573">
        <v>0.95</v>
      </c>
    </row>
    <row r="574" spans="1:38" x14ac:dyDescent="0.3">
      <c r="A574" t="s">
        <v>685</v>
      </c>
      <c r="B574">
        <v>125502</v>
      </c>
      <c r="C574">
        <v>4</v>
      </c>
      <c r="D574" t="s">
        <v>943</v>
      </c>
      <c r="E574" t="s">
        <v>944</v>
      </c>
      <c r="F574">
        <v>38</v>
      </c>
      <c r="G574">
        <v>23.81</v>
      </c>
      <c r="H574">
        <v>78.739999999999995</v>
      </c>
      <c r="I574">
        <v>17.96</v>
      </c>
      <c r="J574">
        <v>59.39</v>
      </c>
      <c r="K574">
        <v>8</v>
      </c>
      <c r="T574">
        <v>3</v>
      </c>
      <c r="U574">
        <v>1</v>
      </c>
      <c r="V574" t="s">
        <v>93</v>
      </c>
      <c r="W574" t="s">
        <v>354</v>
      </c>
      <c r="X574">
        <v>15</v>
      </c>
      <c r="Y574">
        <v>14</v>
      </c>
      <c r="Z574" t="s">
        <v>945</v>
      </c>
      <c r="AA574" t="s">
        <v>946</v>
      </c>
      <c r="AB574" t="s">
        <v>96</v>
      </c>
      <c r="AC574" t="s">
        <v>97</v>
      </c>
      <c r="AD574" t="s">
        <v>690</v>
      </c>
      <c r="AG574" t="s">
        <v>947</v>
      </c>
      <c r="AH574">
        <v>0</v>
      </c>
      <c r="AI574">
        <v>0</v>
      </c>
      <c r="AJ574">
        <v>0</v>
      </c>
      <c r="AK574">
        <v>36</v>
      </c>
      <c r="AL574">
        <v>0.95</v>
      </c>
    </row>
    <row r="575" spans="1:38" x14ac:dyDescent="0.3">
      <c r="A575" t="s">
        <v>685</v>
      </c>
      <c r="B575">
        <v>125502</v>
      </c>
      <c r="C575">
        <v>5</v>
      </c>
      <c r="D575" t="s">
        <v>943</v>
      </c>
      <c r="E575" t="s">
        <v>944</v>
      </c>
      <c r="F575">
        <v>38</v>
      </c>
      <c r="G575">
        <v>23.71</v>
      </c>
      <c r="H575">
        <v>78.39</v>
      </c>
      <c r="I575">
        <v>17.850000000000001</v>
      </c>
      <c r="J575">
        <v>59.01</v>
      </c>
      <c r="K575">
        <v>6</v>
      </c>
      <c r="T575">
        <v>3</v>
      </c>
      <c r="U575">
        <v>1</v>
      </c>
      <c r="V575" t="s">
        <v>93</v>
      </c>
      <c r="W575" t="s">
        <v>318</v>
      </c>
      <c r="X575">
        <v>15</v>
      </c>
      <c r="Y575">
        <v>14</v>
      </c>
      <c r="Z575" t="s">
        <v>945</v>
      </c>
      <c r="AA575" t="s">
        <v>946</v>
      </c>
      <c r="AB575" t="s">
        <v>96</v>
      </c>
      <c r="AC575" t="s">
        <v>97</v>
      </c>
      <c r="AD575" t="s">
        <v>690</v>
      </c>
      <c r="AG575" t="s">
        <v>947</v>
      </c>
      <c r="AH575">
        <v>0</v>
      </c>
      <c r="AI575">
        <v>0</v>
      </c>
      <c r="AJ575">
        <v>0</v>
      </c>
      <c r="AK575">
        <v>36</v>
      </c>
      <c r="AL575">
        <v>0.95</v>
      </c>
    </row>
    <row r="576" spans="1:38" x14ac:dyDescent="0.3">
      <c r="A576" t="s">
        <v>685</v>
      </c>
      <c r="B576">
        <v>125502</v>
      </c>
      <c r="C576">
        <v>6</v>
      </c>
      <c r="D576" t="s">
        <v>943</v>
      </c>
      <c r="E576" t="s">
        <v>944</v>
      </c>
      <c r="F576">
        <v>38</v>
      </c>
      <c r="G576">
        <v>24.18</v>
      </c>
      <c r="H576">
        <v>79.959999999999994</v>
      </c>
      <c r="I576">
        <v>18.07</v>
      </c>
      <c r="J576">
        <v>59.76</v>
      </c>
      <c r="K576">
        <v>2</v>
      </c>
      <c r="T576">
        <v>3</v>
      </c>
      <c r="U576">
        <v>1</v>
      </c>
      <c r="V576" t="s">
        <v>93</v>
      </c>
      <c r="W576" t="s">
        <v>794</v>
      </c>
      <c r="X576">
        <v>15</v>
      </c>
      <c r="Y576">
        <v>14</v>
      </c>
      <c r="Z576" t="s">
        <v>945</v>
      </c>
      <c r="AA576" t="s">
        <v>946</v>
      </c>
      <c r="AB576" t="s">
        <v>96</v>
      </c>
      <c r="AC576" t="s">
        <v>97</v>
      </c>
      <c r="AD576" t="s">
        <v>690</v>
      </c>
      <c r="AG576" t="s">
        <v>947</v>
      </c>
      <c r="AH576">
        <v>0</v>
      </c>
      <c r="AI576">
        <v>0</v>
      </c>
      <c r="AJ576">
        <v>0</v>
      </c>
      <c r="AK576">
        <v>36</v>
      </c>
      <c r="AL576">
        <v>0.95</v>
      </c>
    </row>
    <row r="577" spans="1:38" x14ac:dyDescent="0.3">
      <c r="A577" t="s">
        <v>685</v>
      </c>
      <c r="B577">
        <v>143647</v>
      </c>
      <c r="C577">
        <v>1</v>
      </c>
      <c r="D577" t="s">
        <v>949</v>
      </c>
      <c r="E577" t="s">
        <v>950</v>
      </c>
      <c r="F577">
        <v>8</v>
      </c>
      <c r="G577">
        <v>21.92</v>
      </c>
      <c r="H577">
        <v>72.489999999999995</v>
      </c>
      <c r="I577">
        <v>17.16</v>
      </c>
      <c r="J577">
        <v>56.75</v>
      </c>
      <c r="K577">
        <v>4</v>
      </c>
      <c r="T577">
        <v>3</v>
      </c>
      <c r="U577">
        <v>1</v>
      </c>
      <c r="V577" t="s">
        <v>211</v>
      </c>
      <c r="W577">
        <v>72</v>
      </c>
      <c r="X577">
        <v>13</v>
      </c>
      <c r="Y577">
        <v>13</v>
      </c>
      <c r="Z577" t="s">
        <v>951</v>
      </c>
      <c r="AA577" t="s">
        <v>952</v>
      </c>
      <c r="AB577" t="s">
        <v>96</v>
      </c>
      <c r="AC577" t="s">
        <v>97</v>
      </c>
      <c r="AD577" t="s">
        <v>690</v>
      </c>
      <c r="AG577" t="s">
        <v>953</v>
      </c>
      <c r="AH577">
        <v>0</v>
      </c>
      <c r="AI577">
        <v>638</v>
      </c>
      <c r="AJ577">
        <v>70</v>
      </c>
      <c r="AK577">
        <v>8</v>
      </c>
      <c r="AL577">
        <v>1</v>
      </c>
    </row>
    <row r="578" spans="1:38" x14ac:dyDescent="0.3">
      <c r="A578" t="s">
        <v>685</v>
      </c>
      <c r="B578">
        <v>143647</v>
      </c>
      <c r="C578">
        <v>2</v>
      </c>
      <c r="D578" t="s">
        <v>949</v>
      </c>
      <c r="E578" t="s">
        <v>950</v>
      </c>
      <c r="F578">
        <v>8</v>
      </c>
      <c r="G578">
        <v>25.05</v>
      </c>
      <c r="H578">
        <v>82.83</v>
      </c>
      <c r="I578">
        <v>19.78</v>
      </c>
      <c r="J578">
        <v>65.39</v>
      </c>
      <c r="K578">
        <v>3</v>
      </c>
      <c r="T578">
        <v>3</v>
      </c>
      <c r="U578">
        <v>2</v>
      </c>
      <c r="V578" t="s">
        <v>211</v>
      </c>
      <c r="W578">
        <v>82</v>
      </c>
      <c r="X578">
        <v>13</v>
      </c>
      <c r="Y578">
        <v>13</v>
      </c>
      <c r="Z578" t="s">
        <v>951</v>
      </c>
      <c r="AA578" t="s">
        <v>952</v>
      </c>
      <c r="AB578" t="s">
        <v>96</v>
      </c>
      <c r="AC578" t="s">
        <v>97</v>
      </c>
      <c r="AD578" t="s">
        <v>690</v>
      </c>
      <c r="AG578" t="s">
        <v>953</v>
      </c>
      <c r="AH578">
        <v>0</v>
      </c>
      <c r="AI578">
        <v>638</v>
      </c>
      <c r="AJ578">
        <v>70</v>
      </c>
      <c r="AK578">
        <v>8</v>
      </c>
      <c r="AL578">
        <v>1</v>
      </c>
    </row>
    <row r="579" spans="1:38" x14ac:dyDescent="0.3">
      <c r="A579" t="s">
        <v>685</v>
      </c>
      <c r="B579">
        <v>143647</v>
      </c>
      <c r="C579">
        <v>3</v>
      </c>
      <c r="D579" t="s">
        <v>949</v>
      </c>
      <c r="E579" t="s">
        <v>950</v>
      </c>
      <c r="F579">
        <v>8</v>
      </c>
      <c r="G579">
        <v>27.07</v>
      </c>
      <c r="H579">
        <v>89.5</v>
      </c>
      <c r="I579">
        <v>21.28</v>
      </c>
      <c r="J579">
        <v>70.349999999999994</v>
      </c>
      <c r="K579">
        <v>1</v>
      </c>
      <c r="T579">
        <v>3</v>
      </c>
      <c r="U579">
        <v>2</v>
      </c>
      <c r="V579" t="s">
        <v>211</v>
      </c>
      <c r="W579">
        <v>89</v>
      </c>
      <c r="X579">
        <v>13</v>
      </c>
      <c r="Y579">
        <v>13</v>
      </c>
      <c r="Z579" t="s">
        <v>951</v>
      </c>
      <c r="AA579" t="s">
        <v>952</v>
      </c>
      <c r="AB579" t="s">
        <v>96</v>
      </c>
      <c r="AC579" t="s">
        <v>97</v>
      </c>
      <c r="AD579" t="s">
        <v>690</v>
      </c>
      <c r="AG579" t="s">
        <v>953</v>
      </c>
      <c r="AH579">
        <v>0</v>
      </c>
      <c r="AI579">
        <v>638</v>
      </c>
      <c r="AJ579">
        <v>70</v>
      </c>
      <c r="AK579">
        <v>8</v>
      </c>
      <c r="AL579">
        <v>1</v>
      </c>
    </row>
    <row r="580" spans="1:38" x14ac:dyDescent="0.3">
      <c r="A580" t="s">
        <v>685</v>
      </c>
      <c r="B580">
        <v>104487</v>
      </c>
      <c r="C580">
        <v>1</v>
      </c>
      <c r="D580" t="s">
        <v>954</v>
      </c>
      <c r="E580" t="s">
        <v>955</v>
      </c>
      <c r="F580">
        <v>16</v>
      </c>
      <c r="G580">
        <v>25.83</v>
      </c>
      <c r="H580">
        <v>85.39</v>
      </c>
      <c r="I580">
        <v>22.87</v>
      </c>
      <c r="J580">
        <v>75.62</v>
      </c>
      <c r="K580">
        <v>16</v>
      </c>
      <c r="T580">
        <v>3</v>
      </c>
      <c r="U580">
        <v>2</v>
      </c>
      <c r="V580" t="s">
        <v>93</v>
      </c>
      <c r="W580">
        <v>85</v>
      </c>
      <c r="X580">
        <v>10</v>
      </c>
      <c r="Y580">
        <v>10</v>
      </c>
      <c r="Z580" t="s">
        <v>956</v>
      </c>
      <c r="AA580" t="s">
        <v>957</v>
      </c>
      <c r="AB580" t="s">
        <v>96</v>
      </c>
      <c r="AC580" t="s">
        <v>97</v>
      </c>
      <c r="AD580" t="s">
        <v>690</v>
      </c>
      <c r="AG580" t="s">
        <v>958</v>
      </c>
      <c r="AH580">
        <v>0</v>
      </c>
      <c r="AI580">
        <v>301</v>
      </c>
      <c r="AJ580">
        <v>43</v>
      </c>
      <c r="AK580">
        <v>17</v>
      </c>
      <c r="AL580">
        <v>1.06</v>
      </c>
    </row>
    <row r="581" spans="1:38" x14ac:dyDescent="0.3">
      <c r="A581" t="s">
        <v>685</v>
      </c>
      <c r="B581">
        <v>124129</v>
      </c>
      <c r="C581">
        <v>1</v>
      </c>
      <c r="D581" t="s">
        <v>959</v>
      </c>
      <c r="E581" t="s">
        <v>822</v>
      </c>
      <c r="F581">
        <v>14</v>
      </c>
      <c r="G581">
        <v>10.09</v>
      </c>
      <c r="H581">
        <v>33.36</v>
      </c>
      <c r="I581">
        <v>8.9</v>
      </c>
      <c r="J581">
        <v>29.43</v>
      </c>
      <c r="K581">
        <v>1</v>
      </c>
      <c r="T581">
        <v>1</v>
      </c>
      <c r="U581">
        <v>1</v>
      </c>
      <c r="V581" t="s">
        <v>93</v>
      </c>
      <c r="W581" t="s">
        <v>960</v>
      </c>
      <c r="X581">
        <v>6</v>
      </c>
      <c r="Y581">
        <v>5</v>
      </c>
      <c r="Z581" t="s">
        <v>961</v>
      </c>
      <c r="AA581" t="s">
        <v>962</v>
      </c>
      <c r="AB581" t="s">
        <v>96</v>
      </c>
      <c r="AC581" t="s">
        <v>97</v>
      </c>
      <c r="AD581" t="s">
        <v>690</v>
      </c>
      <c r="AG581" t="s">
        <v>963</v>
      </c>
      <c r="AH581">
        <v>0</v>
      </c>
      <c r="AI581">
        <v>299</v>
      </c>
      <c r="AJ581">
        <v>79</v>
      </c>
      <c r="AK581">
        <v>7</v>
      </c>
      <c r="AL581">
        <v>0.5</v>
      </c>
    </row>
    <row r="582" spans="1:38" x14ac:dyDescent="0.3">
      <c r="A582" t="s">
        <v>685</v>
      </c>
      <c r="B582">
        <v>124129</v>
      </c>
      <c r="C582">
        <v>2</v>
      </c>
      <c r="D582" t="s">
        <v>959</v>
      </c>
      <c r="E582" t="s">
        <v>822</v>
      </c>
      <c r="F582">
        <v>14</v>
      </c>
      <c r="G582">
        <v>10.27</v>
      </c>
      <c r="H582">
        <v>33.97</v>
      </c>
      <c r="I582">
        <v>9.06</v>
      </c>
      <c r="J582">
        <v>29.97</v>
      </c>
      <c r="K582">
        <v>1</v>
      </c>
      <c r="T582">
        <v>1</v>
      </c>
      <c r="U582">
        <v>1</v>
      </c>
      <c r="V582" t="s">
        <v>93</v>
      </c>
      <c r="W582" t="s">
        <v>964</v>
      </c>
      <c r="X582">
        <v>6</v>
      </c>
      <c r="Y582">
        <v>5</v>
      </c>
      <c r="Z582" t="s">
        <v>961</v>
      </c>
      <c r="AA582" t="s">
        <v>962</v>
      </c>
      <c r="AB582" t="s">
        <v>96</v>
      </c>
      <c r="AC582" t="s">
        <v>97</v>
      </c>
      <c r="AD582" t="s">
        <v>690</v>
      </c>
      <c r="AG582" t="s">
        <v>963</v>
      </c>
      <c r="AH582">
        <v>0</v>
      </c>
      <c r="AI582">
        <v>299</v>
      </c>
      <c r="AJ582">
        <v>79</v>
      </c>
      <c r="AK582">
        <v>7</v>
      </c>
      <c r="AL582">
        <v>0.5</v>
      </c>
    </row>
    <row r="583" spans="1:38" x14ac:dyDescent="0.3">
      <c r="A583" t="s">
        <v>685</v>
      </c>
      <c r="B583">
        <v>124129</v>
      </c>
      <c r="C583">
        <v>3</v>
      </c>
      <c r="D583" t="s">
        <v>959</v>
      </c>
      <c r="E583" t="s">
        <v>822</v>
      </c>
      <c r="F583">
        <v>14</v>
      </c>
      <c r="G583">
        <v>13.66</v>
      </c>
      <c r="H583">
        <v>45.19</v>
      </c>
      <c r="I583">
        <v>12.05</v>
      </c>
      <c r="J583">
        <v>39.86</v>
      </c>
      <c r="K583">
        <v>2</v>
      </c>
      <c r="T583">
        <v>1</v>
      </c>
      <c r="U583">
        <v>1</v>
      </c>
      <c r="V583" t="s">
        <v>93</v>
      </c>
      <c r="W583" t="s">
        <v>965</v>
      </c>
      <c r="X583">
        <v>6</v>
      </c>
      <c r="Y583">
        <v>5</v>
      </c>
      <c r="Z583" t="s">
        <v>961</v>
      </c>
      <c r="AA583" t="s">
        <v>962</v>
      </c>
      <c r="AB583" t="s">
        <v>96</v>
      </c>
      <c r="AC583" t="s">
        <v>97</v>
      </c>
      <c r="AD583" t="s">
        <v>690</v>
      </c>
      <c r="AG583" t="s">
        <v>963</v>
      </c>
      <c r="AH583">
        <v>0</v>
      </c>
      <c r="AI583">
        <v>299</v>
      </c>
      <c r="AJ583">
        <v>79</v>
      </c>
      <c r="AK583">
        <v>7</v>
      </c>
      <c r="AL583">
        <v>0.5</v>
      </c>
    </row>
    <row r="584" spans="1:38" x14ac:dyDescent="0.3">
      <c r="A584" t="s">
        <v>685</v>
      </c>
      <c r="B584">
        <v>124129</v>
      </c>
      <c r="C584">
        <v>4</v>
      </c>
      <c r="D584" t="s">
        <v>959</v>
      </c>
      <c r="E584" t="s">
        <v>822</v>
      </c>
      <c r="F584">
        <v>14</v>
      </c>
      <c r="G584">
        <v>13.7</v>
      </c>
      <c r="H584">
        <v>45.3</v>
      </c>
      <c r="I584">
        <v>12.08</v>
      </c>
      <c r="J584">
        <v>39.96</v>
      </c>
      <c r="K584">
        <v>2</v>
      </c>
      <c r="T584">
        <v>1</v>
      </c>
      <c r="U584">
        <v>1</v>
      </c>
      <c r="V584" t="s">
        <v>93</v>
      </c>
      <c r="W584" t="s">
        <v>966</v>
      </c>
      <c r="X584">
        <v>6</v>
      </c>
      <c r="Y584">
        <v>5</v>
      </c>
      <c r="Z584" t="s">
        <v>961</v>
      </c>
      <c r="AA584" t="s">
        <v>962</v>
      </c>
      <c r="AB584" t="s">
        <v>96</v>
      </c>
      <c r="AC584" t="s">
        <v>97</v>
      </c>
      <c r="AD584" t="s">
        <v>690</v>
      </c>
      <c r="AG584" t="s">
        <v>963</v>
      </c>
      <c r="AH584">
        <v>0</v>
      </c>
      <c r="AI584">
        <v>299</v>
      </c>
      <c r="AJ584">
        <v>79</v>
      </c>
      <c r="AK584">
        <v>7</v>
      </c>
      <c r="AL584">
        <v>0.5</v>
      </c>
    </row>
    <row r="585" spans="1:38" x14ac:dyDescent="0.3">
      <c r="A585" t="s">
        <v>685</v>
      </c>
      <c r="B585">
        <v>124129</v>
      </c>
      <c r="C585">
        <v>5</v>
      </c>
      <c r="D585" t="s">
        <v>959</v>
      </c>
      <c r="E585" t="s">
        <v>822</v>
      </c>
      <c r="F585">
        <v>14</v>
      </c>
      <c r="G585">
        <v>20.27</v>
      </c>
      <c r="H585">
        <v>67.040000000000006</v>
      </c>
      <c r="I585">
        <v>17.88</v>
      </c>
      <c r="J585">
        <v>59.13</v>
      </c>
      <c r="K585">
        <v>4</v>
      </c>
      <c r="T585">
        <v>3</v>
      </c>
      <c r="U585">
        <v>1</v>
      </c>
      <c r="V585" t="s">
        <v>93</v>
      </c>
      <c r="W585">
        <v>67</v>
      </c>
      <c r="X585">
        <v>6</v>
      </c>
      <c r="Y585">
        <v>5</v>
      </c>
      <c r="Z585" t="s">
        <v>961</v>
      </c>
      <c r="AA585" t="s">
        <v>962</v>
      </c>
      <c r="AB585" t="s">
        <v>96</v>
      </c>
      <c r="AC585" t="s">
        <v>97</v>
      </c>
      <c r="AD585" t="s">
        <v>690</v>
      </c>
      <c r="AG585" t="s">
        <v>963</v>
      </c>
      <c r="AH585">
        <v>0</v>
      </c>
      <c r="AI585">
        <v>299</v>
      </c>
      <c r="AJ585">
        <v>79</v>
      </c>
      <c r="AK585">
        <v>7</v>
      </c>
      <c r="AL585">
        <v>0.5</v>
      </c>
    </row>
    <row r="586" spans="1:38" x14ac:dyDescent="0.3">
      <c r="A586" t="s">
        <v>685</v>
      </c>
      <c r="B586">
        <v>124129</v>
      </c>
      <c r="C586">
        <v>6</v>
      </c>
      <c r="D586" t="s">
        <v>959</v>
      </c>
      <c r="E586" t="s">
        <v>822</v>
      </c>
      <c r="F586">
        <v>14</v>
      </c>
      <c r="G586">
        <v>32.159999999999997</v>
      </c>
      <c r="H586">
        <v>106.33</v>
      </c>
      <c r="I586">
        <v>28.37</v>
      </c>
      <c r="J586">
        <v>93.79</v>
      </c>
      <c r="K586">
        <v>4</v>
      </c>
      <c r="T586">
        <v>3</v>
      </c>
      <c r="U586">
        <v>2</v>
      </c>
      <c r="V586" t="s">
        <v>93</v>
      </c>
      <c r="W586">
        <v>106</v>
      </c>
      <c r="X586">
        <v>6</v>
      </c>
      <c r="Y586">
        <v>5</v>
      </c>
      <c r="Z586" t="s">
        <v>961</v>
      </c>
      <c r="AA586" t="s">
        <v>962</v>
      </c>
      <c r="AB586" t="s">
        <v>96</v>
      </c>
      <c r="AC586" t="s">
        <v>97</v>
      </c>
      <c r="AD586" t="s">
        <v>690</v>
      </c>
      <c r="AG586" t="s">
        <v>963</v>
      </c>
      <c r="AH586">
        <v>0</v>
      </c>
      <c r="AI586">
        <v>299</v>
      </c>
      <c r="AJ586">
        <v>79</v>
      </c>
      <c r="AK586">
        <v>7</v>
      </c>
      <c r="AL586">
        <v>0.5</v>
      </c>
    </row>
    <row r="587" spans="1:38" x14ac:dyDescent="0.3">
      <c r="A587" t="s">
        <v>685</v>
      </c>
      <c r="B587">
        <v>113843</v>
      </c>
      <c r="C587">
        <v>1</v>
      </c>
      <c r="D587" t="s">
        <v>396</v>
      </c>
      <c r="E587" t="s">
        <v>935</v>
      </c>
      <c r="F587">
        <v>9</v>
      </c>
      <c r="G587">
        <v>19.32</v>
      </c>
      <c r="H587">
        <v>63.9</v>
      </c>
      <c r="I587">
        <v>16.27</v>
      </c>
      <c r="J587">
        <v>53.79</v>
      </c>
      <c r="K587">
        <v>3</v>
      </c>
      <c r="T587">
        <v>2</v>
      </c>
      <c r="U587">
        <v>1</v>
      </c>
      <c r="V587" t="s">
        <v>93</v>
      </c>
      <c r="W587">
        <v>63</v>
      </c>
      <c r="X587">
        <v>4</v>
      </c>
      <c r="Y587">
        <v>4</v>
      </c>
      <c r="Z587" t="s">
        <v>967</v>
      </c>
      <c r="AA587" t="s">
        <v>968</v>
      </c>
      <c r="AB587" t="s">
        <v>96</v>
      </c>
      <c r="AC587" t="s">
        <v>97</v>
      </c>
      <c r="AD587" t="s">
        <v>690</v>
      </c>
      <c r="AG587" t="s">
        <v>969</v>
      </c>
      <c r="AH587">
        <v>0</v>
      </c>
      <c r="AI587">
        <v>685</v>
      </c>
      <c r="AJ587">
        <v>77</v>
      </c>
      <c r="AK587">
        <v>9</v>
      </c>
      <c r="AL587">
        <v>1</v>
      </c>
    </row>
    <row r="588" spans="1:38" x14ac:dyDescent="0.3">
      <c r="A588" t="s">
        <v>685</v>
      </c>
      <c r="B588">
        <v>113843</v>
      </c>
      <c r="C588">
        <v>2</v>
      </c>
      <c r="D588" t="s">
        <v>396</v>
      </c>
      <c r="E588" t="s">
        <v>935</v>
      </c>
      <c r="F588">
        <v>9</v>
      </c>
      <c r="G588">
        <v>20.59</v>
      </c>
      <c r="H588">
        <v>68.09</v>
      </c>
      <c r="I588">
        <v>17.21</v>
      </c>
      <c r="J588">
        <v>56.91</v>
      </c>
      <c r="K588">
        <v>3</v>
      </c>
      <c r="T588">
        <v>3</v>
      </c>
      <c r="U588">
        <v>1</v>
      </c>
      <c r="V588" t="s">
        <v>93</v>
      </c>
      <c r="W588">
        <v>68</v>
      </c>
      <c r="X588">
        <v>4</v>
      </c>
      <c r="Y588">
        <v>4</v>
      </c>
      <c r="Z588" t="s">
        <v>967</v>
      </c>
      <c r="AA588" t="s">
        <v>968</v>
      </c>
      <c r="AB588" t="s">
        <v>96</v>
      </c>
      <c r="AC588" t="s">
        <v>97</v>
      </c>
      <c r="AD588" t="s">
        <v>690</v>
      </c>
      <c r="AG588" t="s">
        <v>969</v>
      </c>
      <c r="AH588">
        <v>0</v>
      </c>
      <c r="AI588">
        <v>685</v>
      </c>
      <c r="AJ588">
        <v>77</v>
      </c>
      <c r="AK588">
        <v>9</v>
      </c>
      <c r="AL588">
        <v>1</v>
      </c>
    </row>
    <row r="589" spans="1:38" x14ac:dyDescent="0.3">
      <c r="A589" t="s">
        <v>685</v>
      </c>
      <c r="B589">
        <v>113843</v>
      </c>
      <c r="C589">
        <v>3</v>
      </c>
      <c r="D589" t="s">
        <v>396</v>
      </c>
      <c r="E589" t="s">
        <v>935</v>
      </c>
      <c r="F589">
        <v>9</v>
      </c>
      <c r="G589">
        <v>25.67</v>
      </c>
      <c r="H589">
        <v>84.89</v>
      </c>
      <c r="I589">
        <v>21.83</v>
      </c>
      <c r="J589">
        <v>72.17</v>
      </c>
      <c r="K589">
        <v>3</v>
      </c>
      <c r="T589">
        <v>3</v>
      </c>
      <c r="U589">
        <v>2</v>
      </c>
      <c r="V589" t="s">
        <v>93</v>
      </c>
      <c r="W589">
        <v>84</v>
      </c>
      <c r="X589">
        <v>4</v>
      </c>
      <c r="Y589">
        <v>4</v>
      </c>
      <c r="Z589" t="s">
        <v>967</v>
      </c>
      <c r="AA589" t="s">
        <v>968</v>
      </c>
      <c r="AB589" t="s">
        <v>96</v>
      </c>
      <c r="AC589" t="s">
        <v>97</v>
      </c>
      <c r="AD589" t="s">
        <v>690</v>
      </c>
      <c r="AG589" t="s">
        <v>969</v>
      </c>
      <c r="AH589">
        <v>0</v>
      </c>
      <c r="AI589">
        <v>685</v>
      </c>
      <c r="AJ589">
        <v>77</v>
      </c>
      <c r="AK589">
        <v>9</v>
      </c>
      <c r="AL589">
        <v>1</v>
      </c>
    </row>
    <row r="590" spans="1:38" x14ac:dyDescent="0.3">
      <c r="A590" t="s">
        <v>685</v>
      </c>
      <c r="B590">
        <v>134312</v>
      </c>
      <c r="C590">
        <v>1</v>
      </c>
      <c r="D590" t="s">
        <v>970</v>
      </c>
      <c r="E590" t="s">
        <v>971</v>
      </c>
      <c r="F590">
        <v>8</v>
      </c>
      <c r="G590">
        <v>17.43</v>
      </c>
      <c r="H590">
        <v>57.64</v>
      </c>
      <c r="I590">
        <v>13.55</v>
      </c>
      <c r="J590">
        <v>44.8</v>
      </c>
      <c r="K590">
        <v>8</v>
      </c>
      <c r="T590">
        <v>2</v>
      </c>
      <c r="U590">
        <v>1</v>
      </c>
      <c r="V590" t="s">
        <v>93</v>
      </c>
      <c r="W590">
        <v>57</v>
      </c>
      <c r="X590">
        <v>7</v>
      </c>
      <c r="Y590">
        <v>7</v>
      </c>
      <c r="Z590" t="s">
        <v>972</v>
      </c>
      <c r="AA590" t="s">
        <v>973</v>
      </c>
      <c r="AB590" t="s">
        <v>96</v>
      </c>
      <c r="AC590" t="s">
        <v>97</v>
      </c>
      <c r="AD590" t="s">
        <v>690</v>
      </c>
      <c r="AG590" t="s">
        <v>974</v>
      </c>
      <c r="AH590">
        <v>0</v>
      </c>
      <c r="AI590">
        <v>440</v>
      </c>
      <c r="AJ590">
        <v>75</v>
      </c>
      <c r="AK590">
        <v>8</v>
      </c>
      <c r="AL590">
        <v>1</v>
      </c>
    </row>
    <row r="591" spans="1:38" x14ac:dyDescent="0.3">
      <c r="A591" t="s">
        <v>685</v>
      </c>
      <c r="B591">
        <v>134038</v>
      </c>
      <c r="C591">
        <v>1</v>
      </c>
      <c r="D591" t="s">
        <v>975</v>
      </c>
      <c r="E591" t="s">
        <v>950</v>
      </c>
      <c r="F591">
        <v>52</v>
      </c>
      <c r="G591">
        <v>21.38</v>
      </c>
      <c r="H591">
        <v>70.69</v>
      </c>
      <c r="I591">
        <v>18.100000000000001</v>
      </c>
      <c r="J591">
        <v>59.84</v>
      </c>
      <c r="K591">
        <v>26</v>
      </c>
      <c r="T591">
        <v>3</v>
      </c>
      <c r="U591">
        <v>1</v>
      </c>
      <c r="V591" t="s">
        <v>93</v>
      </c>
      <c r="W591" t="s">
        <v>490</v>
      </c>
      <c r="X591">
        <v>14</v>
      </c>
      <c r="Y591">
        <v>14</v>
      </c>
      <c r="Z591" t="s">
        <v>976</v>
      </c>
      <c r="AA591" t="s">
        <v>977</v>
      </c>
      <c r="AB591" t="s">
        <v>96</v>
      </c>
      <c r="AC591" t="s">
        <v>97</v>
      </c>
      <c r="AD591" t="s">
        <v>690</v>
      </c>
      <c r="AG591" t="s">
        <v>978</v>
      </c>
      <c r="AH591">
        <v>0</v>
      </c>
      <c r="AI591">
        <v>761</v>
      </c>
      <c r="AJ591">
        <v>73</v>
      </c>
      <c r="AK591">
        <v>46</v>
      </c>
      <c r="AL591">
        <v>0.88</v>
      </c>
    </row>
    <row r="592" spans="1:38" x14ac:dyDescent="0.3">
      <c r="A592" t="s">
        <v>685</v>
      </c>
      <c r="B592">
        <v>134038</v>
      </c>
      <c r="C592">
        <v>2</v>
      </c>
      <c r="D592" t="s">
        <v>975</v>
      </c>
      <c r="E592" t="s">
        <v>950</v>
      </c>
      <c r="F592">
        <v>52</v>
      </c>
      <c r="G592">
        <v>21.28</v>
      </c>
      <c r="H592">
        <v>70.349999999999994</v>
      </c>
      <c r="I592">
        <v>17.809999999999999</v>
      </c>
      <c r="J592">
        <v>58.9</v>
      </c>
      <c r="K592">
        <v>13</v>
      </c>
      <c r="T592">
        <v>3</v>
      </c>
      <c r="U592">
        <v>1</v>
      </c>
      <c r="V592" t="s">
        <v>93</v>
      </c>
      <c r="W592" t="s">
        <v>979</v>
      </c>
      <c r="X592">
        <v>14</v>
      </c>
      <c r="Y592">
        <v>14</v>
      </c>
      <c r="Z592" t="s">
        <v>976</v>
      </c>
      <c r="AA592" t="s">
        <v>977</v>
      </c>
      <c r="AB592" t="s">
        <v>96</v>
      </c>
      <c r="AC592" t="s">
        <v>97</v>
      </c>
      <c r="AD592" t="s">
        <v>690</v>
      </c>
      <c r="AG592" t="s">
        <v>978</v>
      </c>
      <c r="AH592">
        <v>0</v>
      </c>
      <c r="AI592">
        <v>761</v>
      </c>
      <c r="AJ592">
        <v>73</v>
      </c>
      <c r="AK592">
        <v>46</v>
      </c>
      <c r="AL592">
        <v>0.88</v>
      </c>
    </row>
    <row r="593" spans="1:38" x14ac:dyDescent="0.3">
      <c r="A593" t="s">
        <v>685</v>
      </c>
      <c r="B593">
        <v>134038</v>
      </c>
      <c r="C593">
        <v>3</v>
      </c>
      <c r="D593" t="s">
        <v>975</v>
      </c>
      <c r="E593" t="s">
        <v>950</v>
      </c>
      <c r="F593">
        <v>52</v>
      </c>
      <c r="G593">
        <v>27.32</v>
      </c>
      <c r="H593">
        <v>90.33</v>
      </c>
      <c r="I593">
        <v>22.69</v>
      </c>
      <c r="J593">
        <v>75.02</v>
      </c>
      <c r="K593">
        <v>13</v>
      </c>
      <c r="T593">
        <v>3</v>
      </c>
      <c r="U593">
        <v>2</v>
      </c>
      <c r="V593" t="s">
        <v>93</v>
      </c>
      <c r="W593">
        <v>90</v>
      </c>
      <c r="X593">
        <v>14</v>
      </c>
      <c r="Y593">
        <v>14</v>
      </c>
      <c r="Z593" t="s">
        <v>976</v>
      </c>
      <c r="AA593" t="s">
        <v>977</v>
      </c>
      <c r="AB593" t="s">
        <v>96</v>
      </c>
      <c r="AC593" t="s">
        <v>97</v>
      </c>
      <c r="AD593" t="s">
        <v>690</v>
      </c>
      <c r="AG593" t="s">
        <v>978</v>
      </c>
      <c r="AH593">
        <v>0</v>
      </c>
      <c r="AI593">
        <v>761</v>
      </c>
      <c r="AJ593">
        <v>73</v>
      </c>
      <c r="AK593">
        <v>46</v>
      </c>
      <c r="AL593">
        <v>0.88</v>
      </c>
    </row>
    <row r="594" spans="1:38" x14ac:dyDescent="0.3">
      <c r="A594" t="s">
        <v>685</v>
      </c>
      <c r="B594">
        <v>133895</v>
      </c>
      <c r="C594">
        <v>1</v>
      </c>
      <c r="D594" t="s">
        <v>980</v>
      </c>
      <c r="E594" t="s">
        <v>981</v>
      </c>
      <c r="F594">
        <v>5</v>
      </c>
      <c r="G594">
        <v>24.08</v>
      </c>
      <c r="H594">
        <v>79.62</v>
      </c>
      <c r="I594">
        <v>17.989999999999998</v>
      </c>
      <c r="J594">
        <v>59.5</v>
      </c>
      <c r="K594">
        <v>2</v>
      </c>
      <c r="T594">
        <v>3</v>
      </c>
      <c r="U594">
        <v>2</v>
      </c>
      <c r="V594" t="s">
        <v>93</v>
      </c>
      <c r="W594" t="s">
        <v>474</v>
      </c>
      <c r="X594">
        <v>6</v>
      </c>
      <c r="Y594">
        <v>5</v>
      </c>
      <c r="Z594" t="s">
        <v>982</v>
      </c>
      <c r="AA594" t="s">
        <v>983</v>
      </c>
      <c r="AB594" t="s">
        <v>96</v>
      </c>
      <c r="AC594" t="s">
        <v>97</v>
      </c>
      <c r="AD594" t="s">
        <v>690</v>
      </c>
      <c r="AG594" t="s">
        <v>984</v>
      </c>
      <c r="AH594">
        <v>0</v>
      </c>
      <c r="AI594">
        <v>358</v>
      </c>
      <c r="AJ594">
        <v>72</v>
      </c>
      <c r="AK594">
        <v>4</v>
      </c>
      <c r="AL594">
        <v>0.8</v>
      </c>
    </row>
    <row r="595" spans="1:38" x14ac:dyDescent="0.3">
      <c r="A595" t="s">
        <v>685</v>
      </c>
      <c r="B595">
        <v>133895</v>
      </c>
      <c r="C595">
        <v>2</v>
      </c>
      <c r="D595" t="s">
        <v>980</v>
      </c>
      <c r="E595" t="s">
        <v>981</v>
      </c>
      <c r="F595">
        <v>5</v>
      </c>
      <c r="G595">
        <v>24.13</v>
      </c>
      <c r="H595">
        <v>79.78</v>
      </c>
      <c r="I595">
        <v>18.03</v>
      </c>
      <c r="J595">
        <v>59.63</v>
      </c>
      <c r="K595">
        <v>2</v>
      </c>
      <c r="T595">
        <v>3</v>
      </c>
      <c r="U595">
        <v>2</v>
      </c>
      <c r="V595" t="s">
        <v>93</v>
      </c>
      <c r="W595" t="s">
        <v>475</v>
      </c>
      <c r="X595">
        <v>6</v>
      </c>
      <c r="Y595">
        <v>5</v>
      </c>
      <c r="Z595" t="s">
        <v>982</v>
      </c>
      <c r="AA595" t="s">
        <v>983</v>
      </c>
      <c r="AB595" t="s">
        <v>96</v>
      </c>
      <c r="AC595" t="s">
        <v>97</v>
      </c>
      <c r="AD595" t="s">
        <v>690</v>
      </c>
      <c r="AG595" t="s">
        <v>984</v>
      </c>
      <c r="AH595">
        <v>0</v>
      </c>
      <c r="AI595">
        <v>358</v>
      </c>
      <c r="AJ595">
        <v>72</v>
      </c>
      <c r="AK595">
        <v>4</v>
      </c>
      <c r="AL595">
        <v>0.8</v>
      </c>
    </row>
    <row r="596" spans="1:38" x14ac:dyDescent="0.3">
      <c r="A596" t="s">
        <v>685</v>
      </c>
      <c r="B596">
        <v>133895</v>
      </c>
      <c r="C596">
        <v>3</v>
      </c>
      <c r="D596" t="s">
        <v>980</v>
      </c>
      <c r="E596" t="s">
        <v>981</v>
      </c>
      <c r="F596">
        <v>5</v>
      </c>
      <c r="G596">
        <v>31.71</v>
      </c>
      <c r="H596">
        <v>104.83</v>
      </c>
      <c r="I596">
        <v>23.7</v>
      </c>
      <c r="J596">
        <v>78.38</v>
      </c>
      <c r="K596">
        <v>1</v>
      </c>
      <c r="T596">
        <v>3</v>
      </c>
      <c r="U596">
        <v>2</v>
      </c>
      <c r="V596" t="s">
        <v>93</v>
      </c>
      <c r="W596">
        <v>104</v>
      </c>
      <c r="X596">
        <v>6</v>
      </c>
      <c r="Y596">
        <v>5</v>
      </c>
      <c r="Z596" t="s">
        <v>982</v>
      </c>
      <c r="AA596" t="s">
        <v>983</v>
      </c>
      <c r="AB596" t="s">
        <v>96</v>
      </c>
      <c r="AC596" t="s">
        <v>97</v>
      </c>
      <c r="AD596" t="s">
        <v>690</v>
      </c>
      <c r="AG596" t="s">
        <v>984</v>
      </c>
      <c r="AH596">
        <v>0</v>
      </c>
      <c r="AI596">
        <v>358</v>
      </c>
      <c r="AJ596">
        <v>72</v>
      </c>
      <c r="AK596">
        <v>4</v>
      </c>
      <c r="AL596">
        <v>0.8</v>
      </c>
    </row>
    <row r="597" spans="1:38" x14ac:dyDescent="0.3">
      <c r="A597" t="s">
        <v>685</v>
      </c>
      <c r="B597">
        <v>133944</v>
      </c>
      <c r="C597">
        <v>1</v>
      </c>
      <c r="D597" t="s">
        <v>985</v>
      </c>
      <c r="E597" t="s">
        <v>986</v>
      </c>
      <c r="F597">
        <v>99</v>
      </c>
      <c r="G597">
        <v>24.57</v>
      </c>
      <c r="H597">
        <v>81.25</v>
      </c>
      <c r="I597">
        <v>19.71</v>
      </c>
      <c r="J597">
        <v>65.19</v>
      </c>
      <c r="K597">
        <v>9</v>
      </c>
      <c r="T597">
        <v>3</v>
      </c>
      <c r="U597">
        <v>2</v>
      </c>
      <c r="V597" t="s">
        <v>93</v>
      </c>
      <c r="W597" t="s">
        <v>502</v>
      </c>
      <c r="X597">
        <v>16</v>
      </c>
      <c r="Y597">
        <v>16</v>
      </c>
      <c r="Z597" t="s">
        <v>987</v>
      </c>
      <c r="AA597" t="s">
        <v>988</v>
      </c>
      <c r="AB597" t="s">
        <v>96</v>
      </c>
      <c r="AC597" t="s">
        <v>97</v>
      </c>
      <c r="AD597" t="s">
        <v>690</v>
      </c>
      <c r="AG597" t="s">
        <v>989</v>
      </c>
      <c r="AH597">
        <v>0</v>
      </c>
      <c r="AI597">
        <v>699</v>
      </c>
      <c r="AJ597">
        <v>78</v>
      </c>
      <c r="AK597">
        <v>110</v>
      </c>
      <c r="AL597">
        <v>1.1100000000000001</v>
      </c>
    </row>
    <row r="598" spans="1:38" x14ac:dyDescent="0.3">
      <c r="A598" t="s">
        <v>685</v>
      </c>
      <c r="B598">
        <v>133944</v>
      </c>
      <c r="C598">
        <v>2</v>
      </c>
      <c r="D598" t="s">
        <v>985</v>
      </c>
      <c r="E598" t="s">
        <v>986</v>
      </c>
      <c r="F598">
        <v>99</v>
      </c>
      <c r="G598">
        <v>25.31</v>
      </c>
      <c r="H598">
        <v>83.69</v>
      </c>
      <c r="I598">
        <v>20.260000000000002</v>
      </c>
      <c r="J598">
        <v>67</v>
      </c>
      <c r="K598">
        <v>9</v>
      </c>
      <c r="T598">
        <v>3</v>
      </c>
      <c r="U598">
        <v>2</v>
      </c>
      <c r="V598" t="s">
        <v>93</v>
      </c>
      <c r="W598" t="s">
        <v>990</v>
      </c>
      <c r="X598">
        <v>16</v>
      </c>
      <c r="Y598">
        <v>16</v>
      </c>
      <c r="Z598" t="s">
        <v>987</v>
      </c>
      <c r="AA598" t="s">
        <v>988</v>
      </c>
      <c r="AB598" t="s">
        <v>96</v>
      </c>
      <c r="AC598" t="s">
        <v>97</v>
      </c>
      <c r="AD598" t="s">
        <v>690</v>
      </c>
      <c r="AG598" t="s">
        <v>989</v>
      </c>
      <c r="AH598">
        <v>0</v>
      </c>
      <c r="AI598">
        <v>699</v>
      </c>
      <c r="AJ598">
        <v>78</v>
      </c>
      <c r="AK598">
        <v>110</v>
      </c>
      <c r="AL598">
        <v>1.1100000000000001</v>
      </c>
    </row>
    <row r="599" spans="1:38" x14ac:dyDescent="0.3">
      <c r="A599" t="s">
        <v>685</v>
      </c>
      <c r="B599">
        <v>133944</v>
      </c>
      <c r="C599">
        <v>3</v>
      </c>
      <c r="D599" t="s">
        <v>985</v>
      </c>
      <c r="E599" t="s">
        <v>986</v>
      </c>
      <c r="F599">
        <v>99</v>
      </c>
      <c r="G599">
        <v>25.34</v>
      </c>
      <c r="H599">
        <v>83.77</v>
      </c>
      <c r="I599">
        <v>20.399999999999999</v>
      </c>
      <c r="J599">
        <v>67.47</v>
      </c>
      <c r="K599">
        <v>9</v>
      </c>
      <c r="T599">
        <v>3</v>
      </c>
      <c r="U599">
        <v>2</v>
      </c>
      <c r="V599" t="s">
        <v>93</v>
      </c>
      <c r="W599" t="s">
        <v>505</v>
      </c>
      <c r="X599">
        <v>16</v>
      </c>
      <c r="Y599">
        <v>16</v>
      </c>
      <c r="Z599" t="s">
        <v>987</v>
      </c>
      <c r="AA599" t="s">
        <v>988</v>
      </c>
      <c r="AB599" t="s">
        <v>96</v>
      </c>
      <c r="AC599" t="s">
        <v>97</v>
      </c>
      <c r="AD599" t="s">
        <v>690</v>
      </c>
      <c r="AG599" t="s">
        <v>989</v>
      </c>
      <c r="AH599">
        <v>0</v>
      </c>
      <c r="AI599">
        <v>699</v>
      </c>
      <c r="AJ599">
        <v>78</v>
      </c>
      <c r="AK599">
        <v>110</v>
      </c>
      <c r="AL599">
        <v>1.1100000000000001</v>
      </c>
    </row>
    <row r="600" spans="1:38" x14ac:dyDescent="0.3">
      <c r="A600" t="s">
        <v>685</v>
      </c>
      <c r="B600">
        <v>133944</v>
      </c>
      <c r="C600">
        <v>4</v>
      </c>
      <c r="D600" t="s">
        <v>985</v>
      </c>
      <c r="E600" t="s">
        <v>986</v>
      </c>
      <c r="F600">
        <v>99</v>
      </c>
      <c r="G600">
        <v>25.18</v>
      </c>
      <c r="H600">
        <v>83.25</v>
      </c>
      <c r="I600">
        <v>20.23</v>
      </c>
      <c r="J600">
        <v>66.88</v>
      </c>
      <c r="K600">
        <v>9</v>
      </c>
      <c r="T600">
        <v>3</v>
      </c>
      <c r="U600">
        <v>2</v>
      </c>
      <c r="V600" t="s">
        <v>93</v>
      </c>
      <c r="W600" t="s">
        <v>506</v>
      </c>
      <c r="X600">
        <v>16</v>
      </c>
      <c r="Y600">
        <v>16</v>
      </c>
      <c r="Z600" t="s">
        <v>987</v>
      </c>
      <c r="AA600" t="s">
        <v>988</v>
      </c>
      <c r="AB600" t="s">
        <v>96</v>
      </c>
      <c r="AC600" t="s">
        <v>97</v>
      </c>
      <c r="AD600" t="s">
        <v>690</v>
      </c>
      <c r="AG600" t="s">
        <v>989</v>
      </c>
      <c r="AH600">
        <v>0</v>
      </c>
      <c r="AI600">
        <v>699</v>
      </c>
      <c r="AJ600">
        <v>78</v>
      </c>
      <c r="AK600">
        <v>110</v>
      </c>
      <c r="AL600">
        <v>1.1100000000000001</v>
      </c>
    </row>
    <row r="601" spans="1:38" x14ac:dyDescent="0.3">
      <c r="A601" t="s">
        <v>685</v>
      </c>
      <c r="B601">
        <v>133944</v>
      </c>
      <c r="C601">
        <v>5</v>
      </c>
      <c r="D601" t="s">
        <v>985</v>
      </c>
      <c r="E601" t="s">
        <v>986</v>
      </c>
      <c r="F601">
        <v>99</v>
      </c>
      <c r="G601">
        <v>25.63</v>
      </c>
      <c r="H601">
        <v>84.73</v>
      </c>
      <c r="I601">
        <v>20.62</v>
      </c>
      <c r="J601">
        <v>68.180000000000007</v>
      </c>
      <c r="K601">
        <v>9</v>
      </c>
      <c r="T601">
        <v>3</v>
      </c>
      <c r="U601">
        <v>2</v>
      </c>
      <c r="V601" t="s">
        <v>93</v>
      </c>
      <c r="W601" t="s">
        <v>819</v>
      </c>
      <c r="X601">
        <v>16</v>
      </c>
      <c r="Y601">
        <v>16</v>
      </c>
      <c r="Z601" t="s">
        <v>987</v>
      </c>
      <c r="AA601" t="s">
        <v>988</v>
      </c>
      <c r="AB601" t="s">
        <v>96</v>
      </c>
      <c r="AC601" t="s">
        <v>97</v>
      </c>
      <c r="AD601" t="s">
        <v>690</v>
      </c>
      <c r="AG601" t="s">
        <v>989</v>
      </c>
      <c r="AH601">
        <v>0</v>
      </c>
      <c r="AI601">
        <v>699</v>
      </c>
      <c r="AJ601">
        <v>78</v>
      </c>
      <c r="AK601">
        <v>110</v>
      </c>
      <c r="AL601">
        <v>1.1100000000000001</v>
      </c>
    </row>
    <row r="602" spans="1:38" x14ac:dyDescent="0.3">
      <c r="A602" t="s">
        <v>685</v>
      </c>
      <c r="B602">
        <v>133944</v>
      </c>
      <c r="C602">
        <v>6</v>
      </c>
      <c r="D602" t="s">
        <v>985</v>
      </c>
      <c r="E602" t="s">
        <v>986</v>
      </c>
      <c r="F602">
        <v>99</v>
      </c>
      <c r="G602">
        <v>26.05</v>
      </c>
      <c r="H602">
        <v>86.12</v>
      </c>
      <c r="I602">
        <v>20.83</v>
      </c>
      <c r="J602">
        <v>68.89</v>
      </c>
      <c r="K602">
        <v>9</v>
      </c>
      <c r="T602">
        <v>3</v>
      </c>
      <c r="U602">
        <v>2</v>
      </c>
      <c r="V602" t="s">
        <v>93</v>
      </c>
      <c r="W602" t="s">
        <v>991</v>
      </c>
      <c r="X602">
        <v>16</v>
      </c>
      <c r="Y602">
        <v>16</v>
      </c>
      <c r="Z602" t="s">
        <v>987</v>
      </c>
      <c r="AA602" t="s">
        <v>988</v>
      </c>
      <c r="AB602" t="s">
        <v>96</v>
      </c>
      <c r="AC602" t="s">
        <v>97</v>
      </c>
      <c r="AD602" t="s">
        <v>690</v>
      </c>
      <c r="AG602" t="s">
        <v>989</v>
      </c>
      <c r="AH602">
        <v>0</v>
      </c>
      <c r="AI602">
        <v>699</v>
      </c>
      <c r="AJ602">
        <v>78</v>
      </c>
      <c r="AK602">
        <v>110</v>
      </c>
      <c r="AL602">
        <v>1.1100000000000001</v>
      </c>
    </row>
    <row r="603" spans="1:38" x14ac:dyDescent="0.3">
      <c r="A603" t="s">
        <v>685</v>
      </c>
      <c r="B603">
        <v>133944</v>
      </c>
      <c r="C603">
        <v>7</v>
      </c>
      <c r="D603" t="s">
        <v>985</v>
      </c>
      <c r="E603" t="s">
        <v>986</v>
      </c>
      <c r="F603">
        <v>99</v>
      </c>
      <c r="G603">
        <v>26.57</v>
      </c>
      <c r="H603">
        <v>87.84</v>
      </c>
      <c r="I603">
        <v>21.37</v>
      </c>
      <c r="J603">
        <v>70.67</v>
      </c>
      <c r="K603">
        <v>18</v>
      </c>
      <c r="T603">
        <v>3</v>
      </c>
      <c r="U603">
        <v>2</v>
      </c>
      <c r="V603" t="s">
        <v>93</v>
      </c>
      <c r="W603" t="s">
        <v>223</v>
      </c>
      <c r="X603">
        <v>16</v>
      </c>
      <c r="Y603">
        <v>16</v>
      </c>
      <c r="Z603" t="s">
        <v>987</v>
      </c>
      <c r="AA603" t="s">
        <v>988</v>
      </c>
      <c r="AB603" t="s">
        <v>96</v>
      </c>
      <c r="AC603" t="s">
        <v>97</v>
      </c>
      <c r="AD603" t="s">
        <v>690</v>
      </c>
      <c r="AG603" t="s">
        <v>989</v>
      </c>
      <c r="AH603">
        <v>0</v>
      </c>
      <c r="AI603">
        <v>699</v>
      </c>
      <c r="AJ603">
        <v>78</v>
      </c>
      <c r="AK603">
        <v>110</v>
      </c>
      <c r="AL603">
        <v>1.1100000000000001</v>
      </c>
    </row>
    <row r="604" spans="1:38" x14ac:dyDescent="0.3">
      <c r="A604" t="s">
        <v>685</v>
      </c>
      <c r="B604">
        <v>133944</v>
      </c>
      <c r="C604">
        <v>8</v>
      </c>
      <c r="D604" t="s">
        <v>985</v>
      </c>
      <c r="E604" t="s">
        <v>986</v>
      </c>
      <c r="F604">
        <v>99</v>
      </c>
      <c r="G604">
        <v>26.49</v>
      </c>
      <c r="H604">
        <v>87.58</v>
      </c>
      <c r="I604">
        <v>21.11</v>
      </c>
      <c r="J604">
        <v>69.790000000000006</v>
      </c>
      <c r="K604">
        <v>9</v>
      </c>
      <c r="T604">
        <v>3</v>
      </c>
      <c r="U604">
        <v>2</v>
      </c>
      <c r="V604" t="s">
        <v>93</v>
      </c>
      <c r="W604" t="s">
        <v>223</v>
      </c>
      <c r="X604">
        <v>16</v>
      </c>
      <c r="Y604">
        <v>16</v>
      </c>
      <c r="Z604" t="s">
        <v>987</v>
      </c>
      <c r="AA604" t="s">
        <v>988</v>
      </c>
      <c r="AB604" t="s">
        <v>96</v>
      </c>
      <c r="AC604" t="s">
        <v>97</v>
      </c>
      <c r="AD604" t="s">
        <v>690</v>
      </c>
      <c r="AG604" t="s">
        <v>989</v>
      </c>
      <c r="AH604">
        <v>0</v>
      </c>
      <c r="AI604">
        <v>699</v>
      </c>
      <c r="AJ604">
        <v>78</v>
      </c>
      <c r="AK604">
        <v>110</v>
      </c>
      <c r="AL604">
        <v>1.1100000000000001</v>
      </c>
    </row>
    <row r="605" spans="1:38" x14ac:dyDescent="0.3">
      <c r="A605" t="s">
        <v>685</v>
      </c>
      <c r="B605">
        <v>133944</v>
      </c>
      <c r="C605">
        <v>9</v>
      </c>
      <c r="D605" t="s">
        <v>985</v>
      </c>
      <c r="E605" t="s">
        <v>986</v>
      </c>
      <c r="F605">
        <v>99</v>
      </c>
      <c r="G605">
        <v>26.87</v>
      </c>
      <c r="H605">
        <v>88.83</v>
      </c>
      <c r="I605">
        <v>21.15</v>
      </c>
      <c r="J605">
        <v>69.94</v>
      </c>
      <c r="K605">
        <v>9</v>
      </c>
      <c r="T605">
        <v>3</v>
      </c>
      <c r="U605">
        <v>2</v>
      </c>
      <c r="V605" t="s">
        <v>93</v>
      </c>
      <c r="W605" t="s">
        <v>297</v>
      </c>
      <c r="X605">
        <v>16</v>
      </c>
      <c r="Y605">
        <v>16</v>
      </c>
      <c r="Z605" t="s">
        <v>987</v>
      </c>
      <c r="AA605" t="s">
        <v>988</v>
      </c>
      <c r="AB605" t="s">
        <v>96</v>
      </c>
      <c r="AC605" t="s">
        <v>97</v>
      </c>
      <c r="AD605" t="s">
        <v>690</v>
      </c>
      <c r="AG605" t="s">
        <v>989</v>
      </c>
      <c r="AH605">
        <v>0</v>
      </c>
      <c r="AI605">
        <v>699</v>
      </c>
      <c r="AJ605">
        <v>78</v>
      </c>
      <c r="AK605">
        <v>110</v>
      </c>
      <c r="AL605">
        <v>1.1100000000000001</v>
      </c>
    </row>
    <row r="606" spans="1:38" x14ac:dyDescent="0.3">
      <c r="A606" t="s">
        <v>685</v>
      </c>
      <c r="B606">
        <v>133944</v>
      </c>
      <c r="C606">
        <v>10</v>
      </c>
      <c r="D606" t="s">
        <v>985</v>
      </c>
      <c r="E606" t="s">
        <v>986</v>
      </c>
      <c r="F606">
        <v>99</v>
      </c>
      <c r="G606">
        <v>28.18</v>
      </c>
      <c r="H606">
        <v>93.19</v>
      </c>
      <c r="I606">
        <v>22.46</v>
      </c>
      <c r="J606">
        <v>74.27</v>
      </c>
      <c r="K606">
        <v>9</v>
      </c>
      <c r="T606">
        <v>3</v>
      </c>
      <c r="U606">
        <v>2</v>
      </c>
      <c r="V606" t="s">
        <v>93</v>
      </c>
      <c r="W606">
        <v>93</v>
      </c>
      <c r="X606">
        <v>16</v>
      </c>
      <c r="Y606">
        <v>16</v>
      </c>
      <c r="Z606" t="s">
        <v>987</v>
      </c>
      <c r="AA606" t="s">
        <v>988</v>
      </c>
      <c r="AB606" t="s">
        <v>96</v>
      </c>
      <c r="AC606" t="s">
        <v>97</v>
      </c>
      <c r="AD606" t="s">
        <v>690</v>
      </c>
      <c r="AG606" t="s">
        <v>989</v>
      </c>
      <c r="AH606">
        <v>0</v>
      </c>
      <c r="AI606">
        <v>699</v>
      </c>
      <c r="AJ606">
        <v>78</v>
      </c>
      <c r="AK606">
        <v>110</v>
      </c>
      <c r="AL606">
        <v>1.1100000000000001</v>
      </c>
    </row>
    <row r="607" spans="1:38" x14ac:dyDescent="0.3">
      <c r="A607" t="s">
        <v>685</v>
      </c>
      <c r="B607">
        <v>14789</v>
      </c>
      <c r="C607">
        <v>1</v>
      </c>
      <c r="D607" t="s">
        <v>992</v>
      </c>
      <c r="E607" t="s">
        <v>993</v>
      </c>
      <c r="F607">
        <v>40</v>
      </c>
      <c r="G607">
        <v>29.59</v>
      </c>
      <c r="H607">
        <v>97.83</v>
      </c>
      <c r="I607">
        <v>25.53</v>
      </c>
      <c r="J607">
        <v>84.41</v>
      </c>
      <c r="K607">
        <v>20</v>
      </c>
      <c r="T607">
        <v>3</v>
      </c>
      <c r="U607">
        <v>2</v>
      </c>
      <c r="V607" t="s">
        <v>93</v>
      </c>
      <c r="W607">
        <v>97</v>
      </c>
      <c r="X607">
        <v>5</v>
      </c>
      <c r="Y607">
        <v>5</v>
      </c>
      <c r="Z607" t="s">
        <v>994</v>
      </c>
      <c r="AA607" t="s">
        <v>995</v>
      </c>
      <c r="AB607" t="s">
        <v>96</v>
      </c>
      <c r="AC607" t="s">
        <v>97</v>
      </c>
      <c r="AD607" t="s">
        <v>690</v>
      </c>
      <c r="AG607" t="s">
        <v>996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685</v>
      </c>
      <c r="B608">
        <v>14789</v>
      </c>
      <c r="C608">
        <v>2</v>
      </c>
      <c r="D608" t="s">
        <v>992</v>
      </c>
      <c r="E608" t="s">
        <v>993</v>
      </c>
      <c r="F608">
        <v>40</v>
      </c>
      <c r="G608">
        <v>30.18</v>
      </c>
      <c r="H608">
        <v>99.77</v>
      </c>
      <c r="I608">
        <v>26.43</v>
      </c>
      <c r="J608">
        <v>87.38</v>
      </c>
      <c r="K608">
        <v>20</v>
      </c>
      <c r="T608">
        <v>3</v>
      </c>
      <c r="U608">
        <v>2</v>
      </c>
      <c r="V608" t="s">
        <v>93</v>
      </c>
      <c r="W608">
        <v>99</v>
      </c>
      <c r="X608">
        <v>5</v>
      </c>
      <c r="Y608">
        <v>5</v>
      </c>
      <c r="Z608" t="s">
        <v>994</v>
      </c>
      <c r="AA608" t="s">
        <v>995</v>
      </c>
      <c r="AB608" t="s">
        <v>96</v>
      </c>
      <c r="AC608" t="s">
        <v>97</v>
      </c>
      <c r="AD608" t="s">
        <v>690</v>
      </c>
      <c r="AG608" t="s">
        <v>996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685</v>
      </c>
      <c r="B609">
        <v>9220</v>
      </c>
      <c r="C609">
        <v>1</v>
      </c>
      <c r="D609" t="s">
        <v>997</v>
      </c>
      <c r="E609" t="s">
        <v>998</v>
      </c>
      <c r="F609">
        <v>134</v>
      </c>
      <c r="G609">
        <v>23.92</v>
      </c>
      <c r="H609">
        <v>79.099999999999994</v>
      </c>
      <c r="I609">
        <v>16.7</v>
      </c>
      <c r="J609">
        <v>55.22</v>
      </c>
      <c r="K609">
        <v>54</v>
      </c>
      <c r="T609">
        <v>3</v>
      </c>
      <c r="U609">
        <v>1</v>
      </c>
      <c r="V609" t="s">
        <v>132</v>
      </c>
      <c r="W609">
        <v>79</v>
      </c>
      <c r="X609">
        <v>10</v>
      </c>
      <c r="Y609">
        <v>9</v>
      </c>
      <c r="Z609" t="s">
        <v>999</v>
      </c>
      <c r="AA609" t="s">
        <v>1000</v>
      </c>
      <c r="AB609" t="s">
        <v>96</v>
      </c>
      <c r="AC609" t="s">
        <v>97</v>
      </c>
      <c r="AD609" t="s">
        <v>690</v>
      </c>
      <c r="AG609" t="s">
        <v>1001</v>
      </c>
      <c r="AH609">
        <v>0</v>
      </c>
      <c r="AI609">
        <v>154</v>
      </c>
      <c r="AJ609">
        <v>16</v>
      </c>
      <c r="AK609">
        <v>0</v>
      </c>
      <c r="AL609">
        <v>0</v>
      </c>
    </row>
    <row r="610" spans="1:38" x14ac:dyDescent="0.3">
      <c r="A610" t="s">
        <v>685</v>
      </c>
      <c r="B610">
        <v>9220</v>
      </c>
      <c r="C610">
        <v>2</v>
      </c>
      <c r="D610" t="s">
        <v>997</v>
      </c>
      <c r="E610" t="s">
        <v>998</v>
      </c>
      <c r="F610">
        <v>134</v>
      </c>
      <c r="G610">
        <v>27.03</v>
      </c>
      <c r="H610">
        <v>89.37</v>
      </c>
      <c r="I610">
        <v>19.53</v>
      </c>
      <c r="J610">
        <v>64.58</v>
      </c>
      <c r="K610">
        <v>80</v>
      </c>
      <c r="T610">
        <v>3</v>
      </c>
      <c r="U610">
        <v>1</v>
      </c>
      <c r="V610" t="s">
        <v>132</v>
      </c>
      <c r="W610">
        <v>89</v>
      </c>
      <c r="X610">
        <v>10</v>
      </c>
      <c r="Y610">
        <v>9</v>
      </c>
      <c r="Z610" t="s">
        <v>999</v>
      </c>
      <c r="AA610" t="s">
        <v>1000</v>
      </c>
      <c r="AB610" t="s">
        <v>96</v>
      </c>
      <c r="AC610" t="s">
        <v>97</v>
      </c>
      <c r="AD610" t="s">
        <v>690</v>
      </c>
      <c r="AG610" t="s">
        <v>1001</v>
      </c>
      <c r="AH610">
        <v>0</v>
      </c>
      <c r="AI610">
        <v>154</v>
      </c>
      <c r="AJ610">
        <v>16</v>
      </c>
      <c r="AK610">
        <v>0</v>
      </c>
      <c r="AL610">
        <v>0</v>
      </c>
    </row>
    <row r="611" spans="1:38" x14ac:dyDescent="0.3">
      <c r="A611" t="s">
        <v>685</v>
      </c>
      <c r="B611">
        <v>124866</v>
      </c>
      <c r="C611">
        <v>1</v>
      </c>
      <c r="D611" t="s">
        <v>1002</v>
      </c>
      <c r="E611" t="s">
        <v>1003</v>
      </c>
      <c r="F611">
        <v>36</v>
      </c>
      <c r="G611">
        <v>20.21</v>
      </c>
      <c r="H611">
        <v>66.84</v>
      </c>
      <c r="I611">
        <v>15.06</v>
      </c>
      <c r="J611">
        <v>49.79</v>
      </c>
      <c r="K611">
        <v>9</v>
      </c>
      <c r="T611">
        <v>3</v>
      </c>
      <c r="U611">
        <v>1</v>
      </c>
      <c r="V611" t="s">
        <v>93</v>
      </c>
      <c r="W611" t="s">
        <v>257</v>
      </c>
      <c r="X611">
        <v>10</v>
      </c>
      <c r="Y611">
        <v>10</v>
      </c>
      <c r="Z611" t="s">
        <v>1004</v>
      </c>
      <c r="AA611" t="s">
        <v>1005</v>
      </c>
      <c r="AB611" t="s">
        <v>96</v>
      </c>
      <c r="AC611" t="s">
        <v>97</v>
      </c>
      <c r="AD611" t="s">
        <v>690</v>
      </c>
      <c r="AG611" t="s">
        <v>1006</v>
      </c>
      <c r="AH611">
        <v>0</v>
      </c>
      <c r="AI611">
        <v>698</v>
      </c>
      <c r="AJ611">
        <v>70</v>
      </c>
      <c r="AK611">
        <v>25</v>
      </c>
      <c r="AL611">
        <v>0.69</v>
      </c>
    </row>
    <row r="612" spans="1:38" x14ac:dyDescent="0.3">
      <c r="A612" t="s">
        <v>685</v>
      </c>
      <c r="B612">
        <v>124866</v>
      </c>
      <c r="C612">
        <v>2</v>
      </c>
      <c r="D612" t="s">
        <v>1002</v>
      </c>
      <c r="E612" t="s">
        <v>1003</v>
      </c>
      <c r="F612">
        <v>36</v>
      </c>
      <c r="G612">
        <v>20.14</v>
      </c>
      <c r="H612">
        <v>66.59</v>
      </c>
      <c r="I612">
        <v>15.07</v>
      </c>
      <c r="J612">
        <v>49.85</v>
      </c>
      <c r="K612">
        <v>9</v>
      </c>
      <c r="T612">
        <v>3</v>
      </c>
      <c r="U612">
        <v>1</v>
      </c>
      <c r="V612" t="s">
        <v>93</v>
      </c>
      <c r="W612" t="s">
        <v>256</v>
      </c>
      <c r="X612">
        <v>10</v>
      </c>
      <c r="Y612">
        <v>10</v>
      </c>
      <c r="Z612" t="s">
        <v>1004</v>
      </c>
      <c r="AA612" t="s">
        <v>1005</v>
      </c>
      <c r="AB612" t="s">
        <v>96</v>
      </c>
      <c r="AC612" t="s">
        <v>97</v>
      </c>
      <c r="AD612" t="s">
        <v>690</v>
      </c>
      <c r="AG612" t="s">
        <v>1006</v>
      </c>
      <c r="AH612">
        <v>0</v>
      </c>
      <c r="AI612">
        <v>698</v>
      </c>
      <c r="AJ612">
        <v>70</v>
      </c>
      <c r="AK612">
        <v>25</v>
      </c>
      <c r="AL612">
        <v>0.69</v>
      </c>
    </row>
    <row r="613" spans="1:38" x14ac:dyDescent="0.3">
      <c r="A613" t="s">
        <v>685</v>
      </c>
      <c r="B613">
        <v>124866</v>
      </c>
      <c r="C613">
        <v>3</v>
      </c>
      <c r="D613" t="s">
        <v>1002</v>
      </c>
      <c r="E613" t="s">
        <v>1003</v>
      </c>
      <c r="F613">
        <v>36</v>
      </c>
      <c r="G613">
        <v>20.11</v>
      </c>
      <c r="H613">
        <v>66.48</v>
      </c>
      <c r="I613">
        <v>15.11</v>
      </c>
      <c r="J613">
        <v>49.97</v>
      </c>
      <c r="K613">
        <v>9</v>
      </c>
      <c r="T613">
        <v>3</v>
      </c>
      <c r="U613">
        <v>1</v>
      </c>
      <c r="V613" t="s">
        <v>93</v>
      </c>
      <c r="W613" t="s">
        <v>813</v>
      </c>
      <c r="X613">
        <v>10</v>
      </c>
      <c r="Y613">
        <v>10</v>
      </c>
      <c r="Z613" t="s">
        <v>1004</v>
      </c>
      <c r="AA613" t="s">
        <v>1005</v>
      </c>
      <c r="AB613" t="s">
        <v>96</v>
      </c>
      <c r="AC613" t="s">
        <v>97</v>
      </c>
      <c r="AD613" t="s">
        <v>690</v>
      </c>
      <c r="AG613" t="s">
        <v>1006</v>
      </c>
      <c r="AH613">
        <v>0</v>
      </c>
      <c r="AI613">
        <v>698</v>
      </c>
      <c r="AJ613">
        <v>70</v>
      </c>
      <c r="AK613">
        <v>25</v>
      </c>
      <c r="AL613">
        <v>0.69</v>
      </c>
    </row>
    <row r="614" spans="1:38" x14ac:dyDescent="0.3">
      <c r="A614" t="s">
        <v>685</v>
      </c>
      <c r="B614">
        <v>124866</v>
      </c>
      <c r="C614">
        <v>4</v>
      </c>
      <c r="D614" t="s">
        <v>1002</v>
      </c>
      <c r="E614" t="s">
        <v>1003</v>
      </c>
      <c r="F614">
        <v>36</v>
      </c>
      <c r="G614">
        <v>20.59</v>
      </c>
      <c r="H614">
        <v>68.08</v>
      </c>
      <c r="I614">
        <v>15.11</v>
      </c>
      <c r="J614">
        <v>49.98</v>
      </c>
      <c r="K614">
        <v>9</v>
      </c>
      <c r="T614">
        <v>3</v>
      </c>
      <c r="U614">
        <v>1</v>
      </c>
      <c r="V614" t="s">
        <v>93</v>
      </c>
      <c r="W614">
        <v>68</v>
      </c>
      <c r="X614">
        <v>10</v>
      </c>
      <c r="Y614">
        <v>10</v>
      </c>
      <c r="Z614" t="s">
        <v>1004</v>
      </c>
      <c r="AA614" t="s">
        <v>1005</v>
      </c>
      <c r="AB614" t="s">
        <v>96</v>
      </c>
      <c r="AC614" t="s">
        <v>97</v>
      </c>
      <c r="AD614" t="s">
        <v>690</v>
      </c>
      <c r="AG614" t="s">
        <v>1006</v>
      </c>
      <c r="AH614">
        <v>0</v>
      </c>
      <c r="AI614">
        <v>698</v>
      </c>
      <c r="AJ614">
        <v>70</v>
      </c>
      <c r="AK614">
        <v>25</v>
      </c>
      <c r="AL614">
        <v>0.69</v>
      </c>
    </row>
    <row r="615" spans="1:38" x14ac:dyDescent="0.3">
      <c r="A615" t="s">
        <v>685</v>
      </c>
      <c r="B615">
        <v>118133</v>
      </c>
      <c r="C615">
        <v>1</v>
      </c>
      <c r="D615" t="s">
        <v>1007</v>
      </c>
      <c r="E615" t="s">
        <v>274</v>
      </c>
      <c r="F615">
        <v>24</v>
      </c>
      <c r="G615">
        <v>19.649999999999999</v>
      </c>
      <c r="H615">
        <v>64.989999999999995</v>
      </c>
      <c r="I615">
        <v>15.09</v>
      </c>
      <c r="J615">
        <v>49.89</v>
      </c>
      <c r="K615">
        <v>8</v>
      </c>
      <c r="T615">
        <v>3</v>
      </c>
      <c r="U615">
        <v>1</v>
      </c>
      <c r="V615" t="s">
        <v>93</v>
      </c>
      <c r="W615">
        <v>64</v>
      </c>
      <c r="X615">
        <v>14</v>
      </c>
      <c r="Y615">
        <v>14</v>
      </c>
      <c r="Z615" t="s">
        <v>1008</v>
      </c>
      <c r="AA615" t="s">
        <v>1009</v>
      </c>
      <c r="AB615" t="s">
        <v>96</v>
      </c>
      <c r="AC615" t="s">
        <v>97</v>
      </c>
      <c r="AD615" t="s">
        <v>690</v>
      </c>
      <c r="AG615" t="s">
        <v>1010</v>
      </c>
      <c r="AH615">
        <v>0</v>
      </c>
      <c r="AI615">
        <v>728</v>
      </c>
      <c r="AJ615">
        <v>63</v>
      </c>
      <c r="AK615">
        <v>16</v>
      </c>
      <c r="AL615">
        <v>0.67</v>
      </c>
    </row>
    <row r="616" spans="1:38" x14ac:dyDescent="0.3">
      <c r="A616" t="s">
        <v>685</v>
      </c>
      <c r="B616">
        <v>118133</v>
      </c>
      <c r="C616">
        <v>2</v>
      </c>
      <c r="D616" t="s">
        <v>1007</v>
      </c>
      <c r="E616" t="s">
        <v>274</v>
      </c>
      <c r="F616">
        <v>24</v>
      </c>
      <c r="G616">
        <v>19.46</v>
      </c>
      <c r="H616">
        <v>64.36</v>
      </c>
      <c r="I616">
        <v>14.95</v>
      </c>
      <c r="J616">
        <v>49.44</v>
      </c>
      <c r="K616">
        <v>8</v>
      </c>
      <c r="T616">
        <v>2</v>
      </c>
      <c r="U616">
        <v>1</v>
      </c>
      <c r="V616" t="s">
        <v>93</v>
      </c>
      <c r="W616" t="s">
        <v>279</v>
      </c>
      <c r="X616">
        <v>14</v>
      </c>
      <c r="Y616">
        <v>14</v>
      </c>
      <c r="Z616" t="s">
        <v>1008</v>
      </c>
      <c r="AA616" t="s">
        <v>1009</v>
      </c>
      <c r="AB616" t="s">
        <v>96</v>
      </c>
      <c r="AC616" t="s">
        <v>97</v>
      </c>
      <c r="AD616" t="s">
        <v>690</v>
      </c>
      <c r="AG616" t="s">
        <v>1010</v>
      </c>
      <c r="AH616">
        <v>0</v>
      </c>
      <c r="AI616">
        <v>728</v>
      </c>
      <c r="AJ616">
        <v>63</v>
      </c>
      <c r="AK616">
        <v>16</v>
      </c>
      <c r="AL616">
        <v>0.67</v>
      </c>
    </row>
    <row r="617" spans="1:38" x14ac:dyDescent="0.3">
      <c r="A617" t="s">
        <v>685</v>
      </c>
      <c r="B617">
        <v>118133</v>
      </c>
      <c r="C617">
        <v>3</v>
      </c>
      <c r="D617" t="s">
        <v>1007</v>
      </c>
      <c r="E617" t="s">
        <v>274</v>
      </c>
      <c r="F617">
        <v>24</v>
      </c>
      <c r="G617">
        <v>19.48</v>
      </c>
      <c r="H617">
        <v>64.41</v>
      </c>
      <c r="I617">
        <v>15</v>
      </c>
      <c r="J617">
        <v>49.6</v>
      </c>
      <c r="K617">
        <v>8</v>
      </c>
      <c r="T617">
        <v>2</v>
      </c>
      <c r="U617">
        <v>1</v>
      </c>
      <c r="V617" t="s">
        <v>93</v>
      </c>
      <c r="W617" t="s">
        <v>275</v>
      </c>
      <c r="X617">
        <v>14</v>
      </c>
      <c r="Y617">
        <v>14</v>
      </c>
      <c r="Z617" t="s">
        <v>1008</v>
      </c>
      <c r="AA617" t="s">
        <v>1009</v>
      </c>
      <c r="AB617" t="s">
        <v>96</v>
      </c>
      <c r="AC617" t="s">
        <v>97</v>
      </c>
      <c r="AD617" t="s">
        <v>690</v>
      </c>
      <c r="AG617" t="s">
        <v>1010</v>
      </c>
      <c r="AH617">
        <v>0</v>
      </c>
      <c r="AI617">
        <v>728</v>
      </c>
      <c r="AJ617">
        <v>63</v>
      </c>
      <c r="AK617">
        <v>16</v>
      </c>
      <c r="AL617">
        <v>0.67</v>
      </c>
    </row>
    <row r="618" spans="1:38" x14ac:dyDescent="0.3">
      <c r="A618" t="s">
        <v>685</v>
      </c>
      <c r="B618">
        <v>138179</v>
      </c>
      <c r="C618">
        <v>1</v>
      </c>
      <c r="D618" t="s">
        <v>1011</v>
      </c>
      <c r="F618">
        <v>9</v>
      </c>
      <c r="G618">
        <v>19.14</v>
      </c>
      <c r="H618">
        <v>63.28</v>
      </c>
      <c r="I618">
        <v>14.84</v>
      </c>
      <c r="J618">
        <v>49.06</v>
      </c>
      <c r="K618">
        <v>3</v>
      </c>
      <c r="T618">
        <v>2</v>
      </c>
      <c r="U618">
        <v>1</v>
      </c>
      <c r="V618" t="s">
        <v>93</v>
      </c>
      <c r="W618" t="s">
        <v>194</v>
      </c>
      <c r="X618">
        <v>10</v>
      </c>
      <c r="Y618">
        <v>10</v>
      </c>
      <c r="Z618" t="s">
        <v>1012</v>
      </c>
      <c r="AA618" t="s">
        <v>1013</v>
      </c>
      <c r="AB618" t="s">
        <v>96</v>
      </c>
      <c r="AC618" t="s">
        <v>97</v>
      </c>
      <c r="AD618" t="s">
        <v>690</v>
      </c>
      <c r="AG618" t="s">
        <v>1014</v>
      </c>
      <c r="AH618">
        <v>0</v>
      </c>
      <c r="AI618">
        <v>643</v>
      </c>
      <c r="AJ618">
        <v>76</v>
      </c>
      <c r="AK618">
        <v>6</v>
      </c>
      <c r="AL618">
        <v>0.67</v>
      </c>
    </row>
    <row r="619" spans="1:38" x14ac:dyDescent="0.3">
      <c r="A619" t="s">
        <v>685</v>
      </c>
      <c r="B619">
        <v>138179</v>
      </c>
      <c r="C619">
        <v>2</v>
      </c>
      <c r="D619" t="s">
        <v>1011</v>
      </c>
      <c r="F619">
        <v>9</v>
      </c>
      <c r="G619">
        <v>19.579999999999998</v>
      </c>
      <c r="H619">
        <v>64.760000000000005</v>
      </c>
      <c r="I619">
        <v>15.06</v>
      </c>
      <c r="J619">
        <v>49.79</v>
      </c>
      <c r="K619">
        <v>3</v>
      </c>
      <c r="T619">
        <v>2</v>
      </c>
      <c r="U619">
        <v>1</v>
      </c>
      <c r="V619" t="s">
        <v>93</v>
      </c>
      <c r="W619">
        <v>64</v>
      </c>
      <c r="X619">
        <v>10</v>
      </c>
      <c r="Y619">
        <v>10</v>
      </c>
      <c r="Z619" t="s">
        <v>1012</v>
      </c>
      <c r="AA619" t="s">
        <v>1013</v>
      </c>
      <c r="AB619" t="s">
        <v>96</v>
      </c>
      <c r="AC619" t="s">
        <v>97</v>
      </c>
      <c r="AD619" t="s">
        <v>690</v>
      </c>
      <c r="AG619" t="s">
        <v>1014</v>
      </c>
      <c r="AH619">
        <v>0</v>
      </c>
      <c r="AI619">
        <v>643</v>
      </c>
      <c r="AJ619">
        <v>76</v>
      </c>
      <c r="AK619">
        <v>6</v>
      </c>
      <c r="AL619">
        <v>0.67</v>
      </c>
    </row>
    <row r="620" spans="1:38" x14ac:dyDescent="0.3">
      <c r="A620" t="s">
        <v>685</v>
      </c>
      <c r="B620">
        <v>138179</v>
      </c>
      <c r="C620">
        <v>3</v>
      </c>
      <c r="D620" t="s">
        <v>1011</v>
      </c>
      <c r="F620">
        <v>9</v>
      </c>
      <c r="G620">
        <v>19.41</v>
      </c>
      <c r="H620">
        <v>64.180000000000007</v>
      </c>
      <c r="I620">
        <v>14.88</v>
      </c>
      <c r="J620">
        <v>49.21</v>
      </c>
      <c r="K620">
        <v>3</v>
      </c>
      <c r="T620">
        <v>2</v>
      </c>
      <c r="U620">
        <v>1</v>
      </c>
      <c r="V620" t="s">
        <v>93</v>
      </c>
      <c r="W620" t="s">
        <v>275</v>
      </c>
      <c r="X620">
        <v>10</v>
      </c>
      <c r="Y620">
        <v>10</v>
      </c>
      <c r="Z620" t="s">
        <v>1012</v>
      </c>
      <c r="AA620" t="s">
        <v>1013</v>
      </c>
      <c r="AB620" t="s">
        <v>96</v>
      </c>
      <c r="AC620" t="s">
        <v>97</v>
      </c>
      <c r="AD620" t="s">
        <v>690</v>
      </c>
      <c r="AG620" t="s">
        <v>1014</v>
      </c>
      <c r="AH620">
        <v>0</v>
      </c>
      <c r="AI620">
        <v>643</v>
      </c>
      <c r="AJ620">
        <v>76</v>
      </c>
      <c r="AK620">
        <v>6</v>
      </c>
      <c r="AL620">
        <v>0.67</v>
      </c>
    </row>
    <row r="621" spans="1:38" x14ac:dyDescent="0.3">
      <c r="A621" t="s">
        <v>685</v>
      </c>
      <c r="B621">
        <v>120234</v>
      </c>
      <c r="C621">
        <v>1</v>
      </c>
      <c r="D621" t="s">
        <v>1015</v>
      </c>
      <c r="E621" t="s">
        <v>717</v>
      </c>
      <c r="F621">
        <v>8</v>
      </c>
      <c r="G621">
        <v>18.850000000000001</v>
      </c>
      <c r="H621">
        <v>62.34</v>
      </c>
      <c r="I621">
        <v>14.81</v>
      </c>
      <c r="J621">
        <v>48.97</v>
      </c>
      <c r="K621">
        <v>4</v>
      </c>
      <c r="T621">
        <v>2</v>
      </c>
      <c r="U621">
        <v>1</v>
      </c>
      <c r="V621" t="s">
        <v>93</v>
      </c>
      <c r="W621" t="s">
        <v>463</v>
      </c>
      <c r="X621">
        <v>7</v>
      </c>
      <c r="Y621">
        <v>7</v>
      </c>
      <c r="Z621" t="s">
        <v>1016</v>
      </c>
      <c r="AA621" t="s">
        <v>1017</v>
      </c>
      <c r="AB621" t="s">
        <v>96</v>
      </c>
      <c r="AC621" t="s">
        <v>97</v>
      </c>
      <c r="AD621" t="s">
        <v>690</v>
      </c>
      <c r="AG621" t="s">
        <v>1018</v>
      </c>
      <c r="AH621">
        <v>0</v>
      </c>
      <c r="AI621">
        <v>323</v>
      </c>
      <c r="AJ621">
        <v>59</v>
      </c>
      <c r="AK621">
        <v>6</v>
      </c>
      <c r="AL621">
        <v>0.75</v>
      </c>
    </row>
    <row r="622" spans="1:38" x14ac:dyDescent="0.3">
      <c r="A622" t="s">
        <v>685</v>
      </c>
      <c r="B622">
        <v>120234</v>
      </c>
      <c r="C622">
        <v>2</v>
      </c>
      <c r="D622" t="s">
        <v>1015</v>
      </c>
      <c r="E622" t="s">
        <v>717</v>
      </c>
      <c r="F622">
        <v>8</v>
      </c>
      <c r="G622">
        <v>18.86</v>
      </c>
      <c r="H622">
        <v>62.36</v>
      </c>
      <c r="I622">
        <v>14.81</v>
      </c>
      <c r="J622">
        <v>48.98</v>
      </c>
      <c r="K622">
        <v>4</v>
      </c>
      <c r="T622">
        <v>2</v>
      </c>
      <c r="U622">
        <v>1</v>
      </c>
      <c r="V622" t="s">
        <v>93</v>
      </c>
      <c r="W622" t="s">
        <v>255</v>
      </c>
      <c r="X622">
        <v>7</v>
      </c>
      <c r="Y622">
        <v>7</v>
      </c>
      <c r="Z622" t="s">
        <v>1016</v>
      </c>
      <c r="AA622" t="s">
        <v>1017</v>
      </c>
      <c r="AB622" t="s">
        <v>96</v>
      </c>
      <c r="AC622" t="s">
        <v>97</v>
      </c>
      <c r="AD622" t="s">
        <v>690</v>
      </c>
      <c r="AG622" t="s">
        <v>1018</v>
      </c>
      <c r="AH622">
        <v>0</v>
      </c>
      <c r="AI622">
        <v>323</v>
      </c>
      <c r="AJ622">
        <v>59</v>
      </c>
      <c r="AK622">
        <v>6</v>
      </c>
      <c r="AL622">
        <v>0.75</v>
      </c>
    </row>
    <row r="623" spans="1:38" x14ac:dyDescent="0.3">
      <c r="A623" t="s">
        <v>685</v>
      </c>
      <c r="B623">
        <v>123969</v>
      </c>
      <c r="C623">
        <v>1</v>
      </c>
      <c r="D623" t="s">
        <v>1019</v>
      </c>
      <c r="E623" t="s">
        <v>534</v>
      </c>
      <c r="F623">
        <v>30</v>
      </c>
      <c r="G623">
        <v>24.44</v>
      </c>
      <c r="H623">
        <v>80.819999999999993</v>
      </c>
      <c r="I623">
        <v>18.12</v>
      </c>
      <c r="J623">
        <v>59.92</v>
      </c>
      <c r="K623">
        <v>10</v>
      </c>
      <c r="T623">
        <v>3</v>
      </c>
      <c r="U623">
        <v>1</v>
      </c>
      <c r="V623" t="s">
        <v>93</v>
      </c>
      <c r="W623" t="s">
        <v>1020</v>
      </c>
      <c r="X623">
        <v>14</v>
      </c>
      <c r="Y623">
        <v>14</v>
      </c>
      <c r="Z623" t="s">
        <v>1021</v>
      </c>
      <c r="AA623" t="s">
        <v>1022</v>
      </c>
      <c r="AB623" t="s">
        <v>96</v>
      </c>
      <c r="AC623" t="s">
        <v>97</v>
      </c>
      <c r="AD623" t="s">
        <v>690</v>
      </c>
      <c r="AG623" t="s">
        <v>1023</v>
      </c>
      <c r="AH623">
        <v>0</v>
      </c>
      <c r="AI623">
        <v>816</v>
      </c>
      <c r="AJ623">
        <v>76</v>
      </c>
      <c r="AK623">
        <v>25</v>
      </c>
      <c r="AL623">
        <v>0.83</v>
      </c>
    </row>
    <row r="624" spans="1:38" x14ac:dyDescent="0.3">
      <c r="A624" t="s">
        <v>685</v>
      </c>
      <c r="B624">
        <v>123969</v>
      </c>
      <c r="C624">
        <v>2</v>
      </c>
      <c r="D624" t="s">
        <v>1019</v>
      </c>
      <c r="E624" t="s">
        <v>534</v>
      </c>
      <c r="F624">
        <v>30</v>
      </c>
      <c r="G624">
        <v>24.46</v>
      </c>
      <c r="H624">
        <v>80.89</v>
      </c>
      <c r="I624">
        <v>18.14</v>
      </c>
      <c r="J624">
        <v>59.99</v>
      </c>
      <c r="K624">
        <v>10</v>
      </c>
      <c r="T624">
        <v>3</v>
      </c>
      <c r="U624">
        <v>1</v>
      </c>
      <c r="V624" t="s">
        <v>93</v>
      </c>
      <c r="W624" t="s">
        <v>322</v>
      </c>
      <c r="X624">
        <v>14</v>
      </c>
      <c r="Y624">
        <v>14</v>
      </c>
      <c r="Z624" t="s">
        <v>1021</v>
      </c>
      <c r="AA624" t="s">
        <v>1022</v>
      </c>
      <c r="AB624" t="s">
        <v>96</v>
      </c>
      <c r="AC624" t="s">
        <v>97</v>
      </c>
      <c r="AD624" t="s">
        <v>690</v>
      </c>
      <c r="AG624" t="s">
        <v>1023</v>
      </c>
      <c r="AH624">
        <v>0</v>
      </c>
      <c r="AI624">
        <v>816</v>
      </c>
      <c r="AJ624">
        <v>76</v>
      </c>
      <c r="AK624">
        <v>25</v>
      </c>
      <c r="AL624">
        <v>0.83</v>
      </c>
    </row>
    <row r="625" spans="1:38" x14ac:dyDescent="0.3">
      <c r="A625" t="s">
        <v>685</v>
      </c>
      <c r="B625">
        <v>123969</v>
      </c>
      <c r="C625">
        <v>3</v>
      </c>
      <c r="D625" t="s">
        <v>1019</v>
      </c>
      <c r="E625" t="s">
        <v>534</v>
      </c>
      <c r="F625">
        <v>30</v>
      </c>
      <c r="G625">
        <v>24.75</v>
      </c>
      <c r="H625">
        <v>81.849999999999994</v>
      </c>
      <c r="I625">
        <v>18.13</v>
      </c>
      <c r="J625">
        <v>59.94</v>
      </c>
      <c r="K625">
        <v>9</v>
      </c>
      <c r="T625">
        <v>3</v>
      </c>
      <c r="U625">
        <v>2</v>
      </c>
      <c r="V625" t="s">
        <v>93</v>
      </c>
      <c r="W625" t="s">
        <v>746</v>
      </c>
      <c r="X625">
        <v>14</v>
      </c>
      <c r="Y625">
        <v>14</v>
      </c>
      <c r="Z625" t="s">
        <v>1021</v>
      </c>
      <c r="AA625" t="s">
        <v>1022</v>
      </c>
      <c r="AB625" t="s">
        <v>96</v>
      </c>
      <c r="AC625" t="s">
        <v>97</v>
      </c>
      <c r="AD625" t="s">
        <v>690</v>
      </c>
      <c r="AG625" t="s">
        <v>1023</v>
      </c>
      <c r="AH625">
        <v>0</v>
      </c>
      <c r="AI625">
        <v>816</v>
      </c>
      <c r="AJ625">
        <v>76</v>
      </c>
      <c r="AK625">
        <v>25</v>
      </c>
      <c r="AL625">
        <v>0.83</v>
      </c>
    </row>
    <row r="626" spans="1:38" x14ac:dyDescent="0.3">
      <c r="A626" t="s">
        <v>685</v>
      </c>
      <c r="B626">
        <v>123969</v>
      </c>
      <c r="C626">
        <v>4</v>
      </c>
      <c r="D626" t="s">
        <v>1019</v>
      </c>
      <c r="E626" t="s">
        <v>534</v>
      </c>
      <c r="F626">
        <v>30</v>
      </c>
      <c r="G626">
        <v>25</v>
      </c>
      <c r="H626">
        <v>82.66</v>
      </c>
      <c r="I626">
        <v>18.11</v>
      </c>
      <c r="J626">
        <v>59.88</v>
      </c>
      <c r="K626">
        <v>1</v>
      </c>
      <c r="T626">
        <v>3</v>
      </c>
      <c r="U626">
        <v>2</v>
      </c>
      <c r="V626" t="s">
        <v>93</v>
      </c>
      <c r="W626" t="s">
        <v>152</v>
      </c>
      <c r="X626">
        <v>14</v>
      </c>
      <c r="Y626">
        <v>14</v>
      </c>
      <c r="Z626" t="s">
        <v>1021</v>
      </c>
      <c r="AA626" t="s">
        <v>1022</v>
      </c>
      <c r="AB626" t="s">
        <v>96</v>
      </c>
      <c r="AC626" t="s">
        <v>97</v>
      </c>
      <c r="AD626" t="s">
        <v>690</v>
      </c>
      <c r="AG626" t="s">
        <v>1023</v>
      </c>
      <c r="AH626">
        <v>0</v>
      </c>
      <c r="AI626">
        <v>816</v>
      </c>
      <c r="AJ626">
        <v>76</v>
      </c>
      <c r="AK626">
        <v>25</v>
      </c>
      <c r="AL626">
        <v>0.83</v>
      </c>
    </row>
    <row r="627" spans="1:38" x14ac:dyDescent="0.3">
      <c r="A627" t="s">
        <v>685</v>
      </c>
      <c r="B627">
        <v>131352</v>
      </c>
      <c r="C627">
        <v>1</v>
      </c>
      <c r="D627" t="s">
        <v>1024</v>
      </c>
      <c r="E627" t="s">
        <v>1025</v>
      </c>
      <c r="F627">
        <v>15</v>
      </c>
      <c r="G627">
        <v>26.76</v>
      </c>
      <c r="H627">
        <v>88.48</v>
      </c>
      <c r="I627">
        <v>22.23</v>
      </c>
      <c r="J627">
        <v>73.5</v>
      </c>
      <c r="K627">
        <v>3</v>
      </c>
      <c r="T627">
        <v>3</v>
      </c>
      <c r="U627">
        <v>2</v>
      </c>
      <c r="V627" t="s">
        <v>93</v>
      </c>
      <c r="W627" t="s">
        <v>297</v>
      </c>
      <c r="X627">
        <v>14</v>
      </c>
      <c r="Y627">
        <v>14</v>
      </c>
      <c r="Z627" t="s">
        <v>1026</v>
      </c>
      <c r="AA627" t="s">
        <v>1027</v>
      </c>
      <c r="AB627" t="s">
        <v>96</v>
      </c>
      <c r="AC627" t="s">
        <v>97</v>
      </c>
      <c r="AD627" t="s">
        <v>690</v>
      </c>
      <c r="AG627" t="s">
        <v>1028</v>
      </c>
      <c r="AH627">
        <v>0</v>
      </c>
      <c r="AI627">
        <v>833</v>
      </c>
      <c r="AJ627">
        <v>74</v>
      </c>
      <c r="AK627">
        <v>15</v>
      </c>
      <c r="AL627">
        <v>1</v>
      </c>
    </row>
    <row r="628" spans="1:38" x14ac:dyDescent="0.3">
      <c r="A628" t="s">
        <v>685</v>
      </c>
      <c r="B628">
        <v>131352</v>
      </c>
      <c r="C628">
        <v>2</v>
      </c>
      <c r="D628" t="s">
        <v>1024</v>
      </c>
      <c r="E628" t="s">
        <v>1025</v>
      </c>
      <c r="F628">
        <v>15</v>
      </c>
      <c r="G628">
        <v>26.9</v>
      </c>
      <c r="H628">
        <v>88.95</v>
      </c>
      <c r="I628">
        <v>22.48</v>
      </c>
      <c r="J628">
        <v>74.33</v>
      </c>
      <c r="K628">
        <v>3</v>
      </c>
      <c r="T628">
        <v>3</v>
      </c>
      <c r="U628">
        <v>2</v>
      </c>
      <c r="V628" t="s">
        <v>93</v>
      </c>
      <c r="W628" t="s">
        <v>298</v>
      </c>
      <c r="X628">
        <v>14</v>
      </c>
      <c r="Y628">
        <v>14</v>
      </c>
      <c r="Z628" t="s">
        <v>1026</v>
      </c>
      <c r="AA628" t="s">
        <v>1027</v>
      </c>
      <c r="AB628" t="s">
        <v>96</v>
      </c>
      <c r="AC628" t="s">
        <v>97</v>
      </c>
      <c r="AD628" t="s">
        <v>690</v>
      </c>
      <c r="AG628" t="s">
        <v>1028</v>
      </c>
      <c r="AH628">
        <v>0</v>
      </c>
      <c r="AI628">
        <v>833</v>
      </c>
      <c r="AJ628">
        <v>74</v>
      </c>
      <c r="AK628">
        <v>15</v>
      </c>
      <c r="AL628">
        <v>1</v>
      </c>
    </row>
    <row r="629" spans="1:38" x14ac:dyDescent="0.3">
      <c r="A629" t="s">
        <v>685</v>
      </c>
      <c r="B629">
        <v>131352</v>
      </c>
      <c r="C629">
        <v>3</v>
      </c>
      <c r="D629" t="s">
        <v>1024</v>
      </c>
      <c r="E629" t="s">
        <v>1025</v>
      </c>
      <c r="F629">
        <v>15</v>
      </c>
      <c r="G629">
        <v>27.43</v>
      </c>
      <c r="H629">
        <v>90.71</v>
      </c>
      <c r="I629">
        <v>22.94</v>
      </c>
      <c r="J629">
        <v>75.86</v>
      </c>
      <c r="K629">
        <v>3</v>
      </c>
      <c r="T629">
        <v>3</v>
      </c>
      <c r="U629">
        <v>2</v>
      </c>
      <c r="V629" t="s">
        <v>93</v>
      </c>
      <c r="W629" t="s">
        <v>1029</v>
      </c>
      <c r="X629">
        <v>14</v>
      </c>
      <c r="Y629">
        <v>14</v>
      </c>
      <c r="Z629" t="s">
        <v>1026</v>
      </c>
      <c r="AA629" t="s">
        <v>1027</v>
      </c>
      <c r="AB629" t="s">
        <v>96</v>
      </c>
      <c r="AC629" t="s">
        <v>97</v>
      </c>
      <c r="AD629" t="s">
        <v>690</v>
      </c>
      <c r="AG629" t="s">
        <v>1028</v>
      </c>
      <c r="AH629">
        <v>0</v>
      </c>
      <c r="AI629">
        <v>833</v>
      </c>
      <c r="AJ629">
        <v>74</v>
      </c>
      <c r="AK629">
        <v>15</v>
      </c>
      <c r="AL629">
        <v>1</v>
      </c>
    </row>
    <row r="630" spans="1:38" x14ac:dyDescent="0.3">
      <c r="A630" t="s">
        <v>685</v>
      </c>
      <c r="B630">
        <v>131352</v>
      </c>
      <c r="C630">
        <v>4</v>
      </c>
      <c r="D630" t="s">
        <v>1024</v>
      </c>
      <c r="E630" t="s">
        <v>1025</v>
      </c>
      <c r="F630">
        <v>15</v>
      </c>
      <c r="G630">
        <v>28.12</v>
      </c>
      <c r="H630">
        <v>92.96</v>
      </c>
      <c r="I630">
        <v>23.28</v>
      </c>
      <c r="J630">
        <v>76.989999999999995</v>
      </c>
      <c r="K630">
        <v>3</v>
      </c>
      <c r="T630">
        <v>3</v>
      </c>
      <c r="U630">
        <v>2</v>
      </c>
      <c r="V630" t="s">
        <v>93</v>
      </c>
      <c r="W630" t="s">
        <v>166</v>
      </c>
      <c r="X630">
        <v>14</v>
      </c>
      <c r="Y630">
        <v>14</v>
      </c>
      <c r="Z630" t="s">
        <v>1026</v>
      </c>
      <c r="AA630" t="s">
        <v>1027</v>
      </c>
      <c r="AB630" t="s">
        <v>96</v>
      </c>
      <c r="AC630" t="s">
        <v>97</v>
      </c>
      <c r="AD630" t="s">
        <v>690</v>
      </c>
      <c r="AG630" t="s">
        <v>1028</v>
      </c>
      <c r="AH630">
        <v>0</v>
      </c>
      <c r="AI630">
        <v>833</v>
      </c>
      <c r="AJ630">
        <v>74</v>
      </c>
      <c r="AK630">
        <v>15</v>
      </c>
      <c r="AL630">
        <v>1</v>
      </c>
    </row>
    <row r="631" spans="1:38" x14ac:dyDescent="0.3">
      <c r="A631" t="s">
        <v>685</v>
      </c>
      <c r="B631">
        <v>131352</v>
      </c>
      <c r="C631">
        <v>5</v>
      </c>
      <c r="D631" t="s">
        <v>1024</v>
      </c>
      <c r="E631" t="s">
        <v>1025</v>
      </c>
      <c r="F631">
        <v>15</v>
      </c>
      <c r="G631">
        <v>28.01</v>
      </c>
      <c r="H631">
        <v>92.6</v>
      </c>
      <c r="I631">
        <v>23.33</v>
      </c>
      <c r="J631">
        <v>77.13</v>
      </c>
      <c r="K631">
        <v>3</v>
      </c>
      <c r="T631">
        <v>3</v>
      </c>
      <c r="U631">
        <v>2</v>
      </c>
      <c r="V631" t="s">
        <v>93</v>
      </c>
      <c r="W631" t="s">
        <v>170</v>
      </c>
      <c r="X631">
        <v>14</v>
      </c>
      <c r="Y631">
        <v>14</v>
      </c>
      <c r="Z631" t="s">
        <v>1026</v>
      </c>
      <c r="AA631" t="s">
        <v>1027</v>
      </c>
      <c r="AB631" t="s">
        <v>96</v>
      </c>
      <c r="AC631" t="s">
        <v>97</v>
      </c>
      <c r="AD631" t="s">
        <v>690</v>
      </c>
      <c r="AG631" t="s">
        <v>1028</v>
      </c>
      <c r="AH631">
        <v>0</v>
      </c>
      <c r="AI631">
        <v>833</v>
      </c>
      <c r="AJ631">
        <v>74</v>
      </c>
      <c r="AK631">
        <v>15</v>
      </c>
      <c r="AL631">
        <v>1</v>
      </c>
    </row>
    <row r="632" spans="1:38" x14ac:dyDescent="0.3">
      <c r="A632" t="s">
        <v>685</v>
      </c>
      <c r="B632">
        <v>124690</v>
      </c>
      <c r="C632">
        <v>1</v>
      </c>
      <c r="D632" t="s">
        <v>171</v>
      </c>
      <c r="E632" t="s">
        <v>1030</v>
      </c>
      <c r="F632">
        <v>25</v>
      </c>
      <c r="G632">
        <v>19.07</v>
      </c>
      <c r="H632">
        <v>63.05</v>
      </c>
      <c r="I632">
        <v>15.09</v>
      </c>
      <c r="J632">
        <v>49.91</v>
      </c>
      <c r="K632">
        <v>9</v>
      </c>
      <c r="T632">
        <v>2</v>
      </c>
      <c r="U632">
        <v>1</v>
      </c>
      <c r="V632" t="s">
        <v>93</v>
      </c>
      <c r="W632" t="s">
        <v>721</v>
      </c>
      <c r="X632">
        <v>10</v>
      </c>
      <c r="Y632">
        <v>9</v>
      </c>
      <c r="Z632" t="s">
        <v>1031</v>
      </c>
      <c r="AA632" t="s">
        <v>1032</v>
      </c>
      <c r="AB632" t="s">
        <v>96</v>
      </c>
      <c r="AC632" t="s">
        <v>97</v>
      </c>
      <c r="AD632" t="s">
        <v>690</v>
      </c>
      <c r="AG632" t="s">
        <v>1033</v>
      </c>
      <c r="AH632">
        <v>0</v>
      </c>
      <c r="AI632">
        <v>690</v>
      </c>
      <c r="AJ632">
        <v>65</v>
      </c>
      <c r="AK632">
        <v>17</v>
      </c>
      <c r="AL632">
        <v>0.68</v>
      </c>
    </row>
    <row r="633" spans="1:38" x14ac:dyDescent="0.3">
      <c r="A633" t="s">
        <v>685</v>
      </c>
      <c r="B633">
        <v>124690</v>
      </c>
      <c r="C633">
        <v>2</v>
      </c>
      <c r="D633" t="s">
        <v>171</v>
      </c>
      <c r="E633" t="s">
        <v>1030</v>
      </c>
      <c r="F633">
        <v>25</v>
      </c>
      <c r="G633">
        <v>19.07</v>
      </c>
      <c r="H633">
        <v>63.05</v>
      </c>
      <c r="I633">
        <v>15.03</v>
      </c>
      <c r="J633">
        <v>49.7</v>
      </c>
      <c r="K633">
        <v>8</v>
      </c>
      <c r="T633">
        <v>2</v>
      </c>
      <c r="U633">
        <v>1</v>
      </c>
      <c r="V633" t="s">
        <v>93</v>
      </c>
      <c r="W633" t="s">
        <v>194</v>
      </c>
      <c r="X633">
        <v>10</v>
      </c>
      <c r="Y633">
        <v>9</v>
      </c>
      <c r="Z633" t="s">
        <v>1031</v>
      </c>
      <c r="AA633" t="s">
        <v>1032</v>
      </c>
      <c r="AB633" t="s">
        <v>96</v>
      </c>
      <c r="AC633" t="s">
        <v>97</v>
      </c>
      <c r="AD633" t="s">
        <v>690</v>
      </c>
      <c r="AG633" t="s">
        <v>1033</v>
      </c>
      <c r="AH633">
        <v>0</v>
      </c>
      <c r="AI633">
        <v>690</v>
      </c>
      <c r="AJ633">
        <v>65</v>
      </c>
      <c r="AK633">
        <v>17</v>
      </c>
      <c r="AL633">
        <v>0.68</v>
      </c>
    </row>
    <row r="634" spans="1:38" x14ac:dyDescent="0.3">
      <c r="A634" t="s">
        <v>685</v>
      </c>
      <c r="B634">
        <v>124690</v>
      </c>
      <c r="C634">
        <v>3</v>
      </c>
      <c r="D634" t="s">
        <v>171</v>
      </c>
      <c r="E634" t="s">
        <v>1030</v>
      </c>
      <c r="F634">
        <v>25</v>
      </c>
      <c r="G634">
        <v>19.16</v>
      </c>
      <c r="H634">
        <v>63.36</v>
      </c>
      <c r="I634">
        <v>15.05</v>
      </c>
      <c r="J634">
        <v>49.76</v>
      </c>
      <c r="K634">
        <v>8</v>
      </c>
      <c r="T634">
        <v>2</v>
      </c>
      <c r="U634">
        <v>1</v>
      </c>
      <c r="V634" t="s">
        <v>93</v>
      </c>
      <c r="W634" t="s">
        <v>195</v>
      </c>
      <c r="X634">
        <v>10</v>
      </c>
      <c r="Y634">
        <v>9</v>
      </c>
      <c r="Z634" t="s">
        <v>1031</v>
      </c>
      <c r="AA634" t="s">
        <v>1032</v>
      </c>
      <c r="AB634" t="s">
        <v>96</v>
      </c>
      <c r="AC634" t="s">
        <v>97</v>
      </c>
      <c r="AD634" t="s">
        <v>690</v>
      </c>
      <c r="AG634" t="s">
        <v>1033</v>
      </c>
      <c r="AH634">
        <v>0</v>
      </c>
      <c r="AI634">
        <v>690</v>
      </c>
      <c r="AJ634">
        <v>65</v>
      </c>
      <c r="AK634">
        <v>17</v>
      </c>
      <c r="AL634">
        <v>0.68</v>
      </c>
    </row>
    <row r="635" spans="1:38" x14ac:dyDescent="0.3">
      <c r="A635" t="s">
        <v>685</v>
      </c>
      <c r="B635">
        <v>122859</v>
      </c>
      <c r="C635">
        <v>1</v>
      </c>
      <c r="D635" t="s">
        <v>1034</v>
      </c>
      <c r="E635" t="s">
        <v>1035</v>
      </c>
      <c r="F635">
        <v>8</v>
      </c>
      <c r="G635">
        <v>26.72</v>
      </c>
      <c r="H635">
        <v>88.36</v>
      </c>
      <c r="I635">
        <v>21.97</v>
      </c>
      <c r="J635">
        <v>72.66</v>
      </c>
      <c r="K635">
        <v>4</v>
      </c>
      <c r="T635">
        <v>3</v>
      </c>
      <c r="U635">
        <v>2</v>
      </c>
      <c r="V635" t="s">
        <v>93</v>
      </c>
      <c r="W635" t="s">
        <v>297</v>
      </c>
      <c r="X635">
        <v>5</v>
      </c>
      <c r="Y635">
        <v>5</v>
      </c>
      <c r="Z635" t="s">
        <v>1036</v>
      </c>
      <c r="AA635" t="s">
        <v>1037</v>
      </c>
      <c r="AB635" t="s">
        <v>96</v>
      </c>
      <c r="AC635" t="s">
        <v>97</v>
      </c>
      <c r="AD635" t="s">
        <v>690</v>
      </c>
      <c r="AG635" t="s">
        <v>1038</v>
      </c>
      <c r="AH635">
        <v>0</v>
      </c>
      <c r="AI635">
        <v>614</v>
      </c>
      <c r="AJ635">
        <v>64</v>
      </c>
      <c r="AK635">
        <v>9</v>
      </c>
      <c r="AL635">
        <v>1.1200000000000001</v>
      </c>
    </row>
    <row r="636" spans="1:38" x14ac:dyDescent="0.3">
      <c r="A636" t="s">
        <v>685</v>
      </c>
      <c r="B636">
        <v>122859</v>
      </c>
      <c r="C636">
        <v>2</v>
      </c>
      <c r="D636" t="s">
        <v>1034</v>
      </c>
      <c r="E636" t="s">
        <v>1035</v>
      </c>
      <c r="F636">
        <v>8</v>
      </c>
      <c r="G636">
        <v>26.8</v>
      </c>
      <c r="H636">
        <v>88.62</v>
      </c>
      <c r="I636">
        <v>22.04</v>
      </c>
      <c r="J636">
        <v>72.87</v>
      </c>
      <c r="K636">
        <v>4</v>
      </c>
      <c r="T636">
        <v>3</v>
      </c>
      <c r="U636">
        <v>2</v>
      </c>
      <c r="V636" t="s">
        <v>93</v>
      </c>
      <c r="W636" t="s">
        <v>298</v>
      </c>
      <c r="X636">
        <v>5</v>
      </c>
      <c r="Y636">
        <v>5</v>
      </c>
      <c r="Z636" t="s">
        <v>1036</v>
      </c>
      <c r="AA636" t="s">
        <v>1037</v>
      </c>
      <c r="AB636" t="s">
        <v>96</v>
      </c>
      <c r="AC636" t="s">
        <v>97</v>
      </c>
      <c r="AD636" t="s">
        <v>690</v>
      </c>
      <c r="AG636" t="s">
        <v>1038</v>
      </c>
      <c r="AH636">
        <v>0</v>
      </c>
      <c r="AI636">
        <v>614</v>
      </c>
      <c r="AJ636">
        <v>64</v>
      </c>
      <c r="AK636">
        <v>9</v>
      </c>
      <c r="AL636">
        <v>1.1200000000000001</v>
      </c>
    </row>
    <row r="637" spans="1:38" x14ac:dyDescent="0.3">
      <c r="A637" t="s">
        <v>685</v>
      </c>
      <c r="B637">
        <v>132877</v>
      </c>
      <c r="C637">
        <v>1</v>
      </c>
      <c r="D637" t="s">
        <v>1039</v>
      </c>
      <c r="E637" t="s">
        <v>151</v>
      </c>
      <c r="F637">
        <v>8</v>
      </c>
      <c r="G637">
        <v>20.22</v>
      </c>
      <c r="H637">
        <v>66.86</v>
      </c>
      <c r="I637">
        <v>17.239999999999998</v>
      </c>
      <c r="J637">
        <v>57.02</v>
      </c>
      <c r="K637">
        <v>2</v>
      </c>
      <c r="T637">
        <v>3</v>
      </c>
      <c r="U637">
        <v>1</v>
      </c>
      <c r="V637" t="s">
        <v>93</v>
      </c>
      <c r="W637">
        <v>66</v>
      </c>
      <c r="X637">
        <v>12</v>
      </c>
      <c r="Y637">
        <v>12</v>
      </c>
      <c r="Z637" t="s">
        <v>1040</v>
      </c>
      <c r="AA637" t="s">
        <v>1041</v>
      </c>
      <c r="AB637" t="s">
        <v>96</v>
      </c>
      <c r="AC637" t="s">
        <v>97</v>
      </c>
      <c r="AD637" t="s">
        <v>690</v>
      </c>
      <c r="AG637" t="s">
        <v>1042</v>
      </c>
      <c r="AH637">
        <v>0</v>
      </c>
      <c r="AI637">
        <v>653</v>
      </c>
      <c r="AJ637">
        <v>70</v>
      </c>
      <c r="AK637">
        <v>7</v>
      </c>
      <c r="AL637">
        <v>0.88</v>
      </c>
    </row>
    <row r="638" spans="1:38" x14ac:dyDescent="0.3">
      <c r="A638" t="s">
        <v>685</v>
      </c>
      <c r="B638">
        <v>132877</v>
      </c>
      <c r="C638">
        <v>2</v>
      </c>
      <c r="D638" t="s">
        <v>1039</v>
      </c>
      <c r="E638" t="s">
        <v>151</v>
      </c>
      <c r="F638">
        <v>8</v>
      </c>
      <c r="G638">
        <v>23.35</v>
      </c>
      <c r="H638">
        <v>77.2</v>
      </c>
      <c r="I638">
        <v>19.989999999999998</v>
      </c>
      <c r="J638">
        <v>66.09</v>
      </c>
      <c r="K638">
        <v>1</v>
      </c>
      <c r="T638">
        <v>3</v>
      </c>
      <c r="U638">
        <v>1</v>
      </c>
      <c r="V638" t="s">
        <v>93</v>
      </c>
      <c r="W638">
        <v>77</v>
      </c>
      <c r="X638">
        <v>12</v>
      </c>
      <c r="Y638">
        <v>12</v>
      </c>
      <c r="Z638" t="s">
        <v>1040</v>
      </c>
      <c r="AA638" t="s">
        <v>1041</v>
      </c>
      <c r="AB638" t="s">
        <v>96</v>
      </c>
      <c r="AC638" t="s">
        <v>97</v>
      </c>
      <c r="AD638" t="s">
        <v>690</v>
      </c>
      <c r="AG638" t="s">
        <v>1042</v>
      </c>
      <c r="AH638">
        <v>0</v>
      </c>
      <c r="AI638">
        <v>653</v>
      </c>
      <c r="AJ638">
        <v>70</v>
      </c>
      <c r="AK638">
        <v>7</v>
      </c>
      <c r="AL638">
        <v>0.88</v>
      </c>
    </row>
    <row r="639" spans="1:38" x14ac:dyDescent="0.3">
      <c r="A639" t="s">
        <v>685</v>
      </c>
      <c r="B639">
        <v>132877</v>
      </c>
      <c r="C639">
        <v>3</v>
      </c>
      <c r="D639" t="s">
        <v>1039</v>
      </c>
      <c r="E639" t="s">
        <v>151</v>
      </c>
      <c r="F639">
        <v>8</v>
      </c>
      <c r="G639">
        <v>23.87</v>
      </c>
      <c r="H639">
        <v>78.92</v>
      </c>
      <c r="I639">
        <v>20.49</v>
      </c>
      <c r="J639">
        <v>67.739999999999995</v>
      </c>
      <c r="K639">
        <v>2</v>
      </c>
      <c r="T639">
        <v>3</v>
      </c>
      <c r="U639">
        <v>1</v>
      </c>
      <c r="V639" t="s">
        <v>93</v>
      </c>
      <c r="W639" t="s">
        <v>599</v>
      </c>
      <c r="X639">
        <v>12</v>
      </c>
      <c r="Y639">
        <v>12</v>
      </c>
      <c r="Z639" t="s">
        <v>1040</v>
      </c>
      <c r="AA639" t="s">
        <v>1041</v>
      </c>
      <c r="AB639" t="s">
        <v>96</v>
      </c>
      <c r="AC639" t="s">
        <v>97</v>
      </c>
      <c r="AD639" t="s">
        <v>690</v>
      </c>
      <c r="AG639" t="s">
        <v>1042</v>
      </c>
      <c r="AH639">
        <v>0</v>
      </c>
      <c r="AI639">
        <v>653</v>
      </c>
      <c r="AJ639">
        <v>70</v>
      </c>
      <c r="AK639">
        <v>7</v>
      </c>
      <c r="AL639">
        <v>0.88</v>
      </c>
    </row>
    <row r="640" spans="1:38" x14ac:dyDescent="0.3">
      <c r="A640" t="s">
        <v>685</v>
      </c>
      <c r="B640">
        <v>132877</v>
      </c>
      <c r="C640">
        <v>4</v>
      </c>
      <c r="D640" t="s">
        <v>1039</v>
      </c>
      <c r="E640" t="s">
        <v>151</v>
      </c>
      <c r="F640">
        <v>8</v>
      </c>
      <c r="G640">
        <v>23.79</v>
      </c>
      <c r="H640">
        <v>78.67</v>
      </c>
      <c r="I640">
        <v>20.37</v>
      </c>
      <c r="J640">
        <v>67.349999999999994</v>
      </c>
      <c r="K640">
        <v>1</v>
      </c>
      <c r="T640">
        <v>3</v>
      </c>
      <c r="U640">
        <v>1</v>
      </c>
      <c r="V640" t="s">
        <v>93</v>
      </c>
      <c r="W640" t="s">
        <v>318</v>
      </c>
      <c r="X640">
        <v>12</v>
      </c>
      <c r="Y640">
        <v>12</v>
      </c>
      <c r="Z640" t="s">
        <v>1040</v>
      </c>
      <c r="AA640" t="s">
        <v>1041</v>
      </c>
      <c r="AB640" t="s">
        <v>96</v>
      </c>
      <c r="AC640" t="s">
        <v>97</v>
      </c>
      <c r="AD640" t="s">
        <v>690</v>
      </c>
      <c r="AG640" t="s">
        <v>1042</v>
      </c>
      <c r="AH640">
        <v>0</v>
      </c>
      <c r="AI640">
        <v>653</v>
      </c>
      <c r="AJ640">
        <v>70</v>
      </c>
      <c r="AK640">
        <v>7</v>
      </c>
      <c r="AL640">
        <v>0.88</v>
      </c>
    </row>
    <row r="641" spans="1:38" x14ac:dyDescent="0.3">
      <c r="A641" t="s">
        <v>685</v>
      </c>
      <c r="B641">
        <v>132877</v>
      </c>
      <c r="C641">
        <v>5</v>
      </c>
      <c r="D641" t="s">
        <v>1039</v>
      </c>
      <c r="E641" t="s">
        <v>151</v>
      </c>
      <c r="F641">
        <v>8</v>
      </c>
      <c r="G641">
        <v>23.81</v>
      </c>
      <c r="H641">
        <v>78.72</v>
      </c>
      <c r="I641">
        <v>20.56</v>
      </c>
      <c r="J641">
        <v>67.98</v>
      </c>
      <c r="K641">
        <v>1</v>
      </c>
      <c r="T641">
        <v>3</v>
      </c>
      <c r="U641">
        <v>1</v>
      </c>
      <c r="V641" t="s">
        <v>93</v>
      </c>
      <c r="W641" t="s">
        <v>790</v>
      </c>
      <c r="X641">
        <v>12</v>
      </c>
      <c r="Y641">
        <v>12</v>
      </c>
      <c r="Z641" t="s">
        <v>1040</v>
      </c>
      <c r="AA641" t="s">
        <v>1041</v>
      </c>
      <c r="AB641" t="s">
        <v>96</v>
      </c>
      <c r="AC641" t="s">
        <v>97</v>
      </c>
      <c r="AD641" t="s">
        <v>690</v>
      </c>
      <c r="AG641" t="s">
        <v>1042</v>
      </c>
      <c r="AH641">
        <v>0</v>
      </c>
      <c r="AI641">
        <v>653</v>
      </c>
      <c r="AJ641">
        <v>70</v>
      </c>
      <c r="AK641">
        <v>7</v>
      </c>
      <c r="AL641">
        <v>0.88</v>
      </c>
    </row>
    <row r="642" spans="1:38" x14ac:dyDescent="0.3">
      <c r="A642" t="s">
        <v>685</v>
      </c>
      <c r="B642">
        <v>132877</v>
      </c>
      <c r="C642">
        <v>6</v>
      </c>
      <c r="D642" t="s">
        <v>1039</v>
      </c>
      <c r="E642" t="s">
        <v>151</v>
      </c>
      <c r="F642">
        <v>8</v>
      </c>
      <c r="G642">
        <v>23.98</v>
      </c>
      <c r="H642">
        <v>79.290000000000006</v>
      </c>
      <c r="I642">
        <v>20.39</v>
      </c>
      <c r="J642">
        <v>67.42</v>
      </c>
      <c r="K642">
        <v>1</v>
      </c>
      <c r="T642">
        <v>3</v>
      </c>
      <c r="U642">
        <v>1</v>
      </c>
      <c r="V642" t="s">
        <v>93</v>
      </c>
      <c r="W642" t="s">
        <v>475</v>
      </c>
      <c r="X642">
        <v>12</v>
      </c>
      <c r="Y642">
        <v>12</v>
      </c>
      <c r="Z642" t="s">
        <v>1040</v>
      </c>
      <c r="AA642" t="s">
        <v>1041</v>
      </c>
      <c r="AB642" t="s">
        <v>96</v>
      </c>
      <c r="AC642" t="s">
        <v>97</v>
      </c>
      <c r="AD642" t="s">
        <v>690</v>
      </c>
      <c r="AG642" t="s">
        <v>1042</v>
      </c>
      <c r="AH642">
        <v>0</v>
      </c>
      <c r="AI642">
        <v>653</v>
      </c>
      <c r="AJ642">
        <v>70</v>
      </c>
      <c r="AK642">
        <v>7</v>
      </c>
      <c r="AL642">
        <v>0.88</v>
      </c>
    </row>
    <row r="643" spans="1:38" x14ac:dyDescent="0.3">
      <c r="A643" t="s">
        <v>685</v>
      </c>
      <c r="B643">
        <v>135816</v>
      </c>
      <c r="C643">
        <v>1</v>
      </c>
      <c r="D643" t="s">
        <v>1043</v>
      </c>
      <c r="E643" t="s">
        <v>935</v>
      </c>
      <c r="F643">
        <v>12</v>
      </c>
      <c r="G643">
        <v>18.649999999999999</v>
      </c>
      <c r="H643">
        <v>61.67</v>
      </c>
      <c r="I643">
        <v>14.51</v>
      </c>
      <c r="J643">
        <v>47.99</v>
      </c>
      <c r="K643">
        <v>8</v>
      </c>
      <c r="T643">
        <v>3</v>
      </c>
      <c r="U643">
        <v>2</v>
      </c>
      <c r="V643" t="s">
        <v>93</v>
      </c>
      <c r="W643" t="s">
        <v>693</v>
      </c>
      <c r="X643">
        <v>11</v>
      </c>
      <c r="Y643">
        <v>11</v>
      </c>
      <c r="Z643" t="s">
        <v>1044</v>
      </c>
      <c r="AA643" t="s">
        <v>1045</v>
      </c>
      <c r="AB643" t="s">
        <v>96</v>
      </c>
      <c r="AC643" t="s">
        <v>97</v>
      </c>
      <c r="AD643" t="s">
        <v>690</v>
      </c>
      <c r="AG643" t="s">
        <v>1046</v>
      </c>
      <c r="AH643">
        <v>0</v>
      </c>
      <c r="AI643">
        <v>425</v>
      </c>
      <c r="AJ643">
        <v>46</v>
      </c>
      <c r="AK643">
        <v>8</v>
      </c>
      <c r="AL643">
        <v>0.67</v>
      </c>
    </row>
    <row r="644" spans="1:38" x14ac:dyDescent="0.3">
      <c r="A644" t="s">
        <v>685</v>
      </c>
      <c r="B644">
        <v>135816</v>
      </c>
      <c r="C644">
        <v>2</v>
      </c>
      <c r="D644" t="s">
        <v>1043</v>
      </c>
      <c r="E644" t="s">
        <v>935</v>
      </c>
      <c r="F644">
        <v>12</v>
      </c>
      <c r="G644">
        <v>18.93</v>
      </c>
      <c r="H644">
        <v>62.6</v>
      </c>
      <c r="I644">
        <v>14.73</v>
      </c>
      <c r="J644">
        <v>48.7</v>
      </c>
      <c r="K644">
        <v>4</v>
      </c>
      <c r="T644">
        <v>3</v>
      </c>
      <c r="U644">
        <v>2</v>
      </c>
      <c r="V644" t="s">
        <v>93</v>
      </c>
      <c r="W644" t="s">
        <v>255</v>
      </c>
      <c r="X644">
        <v>11</v>
      </c>
      <c r="Y644">
        <v>11</v>
      </c>
      <c r="Z644" t="s">
        <v>1044</v>
      </c>
      <c r="AA644" t="s">
        <v>1045</v>
      </c>
      <c r="AB644" t="s">
        <v>96</v>
      </c>
      <c r="AC644" t="s">
        <v>97</v>
      </c>
      <c r="AD644" t="s">
        <v>690</v>
      </c>
      <c r="AG644" t="s">
        <v>1046</v>
      </c>
      <c r="AH644">
        <v>0</v>
      </c>
      <c r="AI644">
        <v>425</v>
      </c>
      <c r="AJ644">
        <v>46</v>
      </c>
      <c r="AK644">
        <v>8</v>
      </c>
      <c r="AL644">
        <v>0.67</v>
      </c>
    </row>
    <row r="645" spans="1:38" x14ac:dyDescent="0.3">
      <c r="A645" t="s">
        <v>685</v>
      </c>
      <c r="B645">
        <v>124934</v>
      </c>
      <c r="C645">
        <v>1</v>
      </c>
      <c r="D645" t="s">
        <v>1047</v>
      </c>
      <c r="E645" t="s">
        <v>1048</v>
      </c>
      <c r="F645">
        <v>91</v>
      </c>
      <c r="G645">
        <v>30</v>
      </c>
      <c r="H645">
        <v>99.2</v>
      </c>
      <c r="I645">
        <v>24.57</v>
      </c>
      <c r="J645">
        <v>81.239999999999995</v>
      </c>
      <c r="K645">
        <v>26</v>
      </c>
      <c r="T645">
        <v>3</v>
      </c>
      <c r="U645">
        <v>2</v>
      </c>
      <c r="V645" t="s">
        <v>93</v>
      </c>
      <c r="W645" t="s">
        <v>1049</v>
      </c>
      <c r="X645">
        <v>14</v>
      </c>
      <c r="Y645">
        <v>14</v>
      </c>
      <c r="Z645" t="s">
        <v>1050</v>
      </c>
      <c r="AA645" t="s">
        <v>1051</v>
      </c>
      <c r="AB645" t="s">
        <v>96</v>
      </c>
      <c r="AC645" t="s">
        <v>97</v>
      </c>
      <c r="AD645" t="s">
        <v>690</v>
      </c>
      <c r="AG645" t="s">
        <v>1052</v>
      </c>
      <c r="AH645">
        <v>0</v>
      </c>
      <c r="AI645">
        <v>379</v>
      </c>
      <c r="AJ645">
        <v>45</v>
      </c>
      <c r="AK645">
        <v>93</v>
      </c>
      <c r="AL645">
        <v>1.02</v>
      </c>
    </row>
    <row r="646" spans="1:38" x14ac:dyDescent="0.3">
      <c r="A646" t="s">
        <v>685</v>
      </c>
      <c r="B646">
        <v>124934</v>
      </c>
      <c r="C646">
        <v>2</v>
      </c>
      <c r="D646" t="s">
        <v>1047</v>
      </c>
      <c r="E646" t="s">
        <v>1048</v>
      </c>
      <c r="F646">
        <v>91</v>
      </c>
      <c r="G646">
        <v>30.13</v>
      </c>
      <c r="H646">
        <v>99.62</v>
      </c>
      <c r="I646">
        <v>24.62</v>
      </c>
      <c r="J646">
        <v>81.41</v>
      </c>
      <c r="K646">
        <v>13</v>
      </c>
      <c r="T646">
        <v>3</v>
      </c>
      <c r="U646">
        <v>2</v>
      </c>
      <c r="V646" t="s">
        <v>93</v>
      </c>
      <c r="W646" t="s">
        <v>1053</v>
      </c>
      <c r="X646">
        <v>14</v>
      </c>
      <c r="Y646">
        <v>14</v>
      </c>
      <c r="Z646" t="s">
        <v>1050</v>
      </c>
      <c r="AA646" t="s">
        <v>1051</v>
      </c>
      <c r="AB646" t="s">
        <v>96</v>
      </c>
      <c r="AC646" t="s">
        <v>97</v>
      </c>
      <c r="AD646" t="s">
        <v>690</v>
      </c>
      <c r="AG646" t="s">
        <v>1052</v>
      </c>
      <c r="AH646">
        <v>0</v>
      </c>
      <c r="AI646">
        <v>379</v>
      </c>
      <c r="AJ646">
        <v>45</v>
      </c>
      <c r="AK646">
        <v>93</v>
      </c>
      <c r="AL646">
        <v>1.02</v>
      </c>
    </row>
    <row r="647" spans="1:38" x14ac:dyDescent="0.3">
      <c r="A647" t="s">
        <v>685</v>
      </c>
      <c r="B647">
        <v>124934</v>
      </c>
      <c r="C647">
        <v>3</v>
      </c>
      <c r="D647" t="s">
        <v>1047</v>
      </c>
      <c r="E647" t="s">
        <v>1048</v>
      </c>
      <c r="F647">
        <v>91</v>
      </c>
      <c r="G647">
        <v>30.1</v>
      </c>
      <c r="H647">
        <v>99.51</v>
      </c>
      <c r="I647">
        <v>24.64</v>
      </c>
      <c r="J647">
        <v>81.47</v>
      </c>
      <c r="K647">
        <v>13</v>
      </c>
      <c r="T647">
        <v>3</v>
      </c>
      <c r="U647">
        <v>2</v>
      </c>
      <c r="V647" t="s">
        <v>93</v>
      </c>
      <c r="W647" t="s">
        <v>1054</v>
      </c>
      <c r="X647">
        <v>14</v>
      </c>
      <c r="Y647">
        <v>14</v>
      </c>
      <c r="Z647" t="s">
        <v>1050</v>
      </c>
      <c r="AA647" t="s">
        <v>1051</v>
      </c>
      <c r="AB647" t="s">
        <v>96</v>
      </c>
      <c r="AC647" t="s">
        <v>97</v>
      </c>
      <c r="AD647" t="s">
        <v>690</v>
      </c>
      <c r="AG647" t="s">
        <v>1052</v>
      </c>
      <c r="AH647">
        <v>0</v>
      </c>
      <c r="AI647">
        <v>379</v>
      </c>
      <c r="AJ647">
        <v>45</v>
      </c>
      <c r="AK647">
        <v>93</v>
      </c>
      <c r="AL647">
        <v>1.02</v>
      </c>
    </row>
    <row r="648" spans="1:38" x14ac:dyDescent="0.3">
      <c r="A648" t="s">
        <v>685</v>
      </c>
      <c r="B648">
        <v>124934</v>
      </c>
      <c r="C648">
        <v>4</v>
      </c>
      <c r="D648" t="s">
        <v>1047</v>
      </c>
      <c r="E648" t="s">
        <v>1048</v>
      </c>
      <c r="F648">
        <v>91</v>
      </c>
      <c r="G648">
        <v>30.67</v>
      </c>
      <c r="H648">
        <v>101.42</v>
      </c>
      <c r="I648">
        <v>25.15</v>
      </c>
      <c r="J648">
        <v>83.16</v>
      </c>
      <c r="K648">
        <v>26</v>
      </c>
      <c r="T648">
        <v>3</v>
      </c>
      <c r="U648">
        <v>2</v>
      </c>
      <c r="V648" t="s">
        <v>93</v>
      </c>
      <c r="W648" t="s">
        <v>1055</v>
      </c>
      <c r="X648">
        <v>14</v>
      </c>
      <c r="Y648">
        <v>14</v>
      </c>
      <c r="Z648" t="s">
        <v>1050</v>
      </c>
      <c r="AA648" t="s">
        <v>1051</v>
      </c>
      <c r="AB648" t="s">
        <v>96</v>
      </c>
      <c r="AC648" t="s">
        <v>97</v>
      </c>
      <c r="AD648" t="s">
        <v>690</v>
      </c>
      <c r="AG648" t="s">
        <v>1052</v>
      </c>
      <c r="AH648">
        <v>0</v>
      </c>
      <c r="AI648">
        <v>379</v>
      </c>
      <c r="AJ648">
        <v>45</v>
      </c>
      <c r="AK648">
        <v>93</v>
      </c>
      <c r="AL648">
        <v>1.02</v>
      </c>
    </row>
    <row r="649" spans="1:38" x14ac:dyDescent="0.3">
      <c r="A649" t="s">
        <v>685</v>
      </c>
      <c r="B649">
        <v>124934</v>
      </c>
      <c r="C649">
        <v>5</v>
      </c>
      <c r="D649" t="s">
        <v>1047</v>
      </c>
      <c r="E649" t="s">
        <v>1048</v>
      </c>
      <c r="F649">
        <v>91</v>
      </c>
      <c r="G649">
        <v>31.25</v>
      </c>
      <c r="H649">
        <v>103.33</v>
      </c>
      <c r="I649">
        <v>25.37</v>
      </c>
      <c r="J649">
        <v>83.9</v>
      </c>
      <c r="K649">
        <v>13</v>
      </c>
      <c r="T649">
        <v>3</v>
      </c>
      <c r="U649">
        <v>2</v>
      </c>
      <c r="V649" t="s">
        <v>93</v>
      </c>
      <c r="W649" t="s">
        <v>602</v>
      </c>
      <c r="X649">
        <v>14</v>
      </c>
      <c r="Y649">
        <v>14</v>
      </c>
      <c r="Z649" t="s">
        <v>1050</v>
      </c>
      <c r="AA649" t="s">
        <v>1051</v>
      </c>
      <c r="AB649" t="s">
        <v>96</v>
      </c>
      <c r="AC649" t="s">
        <v>97</v>
      </c>
      <c r="AD649" t="s">
        <v>690</v>
      </c>
      <c r="AG649" t="s">
        <v>1052</v>
      </c>
      <c r="AH649">
        <v>0</v>
      </c>
      <c r="AI649">
        <v>379</v>
      </c>
      <c r="AJ649">
        <v>45</v>
      </c>
      <c r="AK649">
        <v>93</v>
      </c>
      <c r="AL649">
        <v>1.02</v>
      </c>
    </row>
    <row r="650" spans="1:38" x14ac:dyDescent="0.3">
      <c r="A650" t="s">
        <v>685</v>
      </c>
      <c r="B650">
        <v>130409</v>
      </c>
      <c r="C650">
        <v>1</v>
      </c>
      <c r="D650" t="s">
        <v>1056</v>
      </c>
      <c r="E650" t="s">
        <v>1057</v>
      </c>
      <c r="F650">
        <v>32</v>
      </c>
      <c r="G650">
        <v>22.91</v>
      </c>
      <c r="H650">
        <v>75.75</v>
      </c>
      <c r="I650">
        <v>18.04</v>
      </c>
      <c r="J650">
        <v>59.65</v>
      </c>
      <c r="K650">
        <v>16</v>
      </c>
      <c r="T650">
        <v>3</v>
      </c>
      <c r="U650">
        <v>1</v>
      </c>
      <c r="V650" t="s">
        <v>93</v>
      </c>
      <c r="W650" t="s">
        <v>882</v>
      </c>
      <c r="X650">
        <v>17</v>
      </c>
      <c r="Y650">
        <v>17</v>
      </c>
      <c r="Z650" t="s">
        <v>1058</v>
      </c>
      <c r="AA650" t="s">
        <v>1059</v>
      </c>
      <c r="AB650" t="s">
        <v>96</v>
      </c>
      <c r="AC650" t="s">
        <v>97</v>
      </c>
      <c r="AD650" t="s">
        <v>690</v>
      </c>
      <c r="AG650" t="s">
        <v>1060</v>
      </c>
      <c r="AH650">
        <v>0</v>
      </c>
      <c r="AI650">
        <v>849</v>
      </c>
      <c r="AJ650">
        <v>67</v>
      </c>
      <c r="AK650">
        <v>28</v>
      </c>
      <c r="AL650">
        <v>0.88</v>
      </c>
    </row>
    <row r="651" spans="1:38" x14ac:dyDescent="0.3">
      <c r="A651" t="s">
        <v>685</v>
      </c>
      <c r="B651">
        <v>130409</v>
      </c>
      <c r="C651">
        <v>2</v>
      </c>
      <c r="D651" t="s">
        <v>1056</v>
      </c>
      <c r="E651" t="s">
        <v>1057</v>
      </c>
      <c r="F651">
        <v>32</v>
      </c>
      <c r="G651">
        <v>22.78</v>
      </c>
      <c r="H651">
        <v>75.31</v>
      </c>
      <c r="I651">
        <v>18.05</v>
      </c>
      <c r="J651">
        <v>59.67</v>
      </c>
      <c r="K651">
        <v>16</v>
      </c>
      <c r="T651">
        <v>3</v>
      </c>
      <c r="U651">
        <v>1</v>
      </c>
      <c r="V651" t="s">
        <v>93</v>
      </c>
      <c r="W651" t="s">
        <v>407</v>
      </c>
      <c r="X651">
        <v>17</v>
      </c>
      <c r="Y651">
        <v>17</v>
      </c>
      <c r="Z651" t="s">
        <v>1058</v>
      </c>
      <c r="AA651" t="s">
        <v>1059</v>
      </c>
      <c r="AB651" t="s">
        <v>96</v>
      </c>
      <c r="AC651" t="s">
        <v>97</v>
      </c>
      <c r="AD651" t="s">
        <v>690</v>
      </c>
      <c r="AG651" t="s">
        <v>1060</v>
      </c>
      <c r="AH651">
        <v>0</v>
      </c>
      <c r="AI651">
        <v>849</v>
      </c>
      <c r="AJ651">
        <v>67</v>
      </c>
      <c r="AK651">
        <v>28</v>
      </c>
      <c r="AL651">
        <v>0.88</v>
      </c>
    </row>
    <row r="652" spans="1:38" x14ac:dyDescent="0.3">
      <c r="A652" t="s">
        <v>685</v>
      </c>
      <c r="B652">
        <v>14433</v>
      </c>
      <c r="C652">
        <v>1</v>
      </c>
      <c r="D652" t="s">
        <v>1061</v>
      </c>
      <c r="E652" t="s">
        <v>742</v>
      </c>
      <c r="F652">
        <v>80</v>
      </c>
      <c r="G652">
        <v>27.88</v>
      </c>
      <c r="H652">
        <v>92.17</v>
      </c>
      <c r="I652">
        <v>23.56</v>
      </c>
      <c r="J652">
        <v>77.900000000000006</v>
      </c>
      <c r="K652">
        <v>80</v>
      </c>
      <c r="T652">
        <v>3</v>
      </c>
      <c r="U652">
        <v>2</v>
      </c>
      <c r="V652" t="s">
        <v>93</v>
      </c>
      <c r="W652">
        <v>92</v>
      </c>
      <c r="X652">
        <v>12</v>
      </c>
      <c r="Y652">
        <v>12</v>
      </c>
      <c r="Z652" t="s">
        <v>1062</v>
      </c>
      <c r="AA652" t="s">
        <v>1063</v>
      </c>
      <c r="AB652" t="s">
        <v>96</v>
      </c>
      <c r="AC652" t="s">
        <v>97</v>
      </c>
      <c r="AD652" t="s">
        <v>690</v>
      </c>
      <c r="AG652" t="s">
        <v>1064</v>
      </c>
      <c r="AH652">
        <v>0</v>
      </c>
      <c r="AI652">
        <v>304</v>
      </c>
      <c r="AJ652">
        <v>38</v>
      </c>
      <c r="AK652">
        <v>83</v>
      </c>
      <c r="AL652">
        <v>1.04</v>
      </c>
    </row>
    <row r="653" spans="1:38" x14ac:dyDescent="0.3">
      <c r="A653" t="s">
        <v>685</v>
      </c>
      <c r="B653">
        <v>134192</v>
      </c>
      <c r="C653">
        <v>1</v>
      </c>
      <c r="D653" t="s">
        <v>1065</v>
      </c>
      <c r="E653" t="s">
        <v>274</v>
      </c>
      <c r="F653">
        <v>11</v>
      </c>
      <c r="G653">
        <v>23.57</v>
      </c>
      <c r="H653">
        <v>77.95</v>
      </c>
      <c r="I653">
        <v>18.12</v>
      </c>
      <c r="J653">
        <v>59.92</v>
      </c>
      <c r="K653">
        <v>3</v>
      </c>
      <c r="T653">
        <v>3</v>
      </c>
      <c r="U653">
        <v>1</v>
      </c>
      <c r="V653" t="s">
        <v>211</v>
      </c>
      <c r="W653" t="s">
        <v>948</v>
      </c>
      <c r="X653">
        <v>17</v>
      </c>
      <c r="Y653">
        <v>16</v>
      </c>
      <c r="Z653" t="s">
        <v>1066</v>
      </c>
      <c r="AA653" t="s">
        <v>1067</v>
      </c>
      <c r="AB653" t="s">
        <v>96</v>
      </c>
      <c r="AC653" t="s">
        <v>97</v>
      </c>
      <c r="AD653" t="s">
        <v>690</v>
      </c>
      <c r="AG653" t="s">
        <v>1068</v>
      </c>
      <c r="AH653">
        <v>0</v>
      </c>
      <c r="AI653">
        <v>849</v>
      </c>
      <c r="AJ653">
        <v>75</v>
      </c>
      <c r="AK653">
        <v>10</v>
      </c>
      <c r="AL653">
        <v>0.91</v>
      </c>
    </row>
    <row r="654" spans="1:38" x14ac:dyDescent="0.3">
      <c r="A654" t="s">
        <v>685</v>
      </c>
      <c r="B654">
        <v>134192</v>
      </c>
      <c r="C654">
        <v>2</v>
      </c>
      <c r="D654" t="s">
        <v>1065</v>
      </c>
      <c r="E654" t="s">
        <v>274</v>
      </c>
      <c r="F654">
        <v>11</v>
      </c>
      <c r="G654">
        <v>23.67</v>
      </c>
      <c r="H654">
        <v>78.260000000000005</v>
      </c>
      <c r="I654">
        <v>18.07</v>
      </c>
      <c r="J654">
        <v>59.76</v>
      </c>
      <c r="K654">
        <v>6</v>
      </c>
      <c r="T654">
        <v>3</v>
      </c>
      <c r="U654">
        <v>1</v>
      </c>
      <c r="V654" t="s">
        <v>211</v>
      </c>
      <c r="W654" t="s">
        <v>318</v>
      </c>
      <c r="X654">
        <v>17</v>
      </c>
      <c r="Y654">
        <v>16</v>
      </c>
      <c r="Z654" t="s">
        <v>1066</v>
      </c>
      <c r="AA654" t="s">
        <v>1067</v>
      </c>
      <c r="AB654" t="s">
        <v>96</v>
      </c>
      <c r="AC654" t="s">
        <v>97</v>
      </c>
      <c r="AD654" t="s">
        <v>690</v>
      </c>
      <c r="AG654" t="s">
        <v>1068</v>
      </c>
      <c r="AH654">
        <v>0</v>
      </c>
      <c r="AI654">
        <v>849</v>
      </c>
      <c r="AJ654">
        <v>75</v>
      </c>
      <c r="AK654">
        <v>10</v>
      </c>
      <c r="AL654">
        <v>0.91</v>
      </c>
    </row>
    <row r="655" spans="1:38" x14ac:dyDescent="0.3">
      <c r="A655" t="s">
        <v>685</v>
      </c>
      <c r="B655">
        <v>134192</v>
      </c>
      <c r="C655">
        <v>3</v>
      </c>
      <c r="D655" t="s">
        <v>1065</v>
      </c>
      <c r="E655" t="s">
        <v>274</v>
      </c>
      <c r="F655">
        <v>11</v>
      </c>
      <c r="G655">
        <v>24.09</v>
      </c>
      <c r="H655">
        <v>79.650000000000006</v>
      </c>
      <c r="I655">
        <v>18.13</v>
      </c>
      <c r="J655">
        <v>59.94</v>
      </c>
      <c r="K655">
        <v>1</v>
      </c>
      <c r="T655">
        <v>3</v>
      </c>
      <c r="U655">
        <v>1</v>
      </c>
      <c r="V655" t="s">
        <v>211</v>
      </c>
      <c r="W655" t="s">
        <v>794</v>
      </c>
      <c r="X655">
        <v>17</v>
      </c>
      <c r="Y655">
        <v>16</v>
      </c>
      <c r="Z655" t="s">
        <v>1066</v>
      </c>
      <c r="AA655" t="s">
        <v>1067</v>
      </c>
      <c r="AB655" t="s">
        <v>96</v>
      </c>
      <c r="AC655" t="s">
        <v>97</v>
      </c>
      <c r="AD655" t="s">
        <v>690</v>
      </c>
      <c r="AG655" t="s">
        <v>1068</v>
      </c>
      <c r="AH655">
        <v>0</v>
      </c>
      <c r="AI655">
        <v>849</v>
      </c>
      <c r="AJ655">
        <v>75</v>
      </c>
      <c r="AK655">
        <v>10</v>
      </c>
      <c r="AL655">
        <v>0.91</v>
      </c>
    </row>
    <row r="656" spans="1:38" x14ac:dyDescent="0.3">
      <c r="A656" t="s">
        <v>685</v>
      </c>
      <c r="B656">
        <v>134192</v>
      </c>
      <c r="C656">
        <v>4</v>
      </c>
      <c r="D656" t="s">
        <v>1065</v>
      </c>
      <c r="E656" t="s">
        <v>274</v>
      </c>
      <c r="F656">
        <v>11</v>
      </c>
      <c r="G656">
        <v>33.06</v>
      </c>
      <c r="H656">
        <v>109.3</v>
      </c>
      <c r="I656">
        <v>25.47</v>
      </c>
      <c r="J656">
        <v>84.21</v>
      </c>
      <c r="K656">
        <v>1</v>
      </c>
      <c r="T656">
        <v>3</v>
      </c>
      <c r="U656">
        <v>2</v>
      </c>
      <c r="V656" t="s">
        <v>211</v>
      </c>
      <c r="W656">
        <v>109</v>
      </c>
      <c r="X656">
        <v>17</v>
      </c>
      <c r="Y656">
        <v>16</v>
      </c>
      <c r="Z656" t="s">
        <v>1066</v>
      </c>
      <c r="AA656" t="s">
        <v>1067</v>
      </c>
      <c r="AB656" t="s">
        <v>96</v>
      </c>
      <c r="AC656" t="s">
        <v>97</v>
      </c>
      <c r="AD656" t="s">
        <v>690</v>
      </c>
      <c r="AG656" t="s">
        <v>1068</v>
      </c>
      <c r="AH656">
        <v>0</v>
      </c>
      <c r="AI656">
        <v>849</v>
      </c>
      <c r="AJ656">
        <v>75</v>
      </c>
      <c r="AK656">
        <v>10</v>
      </c>
      <c r="AL656">
        <v>0.91</v>
      </c>
    </row>
    <row r="657" spans="1:38" x14ac:dyDescent="0.3">
      <c r="A657" t="s">
        <v>685</v>
      </c>
      <c r="B657">
        <v>11342</v>
      </c>
      <c r="C657">
        <v>1</v>
      </c>
      <c r="D657" t="s">
        <v>1069</v>
      </c>
      <c r="E657" t="s">
        <v>1070</v>
      </c>
      <c r="F657">
        <v>75</v>
      </c>
      <c r="G657">
        <v>23.83</v>
      </c>
      <c r="H657">
        <v>78.8</v>
      </c>
      <c r="I657">
        <v>19.87</v>
      </c>
      <c r="J657">
        <v>65.709999999999994</v>
      </c>
      <c r="K657">
        <v>10</v>
      </c>
      <c r="T657">
        <v>3</v>
      </c>
      <c r="U657">
        <v>1</v>
      </c>
      <c r="V657" t="s">
        <v>93</v>
      </c>
      <c r="W657">
        <v>78</v>
      </c>
      <c r="X657">
        <v>5</v>
      </c>
      <c r="Y657">
        <v>5</v>
      </c>
      <c r="Z657" t="s">
        <v>1071</v>
      </c>
      <c r="AA657" t="s">
        <v>1072</v>
      </c>
      <c r="AB657" t="s">
        <v>96</v>
      </c>
      <c r="AC657" t="s">
        <v>97</v>
      </c>
      <c r="AD657" t="s">
        <v>690</v>
      </c>
      <c r="AG657" t="s">
        <v>1073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685</v>
      </c>
      <c r="B658">
        <v>11342</v>
      </c>
      <c r="C658">
        <v>2</v>
      </c>
      <c r="D658" t="s">
        <v>1069</v>
      </c>
      <c r="E658" t="s">
        <v>1070</v>
      </c>
      <c r="F658">
        <v>75</v>
      </c>
      <c r="G658">
        <v>24.94</v>
      </c>
      <c r="H658">
        <v>82.47</v>
      </c>
      <c r="I658">
        <v>20.99</v>
      </c>
      <c r="J658">
        <v>69.39</v>
      </c>
      <c r="K658">
        <v>10</v>
      </c>
      <c r="T658">
        <v>3</v>
      </c>
      <c r="U658">
        <v>1</v>
      </c>
      <c r="V658" t="s">
        <v>93</v>
      </c>
      <c r="W658" t="s">
        <v>152</v>
      </c>
      <c r="X658">
        <v>5</v>
      </c>
      <c r="Y658">
        <v>5</v>
      </c>
      <c r="Z658" t="s">
        <v>1071</v>
      </c>
      <c r="AA658" t="s">
        <v>1072</v>
      </c>
      <c r="AB658" t="s">
        <v>96</v>
      </c>
      <c r="AC658" t="s">
        <v>97</v>
      </c>
      <c r="AD658" t="s">
        <v>690</v>
      </c>
      <c r="AG658" t="s">
        <v>1073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685</v>
      </c>
      <c r="B659">
        <v>11342</v>
      </c>
      <c r="C659">
        <v>3</v>
      </c>
      <c r="D659" t="s">
        <v>1069</v>
      </c>
      <c r="E659" t="s">
        <v>1070</v>
      </c>
      <c r="F659">
        <v>75</v>
      </c>
      <c r="G659">
        <v>24.91</v>
      </c>
      <c r="H659">
        <v>82.36</v>
      </c>
      <c r="I659">
        <v>20.95</v>
      </c>
      <c r="J659">
        <v>69.28</v>
      </c>
      <c r="K659">
        <v>10</v>
      </c>
      <c r="T659">
        <v>2</v>
      </c>
      <c r="U659">
        <v>1</v>
      </c>
      <c r="V659" t="s">
        <v>93</v>
      </c>
      <c r="W659" t="s">
        <v>1074</v>
      </c>
      <c r="X659">
        <v>5</v>
      </c>
      <c r="Y659">
        <v>5</v>
      </c>
      <c r="Z659" t="s">
        <v>1071</v>
      </c>
      <c r="AA659" t="s">
        <v>1072</v>
      </c>
      <c r="AB659" t="s">
        <v>96</v>
      </c>
      <c r="AC659" t="s">
        <v>97</v>
      </c>
      <c r="AD659" t="s">
        <v>690</v>
      </c>
      <c r="AG659" t="s">
        <v>1073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685</v>
      </c>
      <c r="B660">
        <v>11342</v>
      </c>
      <c r="C660">
        <v>4</v>
      </c>
      <c r="D660" t="s">
        <v>1069</v>
      </c>
      <c r="E660" t="s">
        <v>1070</v>
      </c>
      <c r="F660">
        <v>75</v>
      </c>
      <c r="G660">
        <v>25.38</v>
      </c>
      <c r="H660">
        <v>83.91</v>
      </c>
      <c r="I660">
        <v>21.42</v>
      </c>
      <c r="J660">
        <v>70.83</v>
      </c>
      <c r="K660">
        <v>5</v>
      </c>
      <c r="T660">
        <v>3</v>
      </c>
      <c r="U660">
        <v>1</v>
      </c>
      <c r="V660" t="s">
        <v>211</v>
      </c>
      <c r="W660" t="s">
        <v>990</v>
      </c>
      <c r="X660">
        <v>5</v>
      </c>
      <c r="Y660">
        <v>5</v>
      </c>
      <c r="Z660" t="s">
        <v>1071</v>
      </c>
      <c r="AA660" t="s">
        <v>1072</v>
      </c>
      <c r="AB660" t="s">
        <v>96</v>
      </c>
      <c r="AC660" t="s">
        <v>97</v>
      </c>
      <c r="AD660" t="s">
        <v>690</v>
      </c>
      <c r="AG660" t="s">
        <v>1073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685</v>
      </c>
      <c r="B661">
        <v>11342</v>
      </c>
      <c r="C661">
        <v>5</v>
      </c>
      <c r="D661" t="s">
        <v>1069</v>
      </c>
      <c r="E661" t="s">
        <v>1070</v>
      </c>
      <c r="F661">
        <v>75</v>
      </c>
      <c r="G661">
        <v>26.02</v>
      </c>
      <c r="H661">
        <v>86.04</v>
      </c>
      <c r="I661">
        <v>21.83</v>
      </c>
      <c r="J661">
        <v>72.180000000000007</v>
      </c>
      <c r="K661">
        <v>40</v>
      </c>
      <c r="T661">
        <v>3</v>
      </c>
      <c r="U661">
        <v>1</v>
      </c>
      <c r="V661" t="s">
        <v>93</v>
      </c>
      <c r="W661">
        <v>86</v>
      </c>
      <c r="X661">
        <v>5</v>
      </c>
      <c r="Y661">
        <v>5</v>
      </c>
      <c r="Z661" t="s">
        <v>1071</v>
      </c>
      <c r="AA661" t="s">
        <v>1072</v>
      </c>
      <c r="AB661" t="s">
        <v>96</v>
      </c>
      <c r="AC661" t="s">
        <v>97</v>
      </c>
      <c r="AD661" t="s">
        <v>690</v>
      </c>
      <c r="AG661" t="s">
        <v>1073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">
      <c r="A662" t="s">
        <v>685</v>
      </c>
      <c r="B662">
        <v>125110</v>
      </c>
      <c r="C662">
        <v>1</v>
      </c>
      <c r="D662" t="s">
        <v>1075</v>
      </c>
      <c r="E662" t="s">
        <v>442</v>
      </c>
      <c r="F662">
        <v>12</v>
      </c>
      <c r="G662">
        <v>22.57</v>
      </c>
      <c r="H662">
        <v>74.63</v>
      </c>
      <c r="I662">
        <v>18.14</v>
      </c>
      <c r="J662">
        <v>59.98</v>
      </c>
      <c r="K662">
        <v>12</v>
      </c>
      <c r="T662">
        <v>3</v>
      </c>
      <c r="U662">
        <v>1</v>
      </c>
      <c r="V662" t="s">
        <v>93</v>
      </c>
      <c r="W662">
        <v>74</v>
      </c>
      <c r="X662">
        <v>13</v>
      </c>
      <c r="Y662">
        <v>13</v>
      </c>
      <c r="Z662" t="s">
        <v>1076</v>
      </c>
      <c r="AA662" t="s">
        <v>1077</v>
      </c>
      <c r="AB662" t="s">
        <v>96</v>
      </c>
      <c r="AC662" t="s">
        <v>97</v>
      </c>
      <c r="AD662" t="s">
        <v>690</v>
      </c>
      <c r="AG662" t="s">
        <v>1078</v>
      </c>
      <c r="AH662">
        <v>0</v>
      </c>
      <c r="AI662">
        <v>789</v>
      </c>
      <c r="AJ662">
        <v>15</v>
      </c>
      <c r="AK662">
        <v>11</v>
      </c>
      <c r="AL662">
        <v>0.92</v>
      </c>
    </row>
    <row r="663" spans="1:38" x14ac:dyDescent="0.3">
      <c r="A663" t="s">
        <v>685</v>
      </c>
      <c r="B663">
        <v>120072</v>
      </c>
      <c r="C663">
        <v>1</v>
      </c>
      <c r="D663" t="s">
        <v>1079</v>
      </c>
      <c r="E663" t="s">
        <v>1080</v>
      </c>
      <c r="F663">
        <v>20</v>
      </c>
      <c r="G663">
        <v>19.61</v>
      </c>
      <c r="H663">
        <v>64.849999999999994</v>
      </c>
      <c r="I663">
        <v>14.29</v>
      </c>
      <c r="J663">
        <v>47.25</v>
      </c>
      <c r="K663">
        <v>4</v>
      </c>
      <c r="T663">
        <v>3</v>
      </c>
      <c r="U663">
        <v>1</v>
      </c>
      <c r="V663" t="s">
        <v>211</v>
      </c>
      <c r="W663" t="s">
        <v>279</v>
      </c>
      <c r="X663">
        <v>14</v>
      </c>
      <c r="Y663">
        <v>14</v>
      </c>
      <c r="Z663" t="s">
        <v>1081</v>
      </c>
      <c r="AA663" t="s">
        <v>1082</v>
      </c>
      <c r="AB663" t="s">
        <v>96</v>
      </c>
      <c r="AC663" t="s">
        <v>97</v>
      </c>
      <c r="AD663" t="s">
        <v>690</v>
      </c>
      <c r="AG663" t="s">
        <v>1083</v>
      </c>
      <c r="AH663">
        <v>0</v>
      </c>
      <c r="AI663">
        <v>669</v>
      </c>
      <c r="AJ663">
        <v>55</v>
      </c>
      <c r="AK663">
        <v>14</v>
      </c>
      <c r="AL663">
        <v>0.7</v>
      </c>
    </row>
    <row r="664" spans="1:38" x14ac:dyDescent="0.3">
      <c r="A664" t="s">
        <v>685</v>
      </c>
      <c r="B664">
        <v>120072</v>
      </c>
      <c r="C664">
        <v>2</v>
      </c>
      <c r="D664" t="s">
        <v>1079</v>
      </c>
      <c r="E664" t="s">
        <v>1080</v>
      </c>
      <c r="F664">
        <v>20</v>
      </c>
      <c r="G664">
        <v>19.940000000000001</v>
      </c>
      <c r="H664">
        <v>65.94</v>
      </c>
      <c r="I664">
        <v>14.52</v>
      </c>
      <c r="J664">
        <v>48.01</v>
      </c>
      <c r="K664">
        <v>4</v>
      </c>
      <c r="T664">
        <v>3</v>
      </c>
      <c r="U664">
        <v>1</v>
      </c>
      <c r="V664" t="s">
        <v>211</v>
      </c>
      <c r="W664" t="s">
        <v>196</v>
      </c>
      <c r="X664">
        <v>14</v>
      </c>
      <c r="Y664">
        <v>14</v>
      </c>
      <c r="Z664" t="s">
        <v>1081</v>
      </c>
      <c r="AA664" t="s">
        <v>1082</v>
      </c>
      <c r="AB664" t="s">
        <v>96</v>
      </c>
      <c r="AC664" t="s">
        <v>97</v>
      </c>
      <c r="AD664" t="s">
        <v>690</v>
      </c>
      <c r="AG664" t="s">
        <v>1083</v>
      </c>
      <c r="AH664">
        <v>0</v>
      </c>
      <c r="AI664">
        <v>669</v>
      </c>
      <c r="AJ664">
        <v>55</v>
      </c>
      <c r="AK664">
        <v>14</v>
      </c>
      <c r="AL664">
        <v>0.7</v>
      </c>
    </row>
    <row r="665" spans="1:38" x14ac:dyDescent="0.3">
      <c r="A665" t="s">
        <v>685</v>
      </c>
      <c r="B665">
        <v>120072</v>
      </c>
      <c r="C665">
        <v>3</v>
      </c>
      <c r="D665" t="s">
        <v>1079</v>
      </c>
      <c r="E665" t="s">
        <v>1080</v>
      </c>
      <c r="F665">
        <v>20</v>
      </c>
      <c r="G665">
        <v>22.64</v>
      </c>
      <c r="H665">
        <v>74.849999999999994</v>
      </c>
      <c r="I665">
        <v>16.46</v>
      </c>
      <c r="J665">
        <v>54.44</v>
      </c>
      <c r="K665">
        <v>4</v>
      </c>
      <c r="T665">
        <v>3</v>
      </c>
      <c r="U665">
        <v>1</v>
      </c>
      <c r="V665" t="s">
        <v>211</v>
      </c>
      <c r="W665">
        <v>74</v>
      </c>
      <c r="X665">
        <v>14</v>
      </c>
      <c r="Y665">
        <v>14</v>
      </c>
      <c r="Z665" t="s">
        <v>1081</v>
      </c>
      <c r="AA665" t="s">
        <v>1082</v>
      </c>
      <c r="AB665" t="s">
        <v>96</v>
      </c>
      <c r="AC665" t="s">
        <v>97</v>
      </c>
      <c r="AD665" t="s">
        <v>690</v>
      </c>
      <c r="AG665" t="s">
        <v>1083</v>
      </c>
      <c r="AH665">
        <v>0</v>
      </c>
      <c r="AI665">
        <v>669</v>
      </c>
      <c r="AJ665">
        <v>55</v>
      </c>
      <c r="AK665">
        <v>14</v>
      </c>
      <c r="AL665">
        <v>0.7</v>
      </c>
    </row>
    <row r="666" spans="1:38" x14ac:dyDescent="0.3">
      <c r="A666" t="s">
        <v>685</v>
      </c>
      <c r="B666">
        <v>120072</v>
      </c>
      <c r="C666">
        <v>4</v>
      </c>
      <c r="D666" t="s">
        <v>1079</v>
      </c>
      <c r="E666" t="s">
        <v>1080</v>
      </c>
      <c r="F666">
        <v>20</v>
      </c>
      <c r="G666">
        <v>24.75</v>
      </c>
      <c r="H666">
        <v>81.83</v>
      </c>
      <c r="I666">
        <v>18.079999999999998</v>
      </c>
      <c r="J666">
        <v>59.77</v>
      </c>
      <c r="K666">
        <v>4</v>
      </c>
      <c r="T666">
        <v>3</v>
      </c>
      <c r="U666">
        <v>2</v>
      </c>
      <c r="V666" t="s">
        <v>211</v>
      </c>
      <c r="W666" t="s">
        <v>502</v>
      </c>
      <c r="X666">
        <v>14</v>
      </c>
      <c r="Y666">
        <v>14</v>
      </c>
      <c r="Z666" t="s">
        <v>1081</v>
      </c>
      <c r="AA666" t="s">
        <v>1082</v>
      </c>
      <c r="AB666" t="s">
        <v>96</v>
      </c>
      <c r="AC666" t="s">
        <v>97</v>
      </c>
      <c r="AD666" t="s">
        <v>690</v>
      </c>
      <c r="AG666" t="s">
        <v>1083</v>
      </c>
      <c r="AH666">
        <v>0</v>
      </c>
      <c r="AI666">
        <v>669</v>
      </c>
      <c r="AJ666">
        <v>55</v>
      </c>
      <c r="AK666">
        <v>14</v>
      </c>
      <c r="AL666">
        <v>0.7</v>
      </c>
    </row>
    <row r="667" spans="1:38" x14ac:dyDescent="0.3">
      <c r="A667" t="s">
        <v>685</v>
      </c>
      <c r="B667">
        <v>120072</v>
      </c>
      <c r="C667">
        <v>5</v>
      </c>
      <c r="D667" t="s">
        <v>1079</v>
      </c>
      <c r="E667" t="s">
        <v>1080</v>
      </c>
      <c r="F667">
        <v>20</v>
      </c>
      <c r="G667">
        <v>24.74</v>
      </c>
      <c r="H667">
        <v>81.81</v>
      </c>
      <c r="I667">
        <v>18.13</v>
      </c>
      <c r="J667">
        <v>59.94</v>
      </c>
      <c r="K667">
        <v>4</v>
      </c>
      <c r="T667">
        <v>3</v>
      </c>
      <c r="U667">
        <v>2</v>
      </c>
      <c r="V667" t="s">
        <v>211</v>
      </c>
      <c r="W667" t="s">
        <v>746</v>
      </c>
      <c r="X667">
        <v>14</v>
      </c>
      <c r="Y667">
        <v>14</v>
      </c>
      <c r="Z667" t="s">
        <v>1081</v>
      </c>
      <c r="AA667" t="s">
        <v>1082</v>
      </c>
      <c r="AB667" t="s">
        <v>96</v>
      </c>
      <c r="AC667" t="s">
        <v>97</v>
      </c>
      <c r="AD667" t="s">
        <v>690</v>
      </c>
      <c r="AG667" t="s">
        <v>1083</v>
      </c>
      <c r="AH667">
        <v>0</v>
      </c>
      <c r="AI667">
        <v>669</v>
      </c>
      <c r="AJ667">
        <v>55</v>
      </c>
      <c r="AK667">
        <v>14</v>
      </c>
      <c r="AL667">
        <v>0.7</v>
      </c>
    </row>
    <row r="668" spans="1:38" x14ac:dyDescent="0.3">
      <c r="A668" t="s">
        <v>685</v>
      </c>
      <c r="B668">
        <v>123855</v>
      </c>
      <c r="C668">
        <v>1</v>
      </c>
      <c r="D668" t="s">
        <v>1084</v>
      </c>
      <c r="E668" t="s">
        <v>1085</v>
      </c>
      <c r="F668">
        <v>6</v>
      </c>
      <c r="G668">
        <v>30.1</v>
      </c>
      <c r="H668">
        <v>99.52</v>
      </c>
      <c r="I668">
        <v>24.42</v>
      </c>
      <c r="J668">
        <v>80.75</v>
      </c>
      <c r="K668">
        <v>10</v>
      </c>
      <c r="T668">
        <v>3</v>
      </c>
      <c r="U668">
        <v>2</v>
      </c>
      <c r="V668" t="s">
        <v>93</v>
      </c>
      <c r="W668">
        <v>99</v>
      </c>
      <c r="X668">
        <v>14</v>
      </c>
      <c r="Y668">
        <v>14</v>
      </c>
      <c r="Z668" t="s">
        <v>1086</v>
      </c>
      <c r="AA668" t="s">
        <v>1087</v>
      </c>
      <c r="AB668" t="s">
        <v>96</v>
      </c>
      <c r="AC668" t="s">
        <v>97</v>
      </c>
      <c r="AD668" t="s">
        <v>690</v>
      </c>
      <c r="AG668" t="s">
        <v>285</v>
      </c>
      <c r="AH668">
        <v>0</v>
      </c>
      <c r="AI668">
        <v>854</v>
      </c>
      <c r="AJ668">
        <v>76</v>
      </c>
      <c r="AK668">
        <v>6</v>
      </c>
      <c r="AL668">
        <v>1</v>
      </c>
    </row>
    <row r="669" spans="1:38" x14ac:dyDescent="0.3">
      <c r="A669" t="s">
        <v>685</v>
      </c>
      <c r="B669">
        <v>123855</v>
      </c>
      <c r="C669">
        <v>2</v>
      </c>
      <c r="D669" t="s">
        <v>1084</v>
      </c>
      <c r="E669" t="s">
        <v>1085</v>
      </c>
      <c r="F669">
        <v>6</v>
      </c>
      <c r="G669">
        <v>31.1</v>
      </c>
      <c r="H669">
        <v>102.81</v>
      </c>
      <c r="I669">
        <v>25.68</v>
      </c>
      <c r="J669">
        <v>84.92</v>
      </c>
      <c r="K669">
        <v>10</v>
      </c>
      <c r="T669">
        <v>3</v>
      </c>
      <c r="U669">
        <v>2</v>
      </c>
      <c r="V669" t="s">
        <v>93</v>
      </c>
      <c r="W669" t="s">
        <v>634</v>
      </c>
      <c r="X669">
        <v>14</v>
      </c>
      <c r="Y669">
        <v>14</v>
      </c>
      <c r="Z669" t="s">
        <v>1086</v>
      </c>
      <c r="AA669" t="s">
        <v>1087</v>
      </c>
      <c r="AB669" t="s">
        <v>96</v>
      </c>
      <c r="AC669" t="s">
        <v>97</v>
      </c>
      <c r="AD669" t="s">
        <v>690</v>
      </c>
      <c r="AG669" t="s">
        <v>285</v>
      </c>
      <c r="AH669">
        <v>0</v>
      </c>
      <c r="AI669">
        <v>854</v>
      </c>
      <c r="AJ669">
        <v>76</v>
      </c>
      <c r="AK669">
        <v>6</v>
      </c>
      <c r="AL669">
        <v>1</v>
      </c>
    </row>
    <row r="670" spans="1:38" x14ac:dyDescent="0.3">
      <c r="A670" t="s">
        <v>685</v>
      </c>
      <c r="B670">
        <v>123855</v>
      </c>
      <c r="C670">
        <v>3</v>
      </c>
      <c r="D670" t="s">
        <v>1084</v>
      </c>
      <c r="E670" t="s">
        <v>1085</v>
      </c>
      <c r="F670">
        <v>6</v>
      </c>
      <c r="G670">
        <v>31.32</v>
      </c>
      <c r="H670">
        <v>103.54</v>
      </c>
      <c r="I670">
        <v>25.61</v>
      </c>
      <c r="J670">
        <v>84.67</v>
      </c>
      <c r="K670">
        <v>10</v>
      </c>
      <c r="T670">
        <v>3</v>
      </c>
      <c r="U670">
        <v>2</v>
      </c>
      <c r="V670" t="s">
        <v>93</v>
      </c>
      <c r="W670" t="s">
        <v>1088</v>
      </c>
      <c r="X670">
        <v>14</v>
      </c>
      <c r="Y670">
        <v>14</v>
      </c>
      <c r="Z670" t="s">
        <v>1086</v>
      </c>
      <c r="AA670" t="s">
        <v>1087</v>
      </c>
      <c r="AB670" t="s">
        <v>96</v>
      </c>
      <c r="AC670" t="s">
        <v>97</v>
      </c>
      <c r="AD670" t="s">
        <v>690</v>
      </c>
      <c r="AG670" t="s">
        <v>285</v>
      </c>
      <c r="AH670">
        <v>0</v>
      </c>
      <c r="AI670">
        <v>854</v>
      </c>
      <c r="AJ670">
        <v>76</v>
      </c>
      <c r="AK670">
        <v>6</v>
      </c>
      <c r="AL670">
        <v>1</v>
      </c>
    </row>
    <row r="671" spans="1:38" x14ac:dyDescent="0.3">
      <c r="A671" t="s">
        <v>685</v>
      </c>
      <c r="B671">
        <v>120724</v>
      </c>
      <c r="C671">
        <v>1</v>
      </c>
      <c r="D671" t="s">
        <v>1089</v>
      </c>
      <c r="E671" t="s">
        <v>1090</v>
      </c>
      <c r="F671">
        <v>39</v>
      </c>
      <c r="G671">
        <v>20.51</v>
      </c>
      <c r="H671">
        <v>67.819999999999993</v>
      </c>
      <c r="I671">
        <v>15.04</v>
      </c>
      <c r="J671">
        <v>49.72</v>
      </c>
      <c r="K671">
        <v>8</v>
      </c>
      <c r="T671">
        <v>2</v>
      </c>
      <c r="U671">
        <v>1</v>
      </c>
      <c r="V671" t="s">
        <v>93</v>
      </c>
      <c r="W671" t="s">
        <v>395</v>
      </c>
      <c r="X671">
        <v>14</v>
      </c>
      <c r="Y671">
        <v>14</v>
      </c>
      <c r="Z671" t="s">
        <v>1091</v>
      </c>
      <c r="AA671" t="s">
        <v>1092</v>
      </c>
      <c r="AB671" t="s">
        <v>96</v>
      </c>
      <c r="AC671" t="s">
        <v>97</v>
      </c>
      <c r="AD671" t="s">
        <v>690</v>
      </c>
      <c r="AG671" t="s">
        <v>1093</v>
      </c>
      <c r="AH671">
        <v>0</v>
      </c>
      <c r="AI671">
        <v>746</v>
      </c>
      <c r="AJ671">
        <v>74</v>
      </c>
      <c r="AK671">
        <v>29</v>
      </c>
      <c r="AL671">
        <v>0.74</v>
      </c>
    </row>
    <row r="672" spans="1:38" x14ac:dyDescent="0.3">
      <c r="A672" t="s">
        <v>685</v>
      </c>
      <c r="B672">
        <v>120724</v>
      </c>
      <c r="C672">
        <v>2</v>
      </c>
      <c r="D672" t="s">
        <v>1089</v>
      </c>
      <c r="E672" t="s">
        <v>1090</v>
      </c>
      <c r="F672">
        <v>39</v>
      </c>
      <c r="G672">
        <v>20.68</v>
      </c>
      <c r="H672">
        <v>68.37</v>
      </c>
      <c r="I672">
        <v>15.06</v>
      </c>
      <c r="J672">
        <v>49.8</v>
      </c>
      <c r="K672">
        <v>8</v>
      </c>
      <c r="T672">
        <v>2</v>
      </c>
      <c r="U672">
        <v>1</v>
      </c>
      <c r="V672" t="s">
        <v>93</v>
      </c>
      <c r="W672" t="s">
        <v>230</v>
      </c>
      <c r="X672">
        <v>14</v>
      </c>
      <c r="Y672">
        <v>14</v>
      </c>
      <c r="Z672" t="s">
        <v>1091</v>
      </c>
      <c r="AA672" t="s">
        <v>1092</v>
      </c>
      <c r="AB672" t="s">
        <v>96</v>
      </c>
      <c r="AC672" t="s">
        <v>97</v>
      </c>
      <c r="AD672" t="s">
        <v>690</v>
      </c>
      <c r="AG672" t="s">
        <v>1093</v>
      </c>
      <c r="AH672">
        <v>0</v>
      </c>
      <c r="AI672">
        <v>746</v>
      </c>
      <c r="AJ672">
        <v>74</v>
      </c>
      <c r="AK672">
        <v>29</v>
      </c>
      <c r="AL672">
        <v>0.74</v>
      </c>
    </row>
    <row r="673" spans="1:38" x14ac:dyDescent="0.3">
      <c r="A673" t="s">
        <v>685</v>
      </c>
      <c r="B673">
        <v>120724</v>
      </c>
      <c r="C673">
        <v>3</v>
      </c>
      <c r="D673" t="s">
        <v>1089</v>
      </c>
      <c r="E673" t="s">
        <v>1090</v>
      </c>
      <c r="F673">
        <v>39</v>
      </c>
      <c r="G673">
        <v>20.8</v>
      </c>
      <c r="H673">
        <v>68.77</v>
      </c>
      <c r="I673">
        <v>15.07</v>
      </c>
      <c r="J673">
        <v>49.85</v>
      </c>
      <c r="K673">
        <v>8</v>
      </c>
      <c r="T673">
        <v>2</v>
      </c>
      <c r="U673">
        <v>1</v>
      </c>
      <c r="V673" t="s">
        <v>93</v>
      </c>
      <c r="W673" t="s">
        <v>448</v>
      </c>
      <c r="X673">
        <v>14</v>
      </c>
      <c r="Y673">
        <v>14</v>
      </c>
      <c r="Z673" t="s">
        <v>1091</v>
      </c>
      <c r="AA673" t="s">
        <v>1092</v>
      </c>
      <c r="AB673" t="s">
        <v>96</v>
      </c>
      <c r="AC673" t="s">
        <v>97</v>
      </c>
      <c r="AD673" t="s">
        <v>690</v>
      </c>
      <c r="AG673" t="s">
        <v>1093</v>
      </c>
      <c r="AH673">
        <v>0</v>
      </c>
      <c r="AI673">
        <v>746</v>
      </c>
      <c r="AJ673">
        <v>74</v>
      </c>
      <c r="AK673">
        <v>29</v>
      </c>
      <c r="AL673">
        <v>0.74</v>
      </c>
    </row>
    <row r="674" spans="1:38" x14ac:dyDescent="0.3">
      <c r="A674" t="s">
        <v>685</v>
      </c>
      <c r="B674">
        <v>120724</v>
      </c>
      <c r="C674">
        <v>4</v>
      </c>
      <c r="D674" t="s">
        <v>1089</v>
      </c>
      <c r="E674" t="s">
        <v>1090</v>
      </c>
      <c r="F674">
        <v>39</v>
      </c>
      <c r="G674">
        <v>20.84</v>
      </c>
      <c r="H674">
        <v>68.91</v>
      </c>
      <c r="I674">
        <v>15.06</v>
      </c>
      <c r="J674">
        <v>49.81</v>
      </c>
      <c r="K674">
        <v>7</v>
      </c>
      <c r="T674">
        <v>2</v>
      </c>
      <c r="U674">
        <v>1</v>
      </c>
      <c r="V674" t="s">
        <v>93</v>
      </c>
      <c r="W674" t="s">
        <v>380</v>
      </c>
      <c r="X674">
        <v>14</v>
      </c>
      <c r="Y674">
        <v>14</v>
      </c>
      <c r="Z674" t="s">
        <v>1091</v>
      </c>
      <c r="AA674" t="s">
        <v>1092</v>
      </c>
      <c r="AB674" t="s">
        <v>96</v>
      </c>
      <c r="AC674" t="s">
        <v>97</v>
      </c>
      <c r="AD674" t="s">
        <v>690</v>
      </c>
      <c r="AG674" t="s">
        <v>1093</v>
      </c>
      <c r="AH674">
        <v>0</v>
      </c>
      <c r="AI674">
        <v>746</v>
      </c>
      <c r="AJ674">
        <v>74</v>
      </c>
      <c r="AK674">
        <v>29</v>
      </c>
      <c r="AL674">
        <v>0.74</v>
      </c>
    </row>
    <row r="675" spans="1:38" x14ac:dyDescent="0.3">
      <c r="A675" t="s">
        <v>685</v>
      </c>
      <c r="B675">
        <v>120724</v>
      </c>
      <c r="C675">
        <v>5</v>
      </c>
      <c r="D675" t="s">
        <v>1089</v>
      </c>
      <c r="E675" t="s">
        <v>1090</v>
      </c>
      <c r="F675">
        <v>39</v>
      </c>
      <c r="G675">
        <v>20.88</v>
      </c>
      <c r="H675">
        <v>69.03</v>
      </c>
      <c r="I675">
        <v>15.08</v>
      </c>
      <c r="J675">
        <v>49.86</v>
      </c>
      <c r="K675">
        <v>8</v>
      </c>
      <c r="T675">
        <v>2</v>
      </c>
      <c r="U675">
        <v>1</v>
      </c>
      <c r="V675" t="s">
        <v>93</v>
      </c>
      <c r="W675" t="s">
        <v>1094</v>
      </c>
      <c r="X675">
        <v>14</v>
      </c>
      <c r="Y675">
        <v>14</v>
      </c>
      <c r="Z675" t="s">
        <v>1091</v>
      </c>
      <c r="AA675" t="s">
        <v>1092</v>
      </c>
      <c r="AB675" t="s">
        <v>96</v>
      </c>
      <c r="AC675" t="s">
        <v>97</v>
      </c>
      <c r="AD675" t="s">
        <v>690</v>
      </c>
      <c r="AG675" t="s">
        <v>1093</v>
      </c>
      <c r="AH675">
        <v>0</v>
      </c>
      <c r="AI675">
        <v>746</v>
      </c>
      <c r="AJ675">
        <v>74</v>
      </c>
      <c r="AK675">
        <v>29</v>
      </c>
      <c r="AL675">
        <v>0.74</v>
      </c>
    </row>
    <row r="676" spans="1:38" x14ac:dyDescent="0.3">
      <c r="A676" t="s">
        <v>685</v>
      </c>
      <c r="B676">
        <v>129985</v>
      </c>
      <c r="C676">
        <v>1</v>
      </c>
      <c r="D676" t="s">
        <v>1095</v>
      </c>
      <c r="E676" t="s">
        <v>1096</v>
      </c>
      <c r="F676">
        <v>13</v>
      </c>
      <c r="G676">
        <v>21.91</v>
      </c>
      <c r="H676">
        <v>72.44</v>
      </c>
      <c r="I676">
        <v>18.77</v>
      </c>
      <c r="J676">
        <v>62.08</v>
      </c>
      <c r="K676">
        <v>2</v>
      </c>
      <c r="T676">
        <v>3</v>
      </c>
      <c r="U676">
        <v>1</v>
      </c>
      <c r="V676" t="s">
        <v>93</v>
      </c>
      <c r="W676">
        <v>72</v>
      </c>
      <c r="X676">
        <v>8</v>
      </c>
      <c r="Y676">
        <v>8</v>
      </c>
      <c r="Z676" t="s">
        <v>1097</v>
      </c>
      <c r="AA676" t="s">
        <v>1098</v>
      </c>
      <c r="AB676" t="s">
        <v>96</v>
      </c>
      <c r="AC676" t="s">
        <v>97</v>
      </c>
      <c r="AD676" t="s">
        <v>690</v>
      </c>
      <c r="AG676" t="s">
        <v>1099</v>
      </c>
      <c r="AH676">
        <v>0</v>
      </c>
      <c r="AI676">
        <v>304</v>
      </c>
      <c r="AJ676">
        <v>59</v>
      </c>
      <c r="AK676">
        <v>13</v>
      </c>
      <c r="AL676">
        <v>1</v>
      </c>
    </row>
    <row r="677" spans="1:38" x14ac:dyDescent="0.3">
      <c r="A677" t="s">
        <v>685</v>
      </c>
      <c r="B677">
        <v>129985</v>
      </c>
      <c r="C677">
        <v>2</v>
      </c>
      <c r="D677" t="s">
        <v>1095</v>
      </c>
      <c r="E677" t="s">
        <v>1096</v>
      </c>
      <c r="F677">
        <v>13</v>
      </c>
      <c r="G677">
        <v>29.03</v>
      </c>
      <c r="H677">
        <v>95.97</v>
      </c>
      <c r="I677">
        <v>24.89</v>
      </c>
      <c r="J677">
        <v>82.29</v>
      </c>
      <c r="K677">
        <v>11</v>
      </c>
      <c r="T677">
        <v>3</v>
      </c>
      <c r="U677">
        <v>2</v>
      </c>
      <c r="V677" t="s">
        <v>93</v>
      </c>
      <c r="W677">
        <v>95</v>
      </c>
      <c r="X677">
        <v>8</v>
      </c>
      <c r="Y677">
        <v>8</v>
      </c>
      <c r="Z677" t="s">
        <v>1097</v>
      </c>
      <c r="AA677" t="s">
        <v>1098</v>
      </c>
      <c r="AB677" t="s">
        <v>96</v>
      </c>
      <c r="AC677" t="s">
        <v>97</v>
      </c>
      <c r="AD677" t="s">
        <v>690</v>
      </c>
      <c r="AG677" t="s">
        <v>1099</v>
      </c>
      <c r="AH677">
        <v>0</v>
      </c>
      <c r="AI677">
        <v>304</v>
      </c>
      <c r="AJ677">
        <v>59</v>
      </c>
      <c r="AK677">
        <v>13</v>
      </c>
      <c r="AL677">
        <v>1</v>
      </c>
    </row>
    <row r="678" spans="1:38" x14ac:dyDescent="0.3">
      <c r="A678" t="s">
        <v>685</v>
      </c>
      <c r="B678">
        <v>11633</v>
      </c>
      <c r="C678">
        <v>1</v>
      </c>
      <c r="D678" t="s">
        <v>1100</v>
      </c>
      <c r="E678" t="s">
        <v>1101</v>
      </c>
      <c r="F678">
        <v>25</v>
      </c>
      <c r="G678">
        <v>24.01</v>
      </c>
      <c r="H678">
        <v>79.38</v>
      </c>
      <c r="I678">
        <v>20.010000000000002</v>
      </c>
      <c r="J678">
        <v>66.180000000000007</v>
      </c>
      <c r="K678">
        <v>11</v>
      </c>
      <c r="T678">
        <v>3</v>
      </c>
      <c r="U678">
        <v>2</v>
      </c>
      <c r="V678" t="s">
        <v>93</v>
      </c>
      <c r="W678" t="s">
        <v>600</v>
      </c>
      <c r="X678">
        <v>5</v>
      </c>
      <c r="Y678">
        <v>5</v>
      </c>
      <c r="Z678" t="s">
        <v>1102</v>
      </c>
      <c r="AA678" t="s">
        <v>1103</v>
      </c>
      <c r="AB678" t="s">
        <v>96</v>
      </c>
      <c r="AC678" t="s">
        <v>97</v>
      </c>
      <c r="AD678" t="s">
        <v>690</v>
      </c>
      <c r="AG678" t="s">
        <v>1104</v>
      </c>
      <c r="AH678">
        <v>0</v>
      </c>
      <c r="AI678">
        <v>0</v>
      </c>
      <c r="AJ678">
        <v>0</v>
      </c>
      <c r="AK678">
        <v>0</v>
      </c>
      <c r="AL678">
        <v>0</v>
      </c>
    </row>
    <row r="679" spans="1:38" x14ac:dyDescent="0.3">
      <c r="A679" t="s">
        <v>685</v>
      </c>
      <c r="B679">
        <v>11633</v>
      </c>
      <c r="C679">
        <v>2</v>
      </c>
      <c r="D679" t="s">
        <v>1100</v>
      </c>
      <c r="E679" t="s">
        <v>1101</v>
      </c>
      <c r="F679">
        <v>25</v>
      </c>
      <c r="G679">
        <v>23.89</v>
      </c>
      <c r="H679">
        <v>79</v>
      </c>
      <c r="I679">
        <v>19.91</v>
      </c>
      <c r="J679">
        <v>65.819999999999993</v>
      </c>
      <c r="K679">
        <v>5</v>
      </c>
      <c r="T679">
        <v>3</v>
      </c>
      <c r="U679">
        <v>2</v>
      </c>
      <c r="V679" t="s">
        <v>93</v>
      </c>
      <c r="W679" t="s">
        <v>474</v>
      </c>
      <c r="X679">
        <v>5</v>
      </c>
      <c r="Y679">
        <v>5</v>
      </c>
      <c r="Z679" t="s">
        <v>1102</v>
      </c>
      <c r="AA679" t="s">
        <v>1103</v>
      </c>
      <c r="AB679" t="s">
        <v>96</v>
      </c>
      <c r="AC679" t="s">
        <v>97</v>
      </c>
      <c r="AD679" t="s">
        <v>690</v>
      </c>
      <c r="AG679" t="s">
        <v>1104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 x14ac:dyDescent="0.3">
      <c r="A680" t="s">
        <v>685</v>
      </c>
      <c r="B680">
        <v>11633</v>
      </c>
      <c r="C680">
        <v>3</v>
      </c>
      <c r="D680" t="s">
        <v>1100</v>
      </c>
      <c r="E680" t="s">
        <v>1101</v>
      </c>
      <c r="F680">
        <v>25</v>
      </c>
      <c r="G680">
        <v>23.99</v>
      </c>
      <c r="H680">
        <v>79.319999999999993</v>
      </c>
      <c r="I680">
        <v>19.989999999999998</v>
      </c>
      <c r="J680">
        <v>66.09</v>
      </c>
      <c r="K680">
        <v>5</v>
      </c>
      <c r="T680">
        <v>3</v>
      </c>
      <c r="U680">
        <v>2</v>
      </c>
      <c r="V680" t="s">
        <v>93</v>
      </c>
      <c r="W680" t="s">
        <v>794</v>
      </c>
      <c r="X680">
        <v>5</v>
      </c>
      <c r="Y680">
        <v>5</v>
      </c>
      <c r="Z680" t="s">
        <v>1102</v>
      </c>
      <c r="AA680" t="s">
        <v>1103</v>
      </c>
      <c r="AB680" t="s">
        <v>96</v>
      </c>
      <c r="AC680" t="s">
        <v>97</v>
      </c>
      <c r="AD680" t="s">
        <v>690</v>
      </c>
      <c r="AG680" t="s">
        <v>1104</v>
      </c>
      <c r="AH680">
        <v>0</v>
      </c>
      <c r="AI680">
        <v>0</v>
      </c>
      <c r="AJ680">
        <v>0</v>
      </c>
      <c r="AK680">
        <v>0</v>
      </c>
      <c r="AL680">
        <v>0</v>
      </c>
    </row>
    <row r="681" spans="1:38" x14ac:dyDescent="0.3">
      <c r="A681" t="s">
        <v>685</v>
      </c>
      <c r="B681">
        <v>11633</v>
      </c>
      <c r="C681">
        <v>4</v>
      </c>
      <c r="D681" t="s">
        <v>1100</v>
      </c>
      <c r="E681" t="s">
        <v>1101</v>
      </c>
      <c r="F681">
        <v>25</v>
      </c>
      <c r="G681">
        <v>23.94</v>
      </c>
      <c r="H681">
        <v>79.150000000000006</v>
      </c>
      <c r="I681">
        <v>19.940000000000001</v>
      </c>
      <c r="J681">
        <v>65.95</v>
      </c>
      <c r="K681">
        <v>4</v>
      </c>
      <c r="T681">
        <v>3</v>
      </c>
      <c r="U681">
        <v>2</v>
      </c>
      <c r="V681" t="s">
        <v>93</v>
      </c>
      <c r="W681" t="s">
        <v>475</v>
      </c>
      <c r="X681">
        <v>5</v>
      </c>
      <c r="Y681">
        <v>5</v>
      </c>
      <c r="Z681" t="s">
        <v>1102</v>
      </c>
      <c r="AA681" t="s">
        <v>1103</v>
      </c>
      <c r="AB681" t="s">
        <v>96</v>
      </c>
      <c r="AC681" t="s">
        <v>97</v>
      </c>
      <c r="AD681" t="s">
        <v>690</v>
      </c>
      <c r="AG681" t="s">
        <v>1104</v>
      </c>
      <c r="AH681">
        <v>0</v>
      </c>
      <c r="AI681">
        <v>0</v>
      </c>
      <c r="AJ681">
        <v>0</v>
      </c>
      <c r="AK681">
        <v>0</v>
      </c>
      <c r="AL681">
        <v>0</v>
      </c>
    </row>
    <row r="682" spans="1:38" x14ac:dyDescent="0.3">
      <c r="A682" t="s">
        <v>685</v>
      </c>
      <c r="B682">
        <v>145400</v>
      </c>
      <c r="C682">
        <v>1</v>
      </c>
      <c r="D682" t="s">
        <v>1105</v>
      </c>
      <c r="E682" t="s">
        <v>854</v>
      </c>
      <c r="F682">
        <v>24</v>
      </c>
      <c r="G682">
        <v>23.67</v>
      </c>
      <c r="H682">
        <v>78.27</v>
      </c>
      <c r="I682">
        <v>20.62</v>
      </c>
      <c r="J682">
        <v>68.19</v>
      </c>
      <c r="K682">
        <v>4</v>
      </c>
      <c r="T682">
        <v>3</v>
      </c>
      <c r="U682">
        <v>2</v>
      </c>
      <c r="V682" t="s">
        <v>93</v>
      </c>
      <c r="W682" t="s">
        <v>354</v>
      </c>
      <c r="X682">
        <v>14</v>
      </c>
      <c r="Y682">
        <v>14</v>
      </c>
      <c r="Z682" t="s">
        <v>1106</v>
      </c>
      <c r="AA682" t="s">
        <v>1107</v>
      </c>
      <c r="AB682" t="s">
        <v>96</v>
      </c>
      <c r="AC682" t="s">
        <v>97</v>
      </c>
      <c r="AD682" t="s">
        <v>690</v>
      </c>
      <c r="AG682" t="s">
        <v>1108</v>
      </c>
      <c r="AH682">
        <v>0</v>
      </c>
      <c r="AI682">
        <v>795</v>
      </c>
      <c r="AJ682">
        <v>70</v>
      </c>
      <c r="AK682">
        <v>24</v>
      </c>
      <c r="AL682">
        <v>1</v>
      </c>
    </row>
    <row r="683" spans="1:38" x14ac:dyDescent="0.3">
      <c r="A683" t="s">
        <v>685</v>
      </c>
      <c r="B683">
        <v>145400</v>
      </c>
      <c r="C683">
        <v>2</v>
      </c>
      <c r="D683" t="s">
        <v>1105</v>
      </c>
      <c r="E683" t="s">
        <v>854</v>
      </c>
      <c r="F683">
        <v>24</v>
      </c>
      <c r="G683">
        <v>23.98</v>
      </c>
      <c r="H683">
        <v>79.28</v>
      </c>
      <c r="I683">
        <v>20.6</v>
      </c>
      <c r="J683">
        <v>68.13</v>
      </c>
      <c r="K683">
        <v>4</v>
      </c>
      <c r="T683">
        <v>3</v>
      </c>
      <c r="U683">
        <v>2</v>
      </c>
      <c r="V683" t="s">
        <v>93</v>
      </c>
      <c r="W683" t="s">
        <v>474</v>
      </c>
      <c r="X683">
        <v>14</v>
      </c>
      <c r="Y683">
        <v>14</v>
      </c>
      <c r="Z683" t="s">
        <v>1106</v>
      </c>
      <c r="AA683" t="s">
        <v>1107</v>
      </c>
      <c r="AB683" t="s">
        <v>96</v>
      </c>
      <c r="AC683" t="s">
        <v>97</v>
      </c>
      <c r="AD683" t="s">
        <v>690</v>
      </c>
      <c r="AG683" t="s">
        <v>1108</v>
      </c>
      <c r="AH683">
        <v>0</v>
      </c>
      <c r="AI683">
        <v>795</v>
      </c>
      <c r="AJ683">
        <v>70</v>
      </c>
      <c r="AK683">
        <v>24</v>
      </c>
      <c r="AL683">
        <v>1</v>
      </c>
    </row>
    <row r="684" spans="1:38" x14ac:dyDescent="0.3">
      <c r="A684" t="s">
        <v>685</v>
      </c>
      <c r="B684">
        <v>145400</v>
      </c>
      <c r="C684">
        <v>3</v>
      </c>
      <c r="D684" t="s">
        <v>1105</v>
      </c>
      <c r="E684" t="s">
        <v>854</v>
      </c>
      <c r="F684">
        <v>24</v>
      </c>
      <c r="G684">
        <v>24.75</v>
      </c>
      <c r="H684">
        <v>81.849999999999994</v>
      </c>
      <c r="I684">
        <v>21.49</v>
      </c>
      <c r="J684">
        <v>71.06</v>
      </c>
      <c r="K684">
        <v>4</v>
      </c>
      <c r="T684">
        <v>3</v>
      </c>
      <c r="U684">
        <v>2</v>
      </c>
      <c r="V684" t="s">
        <v>93</v>
      </c>
      <c r="W684" t="s">
        <v>746</v>
      </c>
      <c r="X684">
        <v>14</v>
      </c>
      <c r="Y684">
        <v>14</v>
      </c>
      <c r="Z684" t="s">
        <v>1106</v>
      </c>
      <c r="AA684" t="s">
        <v>1107</v>
      </c>
      <c r="AB684" t="s">
        <v>96</v>
      </c>
      <c r="AC684" t="s">
        <v>97</v>
      </c>
      <c r="AD684" t="s">
        <v>690</v>
      </c>
      <c r="AG684" t="s">
        <v>1108</v>
      </c>
      <c r="AH684">
        <v>0</v>
      </c>
      <c r="AI684">
        <v>795</v>
      </c>
      <c r="AJ684">
        <v>70</v>
      </c>
      <c r="AK684">
        <v>24</v>
      </c>
      <c r="AL684">
        <v>1</v>
      </c>
    </row>
    <row r="685" spans="1:38" x14ac:dyDescent="0.3">
      <c r="A685" t="s">
        <v>685</v>
      </c>
      <c r="B685">
        <v>145400</v>
      </c>
      <c r="C685">
        <v>4</v>
      </c>
      <c r="D685" t="s">
        <v>1105</v>
      </c>
      <c r="E685" t="s">
        <v>854</v>
      </c>
      <c r="F685">
        <v>24</v>
      </c>
      <c r="G685">
        <v>24.8</v>
      </c>
      <c r="H685">
        <v>82</v>
      </c>
      <c r="I685">
        <v>21.42</v>
      </c>
      <c r="J685">
        <v>70.84</v>
      </c>
      <c r="K685">
        <v>4</v>
      </c>
      <c r="T685">
        <v>3</v>
      </c>
      <c r="U685">
        <v>2</v>
      </c>
      <c r="V685" t="s">
        <v>93</v>
      </c>
      <c r="W685" t="s">
        <v>152</v>
      </c>
      <c r="X685">
        <v>14</v>
      </c>
      <c r="Y685">
        <v>14</v>
      </c>
      <c r="Z685" t="s">
        <v>1106</v>
      </c>
      <c r="AA685" t="s">
        <v>1107</v>
      </c>
      <c r="AB685" t="s">
        <v>96</v>
      </c>
      <c r="AC685" t="s">
        <v>97</v>
      </c>
      <c r="AD685" t="s">
        <v>690</v>
      </c>
      <c r="AG685" t="s">
        <v>1108</v>
      </c>
      <c r="AH685">
        <v>0</v>
      </c>
      <c r="AI685">
        <v>795</v>
      </c>
      <c r="AJ685">
        <v>70</v>
      </c>
      <c r="AK685">
        <v>24</v>
      </c>
      <c r="AL685">
        <v>1</v>
      </c>
    </row>
    <row r="686" spans="1:38" x14ac:dyDescent="0.3">
      <c r="A686" t="s">
        <v>685</v>
      </c>
      <c r="B686">
        <v>145400</v>
      </c>
      <c r="C686">
        <v>5</v>
      </c>
      <c r="D686" t="s">
        <v>1105</v>
      </c>
      <c r="E686" t="s">
        <v>854</v>
      </c>
      <c r="F686">
        <v>24</v>
      </c>
      <c r="G686">
        <v>25.21</v>
      </c>
      <c r="H686">
        <v>83.35</v>
      </c>
      <c r="I686">
        <v>21.81</v>
      </c>
      <c r="J686">
        <v>72.099999999999994</v>
      </c>
      <c r="K686">
        <v>4</v>
      </c>
      <c r="T686">
        <v>3</v>
      </c>
      <c r="U686">
        <v>2</v>
      </c>
      <c r="V686" t="s">
        <v>93</v>
      </c>
      <c r="W686" t="s">
        <v>505</v>
      </c>
      <c r="X686">
        <v>14</v>
      </c>
      <c r="Y686">
        <v>14</v>
      </c>
      <c r="Z686" t="s">
        <v>1106</v>
      </c>
      <c r="AA686" t="s">
        <v>1107</v>
      </c>
      <c r="AB686" t="s">
        <v>96</v>
      </c>
      <c r="AC686" t="s">
        <v>97</v>
      </c>
      <c r="AD686" t="s">
        <v>690</v>
      </c>
      <c r="AG686" t="s">
        <v>1108</v>
      </c>
      <c r="AH686">
        <v>0</v>
      </c>
      <c r="AI686">
        <v>795</v>
      </c>
      <c r="AJ686">
        <v>70</v>
      </c>
      <c r="AK686">
        <v>24</v>
      </c>
      <c r="AL686">
        <v>1</v>
      </c>
    </row>
    <row r="687" spans="1:38" x14ac:dyDescent="0.3">
      <c r="A687" t="s">
        <v>685</v>
      </c>
      <c r="B687">
        <v>145400</v>
      </c>
      <c r="C687">
        <v>6</v>
      </c>
      <c r="D687" t="s">
        <v>1105</v>
      </c>
      <c r="E687" t="s">
        <v>854</v>
      </c>
      <c r="F687">
        <v>24</v>
      </c>
      <c r="G687">
        <v>25.93</v>
      </c>
      <c r="H687">
        <v>85.74</v>
      </c>
      <c r="I687">
        <v>22.55</v>
      </c>
      <c r="J687">
        <v>74.569999999999993</v>
      </c>
      <c r="K687">
        <v>4</v>
      </c>
      <c r="T687">
        <v>3</v>
      </c>
      <c r="U687">
        <v>2</v>
      </c>
      <c r="V687" t="s">
        <v>93</v>
      </c>
      <c r="W687">
        <v>85</v>
      </c>
      <c r="X687">
        <v>14</v>
      </c>
      <c r="Y687">
        <v>14</v>
      </c>
      <c r="Z687" t="s">
        <v>1106</v>
      </c>
      <c r="AA687" t="s">
        <v>1107</v>
      </c>
      <c r="AB687" t="s">
        <v>96</v>
      </c>
      <c r="AC687" t="s">
        <v>97</v>
      </c>
      <c r="AD687" t="s">
        <v>690</v>
      </c>
      <c r="AG687" t="s">
        <v>1108</v>
      </c>
      <c r="AH687">
        <v>0</v>
      </c>
      <c r="AI687">
        <v>795</v>
      </c>
      <c r="AJ687">
        <v>70</v>
      </c>
      <c r="AK687">
        <v>24</v>
      </c>
      <c r="AL687">
        <v>1</v>
      </c>
    </row>
    <row r="688" spans="1:38" x14ac:dyDescent="0.3">
      <c r="A688" t="s">
        <v>685</v>
      </c>
      <c r="B688">
        <v>110163</v>
      </c>
      <c r="C688">
        <v>1</v>
      </c>
      <c r="D688" t="s">
        <v>1109</v>
      </c>
      <c r="E688" t="s">
        <v>870</v>
      </c>
      <c r="F688">
        <v>174</v>
      </c>
      <c r="G688">
        <v>13.18</v>
      </c>
      <c r="H688">
        <v>43.58</v>
      </c>
      <c r="I688">
        <v>9.81</v>
      </c>
      <c r="J688">
        <v>32.450000000000003</v>
      </c>
      <c r="K688">
        <v>28</v>
      </c>
      <c r="T688">
        <v>2</v>
      </c>
      <c r="U688">
        <v>1</v>
      </c>
      <c r="V688" t="s">
        <v>93</v>
      </c>
      <c r="W688" t="s">
        <v>1110</v>
      </c>
      <c r="X688">
        <v>15</v>
      </c>
      <c r="Y688">
        <v>14</v>
      </c>
      <c r="Z688" t="s">
        <v>1111</v>
      </c>
      <c r="AA688" t="s">
        <v>1112</v>
      </c>
      <c r="AB688" t="s">
        <v>96</v>
      </c>
      <c r="AC688" t="s">
        <v>97</v>
      </c>
      <c r="AD688" t="s">
        <v>690</v>
      </c>
      <c r="AG688" t="s">
        <v>1113</v>
      </c>
      <c r="AH688">
        <v>0</v>
      </c>
      <c r="AI688">
        <v>790</v>
      </c>
      <c r="AJ688">
        <v>79</v>
      </c>
      <c r="AK688">
        <v>87</v>
      </c>
      <c r="AL688">
        <v>0.5</v>
      </c>
    </row>
    <row r="689" spans="1:38" x14ac:dyDescent="0.3">
      <c r="A689" t="s">
        <v>685</v>
      </c>
      <c r="B689">
        <v>110163</v>
      </c>
      <c r="C689">
        <v>2</v>
      </c>
      <c r="D689" t="s">
        <v>1109</v>
      </c>
      <c r="E689" t="s">
        <v>870</v>
      </c>
      <c r="F689">
        <v>174</v>
      </c>
      <c r="G689">
        <v>16.59</v>
      </c>
      <c r="H689">
        <v>54.87</v>
      </c>
      <c r="I689">
        <v>11.77</v>
      </c>
      <c r="J689">
        <v>38.92</v>
      </c>
      <c r="K689">
        <v>10</v>
      </c>
      <c r="T689">
        <v>3</v>
      </c>
      <c r="U689">
        <v>1</v>
      </c>
      <c r="V689" t="s">
        <v>93</v>
      </c>
      <c r="W689" t="s">
        <v>1114</v>
      </c>
      <c r="X689">
        <v>15</v>
      </c>
      <c r="Y689">
        <v>14</v>
      </c>
      <c r="Z689" t="s">
        <v>1111</v>
      </c>
      <c r="AA689" t="s">
        <v>1112</v>
      </c>
      <c r="AB689" t="s">
        <v>96</v>
      </c>
      <c r="AC689" t="s">
        <v>97</v>
      </c>
      <c r="AD689" t="s">
        <v>690</v>
      </c>
      <c r="AG689" t="s">
        <v>1113</v>
      </c>
      <c r="AH689">
        <v>0</v>
      </c>
      <c r="AI689">
        <v>790</v>
      </c>
      <c r="AJ689">
        <v>79</v>
      </c>
      <c r="AK689">
        <v>87</v>
      </c>
      <c r="AL689">
        <v>0.5</v>
      </c>
    </row>
    <row r="690" spans="1:38" x14ac:dyDescent="0.3">
      <c r="A690" t="s">
        <v>685</v>
      </c>
      <c r="B690">
        <v>110163</v>
      </c>
      <c r="C690">
        <v>3</v>
      </c>
      <c r="D690" t="s">
        <v>1109</v>
      </c>
      <c r="E690" t="s">
        <v>870</v>
      </c>
      <c r="F690">
        <v>174</v>
      </c>
      <c r="G690">
        <v>18.440000000000001</v>
      </c>
      <c r="H690">
        <v>60.96</v>
      </c>
      <c r="I690">
        <v>14.22</v>
      </c>
      <c r="J690">
        <v>47.03</v>
      </c>
      <c r="K690">
        <v>32</v>
      </c>
      <c r="T690">
        <v>3</v>
      </c>
      <c r="U690">
        <v>1</v>
      </c>
      <c r="V690" t="s">
        <v>93</v>
      </c>
      <c r="W690" t="s">
        <v>1115</v>
      </c>
      <c r="X690">
        <v>15</v>
      </c>
      <c r="Y690">
        <v>14</v>
      </c>
      <c r="Z690" t="s">
        <v>1111</v>
      </c>
      <c r="AA690" t="s">
        <v>1112</v>
      </c>
      <c r="AB690" t="s">
        <v>96</v>
      </c>
      <c r="AC690" t="s">
        <v>97</v>
      </c>
      <c r="AD690" t="s">
        <v>690</v>
      </c>
      <c r="AG690" t="s">
        <v>1113</v>
      </c>
      <c r="AH690">
        <v>0</v>
      </c>
      <c r="AI690">
        <v>790</v>
      </c>
      <c r="AJ690">
        <v>79</v>
      </c>
      <c r="AK690">
        <v>87</v>
      </c>
      <c r="AL690">
        <v>0.5</v>
      </c>
    </row>
    <row r="691" spans="1:38" x14ac:dyDescent="0.3">
      <c r="A691" t="s">
        <v>685</v>
      </c>
      <c r="B691">
        <v>110163</v>
      </c>
      <c r="C691">
        <v>4</v>
      </c>
      <c r="D691" t="s">
        <v>1109</v>
      </c>
      <c r="E691" t="s">
        <v>870</v>
      </c>
      <c r="F691">
        <v>174</v>
      </c>
      <c r="G691">
        <v>18.82</v>
      </c>
      <c r="H691">
        <v>62.22</v>
      </c>
      <c r="I691">
        <v>14.61</v>
      </c>
      <c r="J691">
        <v>48.32</v>
      </c>
      <c r="K691">
        <v>60</v>
      </c>
      <c r="T691">
        <v>3</v>
      </c>
      <c r="U691">
        <v>1</v>
      </c>
      <c r="V691" t="s">
        <v>93</v>
      </c>
      <c r="W691" t="s">
        <v>1116</v>
      </c>
      <c r="X691">
        <v>15</v>
      </c>
      <c r="Y691">
        <v>14</v>
      </c>
      <c r="Z691" t="s">
        <v>1111</v>
      </c>
      <c r="AA691" t="s">
        <v>1112</v>
      </c>
      <c r="AB691" t="s">
        <v>96</v>
      </c>
      <c r="AC691" t="s">
        <v>97</v>
      </c>
      <c r="AD691" t="s">
        <v>690</v>
      </c>
      <c r="AG691" t="s">
        <v>1113</v>
      </c>
      <c r="AH691">
        <v>0</v>
      </c>
      <c r="AI691">
        <v>790</v>
      </c>
      <c r="AJ691">
        <v>79</v>
      </c>
      <c r="AK691">
        <v>87</v>
      </c>
      <c r="AL691">
        <v>0.5</v>
      </c>
    </row>
    <row r="692" spans="1:38" x14ac:dyDescent="0.3">
      <c r="A692" t="s">
        <v>685</v>
      </c>
      <c r="B692">
        <v>110163</v>
      </c>
      <c r="C692">
        <v>5</v>
      </c>
      <c r="D692" t="s">
        <v>1109</v>
      </c>
      <c r="E692" t="s">
        <v>870</v>
      </c>
      <c r="F692">
        <v>174</v>
      </c>
      <c r="G692">
        <v>19.32</v>
      </c>
      <c r="H692">
        <v>63.89</v>
      </c>
      <c r="I692">
        <v>14.96</v>
      </c>
      <c r="J692">
        <v>49.47</v>
      </c>
      <c r="K692">
        <v>4</v>
      </c>
      <c r="T692">
        <v>3</v>
      </c>
      <c r="U692">
        <v>1</v>
      </c>
      <c r="V692" t="s">
        <v>93</v>
      </c>
      <c r="W692" t="s">
        <v>1117</v>
      </c>
      <c r="X692">
        <v>15</v>
      </c>
      <c r="Y692">
        <v>14</v>
      </c>
      <c r="Z692" t="s">
        <v>1111</v>
      </c>
      <c r="AA692" t="s">
        <v>1112</v>
      </c>
      <c r="AB692" t="s">
        <v>96</v>
      </c>
      <c r="AC692" t="s">
        <v>97</v>
      </c>
      <c r="AD692" t="s">
        <v>690</v>
      </c>
      <c r="AG692" t="s">
        <v>1113</v>
      </c>
      <c r="AH692">
        <v>0</v>
      </c>
      <c r="AI692">
        <v>790</v>
      </c>
      <c r="AJ692">
        <v>79</v>
      </c>
      <c r="AK692">
        <v>87</v>
      </c>
      <c r="AL692">
        <v>0.5</v>
      </c>
    </row>
    <row r="693" spans="1:38" x14ac:dyDescent="0.3">
      <c r="A693" t="s">
        <v>685</v>
      </c>
      <c r="B693">
        <v>110163</v>
      </c>
      <c r="C693">
        <v>6</v>
      </c>
      <c r="D693" t="s">
        <v>1109</v>
      </c>
      <c r="E693" t="s">
        <v>870</v>
      </c>
      <c r="F693">
        <v>174</v>
      </c>
      <c r="G693">
        <v>20.76</v>
      </c>
      <c r="H693">
        <v>68.66</v>
      </c>
      <c r="I693">
        <v>14.94</v>
      </c>
      <c r="J693">
        <v>49.39</v>
      </c>
      <c r="K693">
        <v>10</v>
      </c>
      <c r="T693">
        <v>3</v>
      </c>
      <c r="U693">
        <v>1</v>
      </c>
      <c r="V693" t="s">
        <v>93</v>
      </c>
      <c r="W693" t="s">
        <v>1118</v>
      </c>
      <c r="X693">
        <v>15</v>
      </c>
      <c r="Y693">
        <v>14</v>
      </c>
      <c r="Z693" t="s">
        <v>1111</v>
      </c>
      <c r="AA693" t="s">
        <v>1112</v>
      </c>
      <c r="AB693" t="s">
        <v>96</v>
      </c>
      <c r="AC693" t="s">
        <v>97</v>
      </c>
      <c r="AD693" t="s">
        <v>690</v>
      </c>
      <c r="AG693" t="s">
        <v>1113</v>
      </c>
      <c r="AH693">
        <v>0</v>
      </c>
      <c r="AI693">
        <v>790</v>
      </c>
      <c r="AJ693">
        <v>79</v>
      </c>
      <c r="AK693">
        <v>87</v>
      </c>
      <c r="AL693">
        <v>0.5</v>
      </c>
    </row>
    <row r="694" spans="1:38" x14ac:dyDescent="0.3">
      <c r="A694" t="s">
        <v>685</v>
      </c>
      <c r="B694">
        <v>110163</v>
      </c>
      <c r="C694">
        <v>7</v>
      </c>
      <c r="D694" t="s">
        <v>1109</v>
      </c>
      <c r="E694" t="s">
        <v>870</v>
      </c>
      <c r="F694">
        <v>174</v>
      </c>
      <c r="G694">
        <v>21.01</v>
      </c>
      <c r="H694">
        <v>69.48</v>
      </c>
      <c r="I694">
        <v>15.02</v>
      </c>
      <c r="J694">
        <v>49.67</v>
      </c>
      <c r="K694">
        <v>10</v>
      </c>
      <c r="T694">
        <v>3</v>
      </c>
      <c r="U694">
        <v>1</v>
      </c>
      <c r="V694" t="s">
        <v>93</v>
      </c>
      <c r="W694" t="s">
        <v>1119</v>
      </c>
      <c r="X694">
        <v>15</v>
      </c>
      <c r="Y694">
        <v>14</v>
      </c>
      <c r="Z694" t="s">
        <v>1111</v>
      </c>
      <c r="AA694" t="s">
        <v>1112</v>
      </c>
      <c r="AB694" t="s">
        <v>96</v>
      </c>
      <c r="AC694" t="s">
        <v>97</v>
      </c>
      <c r="AD694" t="s">
        <v>690</v>
      </c>
      <c r="AG694" t="s">
        <v>1113</v>
      </c>
      <c r="AH694">
        <v>0</v>
      </c>
      <c r="AI694">
        <v>790</v>
      </c>
      <c r="AJ694">
        <v>79</v>
      </c>
      <c r="AK694">
        <v>87</v>
      </c>
      <c r="AL694">
        <v>0.5</v>
      </c>
    </row>
    <row r="695" spans="1:38" x14ac:dyDescent="0.3">
      <c r="A695" t="s">
        <v>685</v>
      </c>
      <c r="B695">
        <v>110163</v>
      </c>
      <c r="C695">
        <v>8</v>
      </c>
      <c r="D695" t="s">
        <v>1109</v>
      </c>
      <c r="E695" t="s">
        <v>870</v>
      </c>
      <c r="F695">
        <v>174</v>
      </c>
      <c r="G695">
        <v>21.02</v>
      </c>
      <c r="H695">
        <v>69.489999999999995</v>
      </c>
      <c r="I695">
        <v>15.06</v>
      </c>
      <c r="J695">
        <v>49.8</v>
      </c>
      <c r="K695">
        <v>10</v>
      </c>
      <c r="T695">
        <v>2</v>
      </c>
      <c r="U695">
        <v>1</v>
      </c>
      <c r="V695" t="s">
        <v>93</v>
      </c>
      <c r="W695" t="s">
        <v>1120</v>
      </c>
      <c r="X695">
        <v>15</v>
      </c>
      <c r="Y695">
        <v>14</v>
      </c>
      <c r="Z695" t="s">
        <v>1111</v>
      </c>
      <c r="AA695" t="s">
        <v>1112</v>
      </c>
      <c r="AB695" t="s">
        <v>96</v>
      </c>
      <c r="AC695" t="s">
        <v>97</v>
      </c>
      <c r="AD695" t="s">
        <v>690</v>
      </c>
      <c r="AG695" t="s">
        <v>1113</v>
      </c>
      <c r="AH695">
        <v>0</v>
      </c>
      <c r="AI695">
        <v>790</v>
      </c>
      <c r="AJ695">
        <v>79</v>
      </c>
      <c r="AK695">
        <v>87</v>
      </c>
      <c r="AL695">
        <v>0.5</v>
      </c>
    </row>
    <row r="696" spans="1:38" x14ac:dyDescent="0.3">
      <c r="A696" t="s">
        <v>685</v>
      </c>
      <c r="B696">
        <v>110163</v>
      </c>
      <c r="C696">
        <v>9</v>
      </c>
      <c r="D696" t="s">
        <v>1109</v>
      </c>
      <c r="E696" t="s">
        <v>870</v>
      </c>
      <c r="F696">
        <v>174</v>
      </c>
      <c r="G696">
        <v>21.15</v>
      </c>
      <c r="H696">
        <v>69.94</v>
      </c>
      <c r="I696">
        <v>14.87</v>
      </c>
      <c r="J696">
        <v>49.17</v>
      </c>
      <c r="K696">
        <v>10</v>
      </c>
      <c r="T696">
        <v>3</v>
      </c>
      <c r="U696">
        <v>1</v>
      </c>
      <c r="V696" t="s">
        <v>93</v>
      </c>
      <c r="W696" t="s">
        <v>1121</v>
      </c>
      <c r="X696">
        <v>15</v>
      </c>
      <c r="Y696">
        <v>14</v>
      </c>
      <c r="Z696" t="s">
        <v>1111</v>
      </c>
      <c r="AA696" t="s">
        <v>1112</v>
      </c>
      <c r="AB696" t="s">
        <v>96</v>
      </c>
      <c r="AC696" t="s">
        <v>97</v>
      </c>
      <c r="AD696" t="s">
        <v>690</v>
      </c>
      <c r="AG696" t="s">
        <v>1113</v>
      </c>
      <c r="AH696">
        <v>0</v>
      </c>
      <c r="AI696">
        <v>790</v>
      </c>
      <c r="AJ696">
        <v>79</v>
      </c>
      <c r="AK696">
        <v>87</v>
      </c>
      <c r="AL696">
        <v>0.5</v>
      </c>
    </row>
    <row r="697" spans="1:38" x14ac:dyDescent="0.3">
      <c r="A697" t="s">
        <v>685</v>
      </c>
      <c r="B697">
        <v>138691</v>
      </c>
      <c r="C697">
        <v>1</v>
      </c>
      <c r="D697" t="s">
        <v>1122</v>
      </c>
      <c r="E697" t="s">
        <v>508</v>
      </c>
      <c r="F697">
        <v>12</v>
      </c>
      <c r="G697">
        <v>22.79</v>
      </c>
      <c r="H697">
        <v>75.37</v>
      </c>
      <c r="I697">
        <v>18.04</v>
      </c>
      <c r="J697">
        <v>59.64</v>
      </c>
      <c r="K697">
        <v>4</v>
      </c>
      <c r="T697">
        <v>3</v>
      </c>
      <c r="U697">
        <v>2</v>
      </c>
      <c r="V697" t="s">
        <v>93</v>
      </c>
      <c r="W697" t="s">
        <v>882</v>
      </c>
      <c r="X697">
        <v>5</v>
      </c>
      <c r="Y697">
        <v>5</v>
      </c>
      <c r="Z697" t="s">
        <v>1123</v>
      </c>
      <c r="AA697" t="s">
        <v>1124</v>
      </c>
      <c r="AB697" t="s">
        <v>96</v>
      </c>
      <c r="AC697" t="s">
        <v>97</v>
      </c>
      <c r="AD697" t="s">
        <v>690</v>
      </c>
      <c r="AG697" t="s">
        <v>1125</v>
      </c>
      <c r="AH697">
        <v>0</v>
      </c>
      <c r="AI697">
        <v>452</v>
      </c>
      <c r="AJ697">
        <v>75</v>
      </c>
      <c r="AK697">
        <v>10</v>
      </c>
      <c r="AL697">
        <v>0.83</v>
      </c>
    </row>
    <row r="698" spans="1:38" x14ac:dyDescent="0.3">
      <c r="A698" t="s">
        <v>685</v>
      </c>
      <c r="B698">
        <v>138691</v>
      </c>
      <c r="C698">
        <v>2</v>
      </c>
      <c r="D698" t="s">
        <v>1122</v>
      </c>
      <c r="E698" t="s">
        <v>508</v>
      </c>
      <c r="F698">
        <v>12</v>
      </c>
      <c r="G698">
        <v>23.07</v>
      </c>
      <c r="H698">
        <v>76.28</v>
      </c>
      <c r="I698">
        <v>18.12</v>
      </c>
      <c r="J698">
        <v>59.91</v>
      </c>
      <c r="K698">
        <v>4</v>
      </c>
      <c r="T698">
        <v>3</v>
      </c>
      <c r="U698">
        <v>2</v>
      </c>
      <c r="V698" t="s">
        <v>93</v>
      </c>
      <c r="W698" t="s">
        <v>1126</v>
      </c>
      <c r="X698">
        <v>5</v>
      </c>
      <c r="Y698">
        <v>5</v>
      </c>
      <c r="Z698" t="s">
        <v>1123</v>
      </c>
      <c r="AA698" t="s">
        <v>1124</v>
      </c>
      <c r="AB698" t="s">
        <v>96</v>
      </c>
      <c r="AC698" t="s">
        <v>97</v>
      </c>
      <c r="AD698" t="s">
        <v>690</v>
      </c>
      <c r="AG698" t="s">
        <v>1125</v>
      </c>
      <c r="AH698">
        <v>0</v>
      </c>
      <c r="AI698">
        <v>452</v>
      </c>
      <c r="AJ698">
        <v>75</v>
      </c>
      <c r="AK698">
        <v>10</v>
      </c>
      <c r="AL698">
        <v>0.83</v>
      </c>
    </row>
    <row r="699" spans="1:38" x14ac:dyDescent="0.3">
      <c r="A699" t="s">
        <v>685</v>
      </c>
      <c r="B699">
        <v>138691</v>
      </c>
      <c r="C699">
        <v>3</v>
      </c>
      <c r="D699" t="s">
        <v>1122</v>
      </c>
      <c r="E699" t="s">
        <v>508</v>
      </c>
      <c r="F699">
        <v>12</v>
      </c>
      <c r="G699">
        <v>23.3</v>
      </c>
      <c r="H699">
        <v>77.03</v>
      </c>
      <c r="I699">
        <v>18.12</v>
      </c>
      <c r="J699">
        <v>59.92</v>
      </c>
      <c r="K699">
        <v>4</v>
      </c>
      <c r="T699">
        <v>3</v>
      </c>
      <c r="U699">
        <v>2</v>
      </c>
      <c r="V699" t="s">
        <v>93</v>
      </c>
      <c r="W699" t="s">
        <v>1127</v>
      </c>
      <c r="X699">
        <v>5</v>
      </c>
      <c r="Y699">
        <v>5</v>
      </c>
      <c r="Z699" t="s">
        <v>1123</v>
      </c>
      <c r="AA699" t="s">
        <v>1124</v>
      </c>
      <c r="AB699" t="s">
        <v>96</v>
      </c>
      <c r="AC699" t="s">
        <v>97</v>
      </c>
      <c r="AD699" t="s">
        <v>690</v>
      </c>
      <c r="AG699" t="s">
        <v>1125</v>
      </c>
      <c r="AH699">
        <v>0</v>
      </c>
      <c r="AI699">
        <v>452</v>
      </c>
      <c r="AJ699">
        <v>75</v>
      </c>
      <c r="AK699">
        <v>10</v>
      </c>
      <c r="AL699">
        <v>0.83</v>
      </c>
    </row>
    <row r="700" spans="1:38" x14ac:dyDescent="0.3">
      <c r="A700" t="s">
        <v>685</v>
      </c>
      <c r="B700">
        <v>144535</v>
      </c>
      <c r="C700">
        <v>1</v>
      </c>
      <c r="D700" t="s">
        <v>1128</v>
      </c>
      <c r="E700" t="s">
        <v>1129</v>
      </c>
      <c r="F700">
        <v>19</v>
      </c>
      <c r="G700">
        <v>26.15</v>
      </c>
      <c r="H700">
        <v>86.46</v>
      </c>
      <c r="I700">
        <v>23.32</v>
      </c>
      <c r="J700">
        <v>77.099999999999994</v>
      </c>
      <c r="K700">
        <v>18</v>
      </c>
      <c r="T700">
        <v>3</v>
      </c>
      <c r="U700">
        <v>2</v>
      </c>
      <c r="V700" t="s">
        <v>93</v>
      </c>
      <c r="W700">
        <v>86</v>
      </c>
      <c r="X700">
        <v>8</v>
      </c>
      <c r="Y700">
        <v>7</v>
      </c>
      <c r="Z700" t="s">
        <v>1130</v>
      </c>
      <c r="AA700" t="s">
        <v>1131</v>
      </c>
      <c r="AB700" t="s">
        <v>96</v>
      </c>
      <c r="AC700" t="s">
        <v>97</v>
      </c>
      <c r="AD700" t="s">
        <v>690</v>
      </c>
      <c r="AG700" t="s">
        <v>1132</v>
      </c>
      <c r="AH700">
        <v>0</v>
      </c>
      <c r="AI700">
        <v>350</v>
      </c>
      <c r="AJ700">
        <v>68</v>
      </c>
      <c r="AK700">
        <v>18</v>
      </c>
      <c r="AL700">
        <v>0.95</v>
      </c>
    </row>
    <row r="701" spans="1:38" x14ac:dyDescent="0.3">
      <c r="A701" t="s">
        <v>685</v>
      </c>
      <c r="B701">
        <v>144535</v>
      </c>
      <c r="C701">
        <v>2</v>
      </c>
      <c r="D701" t="s">
        <v>1128</v>
      </c>
      <c r="E701" t="s">
        <v>1129</v>
      </c>
      <c r="F701">
        <v>19</v>
      </c>
      <c r="G701">
        <v>26.75</v>
      </c>
      <c r="H701">
        <v>88.43</v>
      </c>
      <c r="I701">
        <v>23.91</v>
      </c>
      <c r="J701">
        <v>79.069999999999993</v>
      </c>
      <c r="K701">
        <v>1</v>
      </c>
      <c r="T701">
        <v>3</v>
      </c>
      <c r="U701">
        <v>2</v>
      </c>
      <c r="V701" t="s">
        <v>93</v>
      </c>
      <c r="W701">
        <v>88</v>
      </c>
      <c r="X701">
        <v>8</v>
      </c>
      <c r="Y701">
        <v>7</v>
      </c>
      <c r="Z701" t="s">
        <v>1130</v>
      </c>
      <c r="AA701" t="s">
        <v>1131</v>
      </c>
      <c r="AB701" t="s">
        <v>96</v>
      </c>
      <c r="AC701" t="s">
        <v>97</v>
      </c>
      <c r="AD701" t="s">
        <v>690</v>
      </c>
      <c r="AG701" t="s">
        <v>1132</v>
      </c>
      <c r="AH701">
        <v>0</v>
      </c>
      <c r="AI701">
        <v>350</v>
      </c>
      <c r="AJ701">
        <v>68</v>
      </c>
      <c r="AK701">
        <v>18</v>
      </c>
      <c r="AL701">
        <v>0.95</v>
      </c>
    </row>
    <row r="702" spans="1:38" x14ac:dyDescent="0.3">
      <c r="A702" t="s">
        <v>685</v>
      </c>
      <c r="B702">
        <v>134816</v>
      </c>
      <c r="C702">
        <v>1</v>
      </c>
      <c r="D702" t="s">
        <v>1133</v>
      </c>
      <c r="E702" t="s">
        <v>1134</v>
      </c>
      <c r="F702">
        <v>8</v>
      </c>
      <c r="G702">
        <v>23.47</v>
      </c>
      <c r="H702">
        <v>77.599999999999994</v>
      </c>
      <c r="I702">
        <v>18.170000000000002</v>
      </c>
      <c r="J702">
        <v>60.07</v>
      </c>
      <c r="K702">
        <v>3</v>
      </c>
      <c r="T702">
        <v>3</v>
      </c>
      <c r="U702">
        <v>1</v>
      </c>
      <c r="V702" t="s">
        <v>93</v>
      </c>
      <c r="W702">
        <v>77</v>
      </c>
      <c r="X702">
        <v>15</v>
      </c>
      <c r="Y702">
        <v>15</v>
      </c>
      <c r="Z702" t="s">
        <v>1135</v>
      </c>
      <c r="AA702" t="s">
        <v>1136</v>
      </c>
      <c r="AB702" t="s">
        <v>96</v>
      </c>
      <c r="AC702" t="s">
        <v>97</v>
      </c>
      <c r="AD702" t="s">
        <v>690</v>
      </c>
      <c r="AG702" t="s">
        <v>1137</v>
      </c>
      <c r="AH702">
        <v>0</v>
      </c>
      <c r="AI702">
        <v>815</v>
      </c>
      <c r="AJ702">
        <v>69</v>
      </c>
      <c r="AK702">
        <v>8</v>
      </c>
      <c r="AL702">
        <v>1</v>
      </c>
    </row>
    <row r="703" spans="1:38" x14ac:dyDescent="0.3">
      <c r="A703" t="s">
        <v>685</v>
      </c>
      <c r="B703">
        <v>134816</v>
      </c>
      <c r="C703">
        <v>2</v>
      </c>
      <c r="D703" t="s">
        <v>1133</v>
      </c>
      <c r="E703" t="s">
        <v>1134</v>
      </c>
      <c r="F703">
        <v>8</v>
      </c>
      <c r="G703">
        <v>24.36</v>
      </c>
      <c r="H703">
        <v>80.56</v>
      </c>
      <c r="I703">
        <v>19.03</v>
      </c>
      <c r="J703">
        <v>62.91</v>
      </c>
      <c r="K703">
        <v>4</v>
      </c>
      <c r="T703">
        <v>3</v>
      </c>
      <c r="U703">
        <v>2</v>
      </c>
      <c r="V703" t="s">
        <v>93</v>
      </c>
      <c r="W703">
        <v>80</v>
      </c>
      <c r="X703">
        <v>15</v>
      </c>
      <c r="Y703">
        <v>15</v>
      </c>
      <c r="Z703" t="s">
        <v>1135</v>
      </c>
      <c r="AA703" t="s">
        <v>1136</v>
      </c>
      <c r="AB703" t="s">
        <v>96</v>
      </c>
      <c r="AC703" t="s">
        <v>97</v>
      </c>
      <c r="AD703" t="s">
        <v>690</v>
      </c>
      <c r="AG703" t="s">
        <v>1137</v>
      </c>
      <c r="AH703">
        <v>0</v>
      </c>
      <c r="AI703">
        <v>815</v>
      </c>
      <c r="AJ703">
        <v>69</v>
      </c>
      <c r="AK703">
        <v>8</v>
      </c>
      <c r="AL703">
        <v>1</v>
      </c>
    </row>
    <row r="704" spans="1:38" x14ac:dyDescent="0.3">
      <c r="A704" t="s">
        <v>685</v>
      </c>
      <c r="B704">
        <v>134816</v>
      </c>
      <c r="C704">
        <v>3</v>
      </c>
      <c r="D704" t="s">
        <v>1133</v>
      </c>
      <c r="E704" t="s">
        <v>1134</v>
      </c>
      <c r="F704">
        <v>8</v>
      </c>
      <c r="G704">
        <v>27.56</v>
      </c>
      <c r="H704">
        <v>91.13</v>
      </c>
      <c r="I704">
        <v>21.28</v>
      </c>
      <c r="J704">
        <v>70.36</v>
      </c>
      <c r="K704">
        <v>1</v>
      </c>
      <c r="T704">
        <v>3</v>
      </c>
      <c r="U704">
        <v>2</v>
      </c>
      <c r="V704" t="s">
        <v>93</v>
      </c>
      <c r="W704">
        <v>91</v>
      </c>
      <c r="X704">
        <v>15</v>
      </c>
      <c r="Y704">
        <v>15</v>
      </c>
      <c r="Z704" t="s">
        <v>1135</v>
      </c>
      <c r="AA704" t="s">
        <v>1136</v>
      </c>
      <c r="AB704" t="s">
        <v>96</v>
      </c>
      <c r="AC704" t="s">
        <v>97</v>
      </c>
      <c r="AD704" t="s">
        <v>690</v>
      </c>
      <c r="AG704" t="s">
        <v>1137</v>
      </c>
      <c r="AH704">
        <v>0</v>
      </c>
      <c r="AI704">
        <v>815</v>
      </c>
      <c r="AJ704">
        <v>69</v>
      </c>
      <c r="AK704">
        <v>8</v>
      </c>
      <c r="AL704">
        <v>1</v>
      </c>
    </row>
    <row r="705" spans="1:38" x14ac:dyDescent="0.3">
      <c r="A705" t="s">
        <v>685</v>
      </c>
      <c r="B705">
        <v>127887</v>
      </c>
      <c r="C705">
        <v>1</v>
      </c>
      <c r="D705" t="s">
        <v>1138</v>
      </c>
      <c r="E705" t="s">
        <v>1057</v>
      </c>
      <c r="F705">
        <v>6</v>
      </c>
      <c r="G705">
        <v>21.9</v>
      </c>
      <c r="H705">
        <v>72.42</v>
      </c>
      <c r="I705">
        <v>18.350000000000001</v>
      </c>
      <c r="J705">
        <v>60.67</v>
      </c>
      <c r="K705">
        <v>2</v>
      </c>
      <c r="T705">
        <v>3</v>
      </c>
      <c r="U705">
        <v>2</v>
      </c>
      <c r="V705" t="s">
        <v>93</v>
      </c>
      <c r="W705">
        <v>72</v>
      </c>
      <c r="X705">
        <v>3</v>
      </c>
      <c r="Y705">
        <v>3</v>
      </c>
      <c r="Z705" t="s">
        <v>1139</v>
      </c>
      <c r="AA705" t="s">
        <v>1140</v>
      </c>
      <c r="AB705" t="s">
        <v>96</v>
      </c>
      <c r="AC705" t="s">
        <v>97</v>
      </c>
      <c r="AD705" t="s">
        <v>690</v>
      </c>
      <c r="AG705" t="s">
        <v>1141</v>
      </c>
      <c r="AH705">
        <v>0</v>
      </c>
      <c r="AI705">
        <v>805</v>
      </c>
      <c r="AJ705">
        <v>77</v>
      </c>
      <c r="AK705">
        <v>6</v>
      </c>
      <c r="AL705">
        <v>1</v>
      </c>
    </row>
    <row r="706" spans="1:38" x14ac:dyDescent="0.3">
      <c r="A706" t="s">
        <v>685</v>
      </c>
      <c r="B706">
        <v>127887</v>
      </c>
      <c r="C706">
        <v>2</v>
      </c>
      <c r="D706" t="s">
        <v>1138</v>
      </c>
      <c r="E706" t="s">
        <v>1057</v>
      </c>
      <c r="F706">
        <v>6</v>
      </c>
      <c r="G706">
        <v>23.07</v>
      </c>
      <c r="H706">
        <v>76.28</v>
      </c>
      <c r="I706">
        <v>19.23</v>
      </c>
      <c r="J706">
        <v>63.6</v>
      </c>
      <c r="K706">
        <v>2</v>
      </c>
      <c r="T706">
        <v>3</v>
      </c>
      <c r="U706">
        <v>2</v>
      </c>
      <c r="V706" t="s">
        <v>93</v>
      </c>
      <c r="W706">
        <v>76</v>
      </c>
      <c r="X706">
        <v>3</v>
      </c>
      <c r="Y706">
        <v>3</v>
      </c>
      <c r="Z706" t="s">
        <v>1139</v>
      </c>
      <c r="AA706" t="s">
        <v>1140</v>
      </c>
      <c r="AB706" t="s">
        <v>96</v>
      </c>
      <c r="AC706" t="s">
        <v>97</v>
      </c>
      <c r="AD706" t="s">
        <v>690</v>
      </c>
      <c r="AG706" t="s">
        <v>1141</v>
      </c>
      <c r="AH706">
        <v>0</v>
      </c>
      <c r="AI706">
        <v>805</v>
      </c>
      <c r="AJ706">
        <v>77</v>
      </c>
      <c r="AK706">
        <v>6</v>
      </c>
      <c r="AL706">
        <v>1</v>
      </c>
    </row>
    <row r="707" spans="1:38" x14ac:dyDescent="0.3">
      <c r="A707" t="s">
        <v>685</v>
      </c>
      <c r="B707">
        <v>127887</v>
      </c>
      <c r="C707">
        <v>3</v>
      </c>
      <c r="D707" t="s">
        <v>1138</v>
      </c>
      <c r="E707" t="s">
        <v>1057</v>
      </c>
      <c r="F707">
        <v>6</v>
      </c>
      <c r="G707">
        <v>23.57</v>
      </c>
      <c r="H707">
        <v>77.92</v>
      </c>
      <c r="I707">
        <v>19.670000000000002</v>
      </c>
      <c r="J707">
        <v>65.03</v>
      </c>
      <c r="K707">
        <v>2</v>
      </c>
      <c r="T707">
        <v>3</v>
      </c>
      <c r="U707">
        <v>2</v>
      </c>
      <c r="V707" t="s">
        <v>93</v>
      </c>
      <c r="W707">
        <v>77</v>
      </c>
      <c r="X707">
        <v>3</v>
      </c>
      <c r="Y707">
        <v>3</v>
      </c>
      <c r="Z707" t="s">
        <v>1139</v>
      </c>
      <c r="AA707" t="s">
        <v>1140</v>
      </c>
      <c r="AB707" t="s">
        <v>96</v>
      </c>
      <c r="AC707" t="s">
        <v>97</v>
      </c>
      <c r="AD707" t="s">
        <v>690</v>
      </c>
      <c r="AG707" t="s">
        <v>1141</v>
      </c>
      <c r="AH707">
        <v>0</v>
      </c>
      <c r="AI707">
        <v>805</v>
      </c>
      <c r="AJ707">
        <v>77</v>
      </c>
      <c r="AK707">
        <v>6</v>
      </c>
      <c r="AL707">
        <v>1</v>
      </c>
    </row>
    <row r="708" spans="1:38" x14ac:dyDescent="0.3">
      <c r="A708" t="s">
        <v>685</v>
      </c>
      <c r="B708">
        <v>117565</v>
      </c>
      <c r="C708">
        <v>1</v>
      </c>
      <c r="D708" t="s">
        <v>1142</v>
      </c>
      <c r="E708" t="s">
        <v>854</v>
      </c>
      <c r="F708">
        <v>16</v>
      </c>
      <c r="G708">
        <v>20.329999999999998</v>
      </c>
      <c r="H708">
        <v>67.209999999999994</v>
      </c>
      <c r="I708">
        <v>16.420000000000002</v>
      </c>
      <c r="J708">
        <v>54.31</v>
      </c>
      <c r="K708">
        <v>4</v>
      </c>
      <c r="T708">
        <v>3</v>
      </c>
      <c r="U708">
        <v>1</v>
      </c>
      <c r="V708" t="s">
        <v>93</v>
      </c>
      <c r="W708">
        <v>67</v>
      </c>
      <c r="X708">
        <v>14</v>
      </c>
      <c r="Y708">
        <v>14</v>
      </c>
      <c r="Z708" t="s">
        <v>1143</v>
      </c>
      <c r="AA708" t="s">
        <v>1144</v>
      </c>
      <c r="AB708" t="s">
        <v>96</v>
      </c>
      <c r="AC708" t="s">
        <v>97</v>
      </c>
      <c r="AD708" t="s">
        <v>690</v>
      </c>
      <c r="AG708" t="s">
        <v>1145</v>
      </c>
      <c r="AH708">
        <v>0</v>
      </c>
      <c r="AI708">
        <v>720</v>
      </c>
      <c r="AJ708">
        <v>66</v>
      </c>
      <c r="AK708">
        <v>15</v>
      </c>
      <c r="AL708">
        <v>0.94</v>
      </c>
    </row>
    <row r="709" spans="1:38" x14ac:dyDescent="0.3">
      <c r="A709" t="s">
        <v>685</v>
      </c>
      <c r="B709">
        <v>117565</v>
      </c>
      <c r="C709">
        <v>2</v>
      </c>
      <c r="D709" t="s">
        <v>1142</v>
      </c>
      <c r="E709" t="s">
        <v>854</v>
      </c>
      <c r="F709">
        <v>16</v>
      </c>
      <c r="G709">
        <v>20.64</v>
      </c>
      <c r="H709">
        <v>68.239999999999995</v>
      </c>
      <c r="I709">
        <v>16.579999999999998</v>
      </c>
      <c r="J709">
        <v>54.81</v>
      </c>
      <c r="K709">
        <v>4</v>
      </c>
      <c r="T709">
        <v>3</v>
      </c>
      <c r="U709">
        <v>1</v>
      </c>
      <c r="V709" t="s">
        <v>93</v>
      </c>
      <c r="W709" t="s">
        <v>226</v>
      </c>
      <c r="X709">
        <v>14</v>
      </c>
      <c r="Y709">
        <v>14</v>
      </c>
      <c r="Z709" t="s">
        <v>1143</v>
      </c>
      <c r="AA709" t="s">
        <v>1144</v>
      </c>
      <c r="AB709" t="s">
        <v>96</v>
      </c>
      <c r="AC709" t="s">
        <v>97</v>
      </c>
      <c r="AD709" t="s">
        <v>690</v>
      </c>
      <c r="AG709" t="s">
        <v>1145</v>
      </c>
      <c r="AH709">
        <v>0</v>
      </c>
      <c r="AI709">
        <v>720</v>
      </c>
      <c r="AJ709">
        <v>66</v>
      </c>
      <c r="AK709">
        <v>15</v>
      </c>
      <c r="AL709">
        <v>0.94</v>
      </c>
    </row>
    <row r="710" spans="1:38" x14ac:dyDescent="0.3">
      <c r="A710" t="s">
        <v>685</v>
      </c>
      <c r="B710">
        <v>117565</v>
      </c>
      <c r="C710">
        <v>3</v>
      </c>
      <c r="D710" t="s">
        <v>1142</v>
      </c>
      <c r="E710" t="s">
        <v>854</v>
      </c>
      <c r="F710">
        <v>16</v>
      </c>
      <c r="G710">
        <v>20.64</v>
      </c>
      <c r="H710">
        <v>68.25</v>
      </c>
      <c r="I710">
        <v>16.59</v>
      </c>
      <c r="J710">
        <v>54.86</v>
      </c>
      <c r="K710">
        <v>4</v>
      </c>
      <c r="T710">
        <v>3</v>
      </c>
      <c r="U710">
        <v>1</v>
      </c>
      <c r="V710" t="s">
        <v>93</v>
      </c>
      <c r="W710" t="s">
        <v>230</v>
      </c>
      <c r="X710">
        <v>14</v>
      </c>
      <c r="Y710">
        <v>14</v>
      </c>
      <c r="Z710" t="s">
        <v>1143</v>
      </c>
      <c r="AA710" t="s">
        <v>1144</v>
      </c>
      <c r="AB710" t="s">
        <v>96</v>
      </c>
      <c r="AC710" t="s">
        <v>97</v>
      </c>
      <c r="AD710" t="s">
        <v>690</v>
      </c>
      <c r="AG710" t="s">
        <v>1145</v>
      </c>
      <c r="AH710">
        <v>0</v>
      </c>
      <c r="AI710">
        <v>720</v>
      </c>
      <c r="AJ710">
        <v>66</v>
      </c>
      <c r="AK710">
        <v>15</v>
      </c>
      <c r="AL710">
        <v>0.94</v>
      </c>
    </row>
    <row r="711" spans="1:38" x14ac:dyDescent="0.3">
      <c r="A711" t="s">
        <v>685</v>
      </c>
      <c r="B711">
        <v>117565</v>
      </c>
      <c r="C711">
        <v>4</v>
      </c>
      <c r="D711" t="s">
        <v>1142</v>
      </c>
      <c r="E711" t="s">
        <v>854</v>
      </c>
      <c r="F711">
        <v>16</v>
      </c>
      <c r="G711">
        <v>22.53</v>
      </c>
      <c r="H711">
        <v>74.48</v>
      </c>
      <c r="I711">
        <v>18.010000000000002</v>
      </c>
      <c r="J711">
        <v>59.54</v>
      </c>
      <c r="K711">
        <v>4</v>
      </c>
      <c r="T711">
        <v>3</v>
      </c>
      <c r="U711">
        <v>1</v>
      </c>
      <c r="V711" t="s">
        <v>93</v>
      </c>
      <c r="W711">
        <v>74</v>
      </c>
      <c r="X711">
        <v>14</v>
      </c>
      <c r="Y711">
        <v>14</v>
      </c>
      <c r="Z711" t="s">
        <v>1143</v>
      </c>
      <c r="AA711" t="s">
        <v>1144</v>
      </c>
      <c r="AB711" t="s">
        <v>96</v>
      </c>
      <c r="AC711" t="s">
        <v>97</v>
      </c>
      <c r="AD711" t="s">
        <v>690</v>
      </c>
      <c r="AG711" t="s">
        <v>1145</v>
      </c>
      <c r="AH711">
        <v>0</v>
      </c>
      <c r="AI711">
        <v>720</v>
      </c>
      <c r="AJ711">
        <v>66</v>
      </c>
      <c r="AK711">
        <v>15</v>
      </c>
      <c r="AL711">
        <v>0.94</v>
      </c>
    </row>
    <row r="712" spans="1:38" x14ac:dyDescent="0.3">
      <c r="A712" t="s">
        <v>685</v>
      </c>
      <c r="B712">
        <v>141600</v>
      </c>
      <c r="C712">
        <v>1</v>
      </c>
      <c r="D712" t="s">
        <v>1146</v>
      </c>
      <c r="E712" t="s">
        <v>870</v>
      </c>
      <c r="F712">
        <v>4</v>
      </c>
      <c r="G712">
        <v>20.39</v>
      </c>
      <c r="H712">
        <v>67.42</v>
      </c>
      <c r="I712">
        <v>15.49</v>
      </c>
      <c r="J712">
        <v>51.21</v>
      </c>
      <c r="K712">
        <v>1</v>
      </c>
      <c r="T712">
        <v>3</v>
      </c>
      <c r="U712">
        <v>1</v>
      </c>
      <c r="V712" t="s">
        <v>93</v>
      </c>
      <c r="W712">
        <v>67</v>
      </c>
      <c r="X712">
        <v>7</v>
      </c>
      <c r="Y712">
        <v>7</v>
      </c>
      <c r="Z712" t="s">
        <v>1147</v>
      </c>
      <c r="AA712" t="s">
        <v>1148</v>
      </c>
      <c r="AB712" t="s">
        <v>96</v>
      </c>
      <c r="AC712" t="s">
        <v>97</v>
      </c>
      <c r="AD712" t="s">
        <v>690</v>
      </c>
      <c r="AG712" t="s">
        <v>1149</v>
      </c>
      <c r="AH712">
        <v>0</v>
      </c>
      <c r="AI712">
        <v>339</v>
      </c>
      <c r="AJ712">
        <v>73</v>
      </c>
      <c r="AK712">
        <v>3</v>
      </c>
      <c r="AL712">
        <v>0.75</v>
      </c>
    </row>
    <row r="713" spans="1:38" x14ac:dyDescent="0.3">
      <c r="A713" t="s">
        <v>685</v>
      </c>
      <c r="B713">
        <v>141600</v>
      </c>
      <c r="C713">
        <v>2</v>
      </c>
      <c r="D713" t="s">
        <v>1146</v>
      </c>
      <c r="E713" t="s">
        <v>870</v>
      </c>
      <c r="F713">
        <v>4</v>
      </c>
      <c r="G713">
        <v>21.07</v>
      </c>
      <c r="H713">
        <v>69.680000000000007</v>
      </c>
      <c r="I713">
        <v>16.05</v>
      </c>
      <c r="J713">
        <v>53.09</v>
      </c>
      <c r="K713">
        <v>1</v>
      </c>
      <c r="T713">
        <v>3</v>
      </c>
      <c r="U713">
        <v>1</v>
      </c>
      <c r="V713" t="s">
        <v>93</v>
      </c>
      <c r="W713">
        <v>69</v>
      </c>
      <c r="X713">
        <v>7</v>
      </c>
      <c r="Y713">
        <v>7</v>
      </c>
      <c r="Z713" t="s">
        <v>1147</v>
      </c>
      <c r="AA713" t="s">
        <v>1148</v>
      </c>
      <c r="AB713" t="s">
        <v>96</v>
      </c>
      <c r="AC713" t="s">
        <v>97</v>
      </c>
      <c r="AD713" t="s">
        <v>690</v>
      </c>
      <c r="AG713" t="s">
        <v>1149</v>
      </c>
      <c r="AH713">
        <v>0</v>
      </c>
      <c r="AI713">
        <v>339</v>
      </c>
      <c r="AJ713">
        <v>73</v>
      </c>
      <c r="AK713">
        <v>3</v>
      </c>
      <c r="AL713">
        <v>0.75</v>
      </c>
    </row>
    <row r="714" spans="1:38" x14ac:dyDescent="0.3">
      <c r="A714" t="s">
        <v>685</v>
      </c>
      <c r="B714">
        <v>141600</v>
      </c>
      <c r="C714">
        <v>3</v>
      </c>
      <c r="D714" t="s">
        <v>1146</v>
      </c>
      <c r="E714" t="s">
        <v>870</v>
      </c>
      <c r="F714">
        <v>4</v>
      </c>
      <c r="G714">
        <v>24.48</v>
      </c>
      <c r="H714">
        <v>80.95</v>
      </c>
      <c r="I714">
        <v>18.45</v>
      </c>
      <c r="J714">
        <v>61</v>
      </c>
      <c r="K714">
        <v>1</v>
      </c>
      <c r="T714">
        <v>3</v>
      </c>
      <c r="U714">
        <v>1</v>
      </c>
      <c r="V714" t="s">
        <v>93</v>
      </c>
      <c r="W714">
        <v>80</v>
      </c>
      <c r="X714">
        <v>7</v>
      </c>
      <c r="Y714">
        <v>7</v>
      </c>
      <c r="Z714" t="s">
        <v>1147</v>
      </c>
      <c r="AA714" t="s">
        <v>1148</v>
      </c>
      <c r="AB714" t="s">
        <v>96</v>
      </c>
      <c r="AC714" t="s">
        <v>97</v>
      </c>
      <c r="AD714" t="s">
        <v>690</v>
      </c>
      <c r="AG714" t="s">
        <v>1149</v>
      </c>
      <c r="AH714">
        <v>0</v>
      </c>
      <c r="AI714">
        <v>339</v>
      </c>
      <c r="AJ714">
        <v>73</v>
      </c>
      <c r="AK714">
        <v>3</v>
      </c>
      <c r="AL714">
        <v>0.75</v>
      </c>
    </row>
    <row r="715" spans="1:38" x14ac:dyDescent="0.3">
      <c r="A715" t="s">
        <v>685</v>
      </c>
      <c r="B715">
        <v>141600</v>
      </c>
      <c r="C715">
        <v>4</v>
      </c>
      <c r="D715" t="s">
        <v>1146</v>
      </c>
      <c r="E715" t="s">
        <v>870</v>
      </c>
      <c r="F715">
        <v>4</v>
      </c>
      <c r="G715">
        <v>24.64</v>
      </c>
      <c r="H715">
        <v>81.48</v>
      </c>
      <c r="I715">
        <v>18.53</v>
      </c>
      <c r="J715">
        <v>61.26</v>
      </c>
      <c r="K715">
        <v>1</v>
      </c>
      <c r="T715">
        <v>3</v>
      </c>
      <c r="U715">
        <v>2</v>
      </c>
      <c r="V715" t="s">
        <v>93</v>
      </c>
      <c r="W715">
        <v>81</v>
      </c>
      <c r="X715">
        <v>7</v>
      </c>
      <c r="Y715">
        <v>7</v>
      </c>
      <c r="Z715" t="s">
        <v>1147</v>
      </c>
      <c r="AA715" t="s">
        <v>1148</v>
      </c>
      <c r="AB715" t="s">
        <v>96</v>
      </c>
      <c r="AC715" t="s">
        <v>97</v>
      </c>
      <c r="AD715" t="s">
        <v>690</v>
      </c>
      <c r="AG715" t="s">
        <v>1149</v>
      </c>
      <c r="AH715">
        <v>0</v>
      </c>
      <c r="AI715">
        <v>339</v>
      </c>
      <c r="AJ715">
        <v>73</v>
      </c>
      <c r="AK715">
        <v>3</v>
      </c>
      <c r="AL715">
        <v>0.75</v>
      </c>
    </row>
    <row r="716" spans="1:38" x14ac:dyDescent="0.3">
      <c r="A716" t="s">
        <v>685</v>
      </c>
      <c r="B716">
        <v>131094</v>
      </c>
      <c r="C716">
        <v>1</v>
      </c>
      <c r="D716" t="s">
        <v>1150</v>
      </c>
      <c r="E716" t="s">
        <v>1151</v>
      </c>
      <c r="F716">
        <v>15</v>
      </c>
      <c r="G716">
        <v>22.4</v>
      </c>
      <c r="H716">
        <v>74.08</v>
      </c>
      <c r="I716">
        <v>17.96</v>
      </c>
      <c r="J716">
        <v>59.39</v>
      </c>
      <c r="K716">
        <v>3</v>
      </c>
      <c r="T716">
        <v>3</v>
      </c>
      <c r="U716">
        <v>1</v>
      </c>
      <c r="V716" t="s">
        <v>93</v>
      </c>
      <c r="W716">
        <v>74</v>
      </c>
      <c r="X716">
        <v>13</v>
      </c>
      <c r="Y716">
        <v>13</v>
      </c>
      <c r="Z716" t="s">
        <v>1152</v>
      </c>
      <c r="AA716" t="s">
        <v>1153</v>
      </c>
      <c r="AB716" t="s">
        <v>96</v>
      </c>
      <c r="AC716" t="s">
        <v>97</v>
      </c>
      <c r="AD716" t="s">
        <v>690</v>
      </c>
      <c r="AG716" t="s">
        <v>1154</v>
      </c>
      <c r="AH716">
        <v>0</v>
      </c>
      <c r="AI716">
        <v>864</v>
      </c>
      <c r="AJ716">
        <v>78</v>
      </c>
      <c r="AK716">
        <v>14</v>
      </c>
      <c r="AL716">
        <v>0.93</v>
      </c>
    </row>
    <row r="717" spans="1:38" x14ac:dyDescent="0.3">
      <c r="A717" t="s">
        <v>685</v>
      </c>
      <c r="B717">
        <v>131094</v>
      </c>
      <c r="C717">
        <v>2</v>
      </c>
      <c r="D717" t="s">
        <v>1150</v>
      </c>
      <c r="E717" t="s">
        <v>1151</v>
      </c>
      <c r="F717">
        <v>15</v>
      </c>
      <c r="G717">
        <v>22.49</v>
      </c>
      <c r="H717">
        <v>74.36</v>
      </c>
      <c r="I717">
        <v>18.09</v>
      </c>
      <c r="J717">
        <v>59.82</v>
      </c>
      <c r="K717">
        <v>3</v>
      </c>
      <c r="T717">
        <v>3</v>
      </c>
      <c r="U717">
        <v>1</v>
      </c>
      <c r="V717" t="s">
        <v>93</v>
      </c>
      <c r="W717" t="s">
        <v>406</v>
      </c>
      <c r="X717">
        <v>13</v>
      </c>
      <c r="Y717">
        <v>13</v>
      </c>
      <c r="Z717" t="s">
        <v>1152</v>
      </c>
      <c r="AA717" t="s">
        <v>1153</v>
      </c>
      <c r="AB717" t="s">
        <v>96</v>
      </c>
      <c r="AC717" t="s">
        <v>97</v>
      </c>
      <c r="AD717" t="s">
        <v>690</v>
      </c>
      <c r="AG717" t="s">
        <v>1154</v>
      </c>
      <c r="AH717">
        <v>0</v>
      </c>
      <c r="AI717">
        <v>864</v>
      </c>
      <c r="AJ717">
        <v>78</v>
      </c>
      <c r="AK717">
        <v>14</v>
      </c>
      <c r="AL717">
        <v>0.93</v>
      </c>
    </row>
    <row r="718" spans="1:38" x14ac:dyDescent="0.3">
      <c r="A718" t="s">
        <v>685</v>
      </c>
      <c r="B718">
        <v>131094</v>
      </c>
      <c r="C718">
        <v>3</v>
      </c>
      <c r="D718" t="s">
        <v>1150</v>
      </c>
      <c r="E718" t="s">
        <v>1151</v>
      </c>
      <c r="F718">
        <v>15</v>
      </c>
      <c r="G718">
        <v>22.54</v>
      </c>
      <c r="H718">
        <v>74.540000000000006</v>
      </c>
      <c r="I718">
        <v>18.14</v>
      </c>
      <c r="J718">
        <v>59.99</v>
      </c>
      <c r="K718">
        <v>3</v>
      </c>
      <c r="T718">
        <v>3</v>
      </c>
      <c r="U718">
        <v>1</v>
      </c>
      <c r="V718" t="s">
        <v>93</v>
      </c>
      <c r="W718" t="s">
        <v>876</v>
      </c>
      <c r="X718">
        <v>13</v>
      </c>
      <c r="Y718">
        <v>13</v>
      </c>
      <c r="Z718" t="s">
        <v>1152</v>
      </c>
      <c r="AA718" t="s">
        <v>1153</v>
      </c>
      <c r="AB718" t="s">
        <v>96</v>
      </c>
      <c r="AC718" t="s">
        <v>97</v>
      </c>
      <c r="AD718" t="s">
        <v>690</v>
      </c>
      <c r="AG718" t="s">
        <v>1154</v>
      </c>
      <c r="AH718">
        <v>0</v>
      </c>
      <c r="AI718">
        <v>864</v>
      </c>
      <c r="AJ718">
        <v>78</v>
      </c>
      <c r="AK718">
        <v>14</v>
      </c>
      <c r="AL718">
        <v>0.93</v>
      </c>
    </row>
    <row r="719" spans="1:38" x14ac:dyDescent="0.3">
      <c r="A719" t="s">
        <v>685</v>
      </c>
      <c r="B719">
        <v>131094</v>
      </c>
      <c r="C719">
        <v>4</v>
      </c>
      <c r="D719" t="s">
        <v>1150</v>
      </c>
      <c r="E719" t="s">
        <v>1151</v>
      </c>
      <c r="F719">
        <v>15</v>
      </c>
      <c r="G719">
        <v>29.14</v>
      </c>
      <c r="H719">
        <v>96.34</v>
      </c>
      <c r="I719">
        <v>23.69</v>
      </c>
      <c r="J719">
        <v>78.319999999999993</v>
      </c>
      <c r="K719">
        <v>3</v>
      </c>
      <c r="T719">
        <v>3</v>
      </c>
      <c r="U719">
        <v>2</v>
      </c>
      <c r="V719" t="s">
        <v>93</v>
      </c>
      <c r="W719" t="s">
        <v>446</v>
      </c>
      <c r="X719">
        <v>13</v>
      </c>
      <c r="Y719">
        <v>13</v>
      </c>
      <c r="Z719" t="s">
        <v>1152</v>
      </c>
      <c r="AA719" t="s">
        <v>1153</v>
      </c>
      <c r="AB719" t="s">
        <v>96</v>
      </c>
      <c r="AC719" t="s">
        <v>97</v>
      </c>
      <c r="AD719" t="s">
        <v>690</v>
      </c>
      <c r="AG719" t="s">
        <v>1154</v>
      </c>
      <c r="AH719">
        <v>0</v>
      </c>
      <c r="AI719">
        <v>864</v>
      </c>
      <c r="AJ719">
        <v>78</v>
      </c>
      <c r="AK719">
        <v>14</v>
      </c>
      <c r="AL719">
        <v>0.93</v>
      </c>
    </row>
    <row r="720" spans="1:38" x14ac:dyDescent="0.3">
      <c r="A720" t="s">
        <v>685</v>
      </c>
      <c r="B720">
        <v>131094</v>
      </c>
      <c r="C720">
        <v>5</v>
      </c>
      <c r="D720" t="s">
        <v>1150</v>
      </c>
      <c r="E720" t="s">
        <v>1151</v>
      </c>
      <c r="F720">
        <v>15</v>
      </c>
      <c r="G720">
        <v>29.15</v>
      </c>
      <c r="H720">
        <v>96.37</v>
      </c>
      <c r="I720">
        <v>23.72</v>
      </c>
      <c r="J720">
        <v>78.44</v>
      </c>
      <c r="K720">
        <v>3</v>
      </c>
      <c r="T720">
        <v>3</v>
      </c>
      <c r="U720">
        <v>2</v>
      </c>
      <c r="V720" t="s">
        <v>93</v>
      </c>
      <c r="W720" t="s">
        <v>436</v>
      </c>
      <c r="X720">
        <v>13</v>
      </c>
      <c r="Y720">
        <v>13</v>
      </c>
      <c r="Z720" t="s">
        <v>1152</v>
      </c>
      <c r="AA720" t="s">
        <v>1153</v>
      </c>
      <c r="AB720" t="s">
        <v>96</v>
      </c>
      <c r="AC720" t="s">
        <v>97</v>
      </c>
      <c r="AD720" t="s">
        <v>690</v>
      </c>
      <c r="AG720" t="s">
        <v>1154</v>
      </c>
      <c r="AH720">
        <v>0</v>
      </c>
      <c r="AI720">
        <v>864</v>
      </c>
      <c r="AJ720">
        <v>78</v>
      </c>
      <c r="AK720">
        <v>14</v>
      </c>
      <c r="AL720">
        <v>0.93</v>
      </c>
    </row>
    <row r="721" spans="1:38" x14ac:dyDescent="0.3">
      <c r="A721" t="s">
        <v>685</v>
      </c>
      <c r="B721">
        <v>117250</v>
      </c>
      <c r="C721">
        <v>1</v>
      </c>
      <c r="D721" t="s">
        <v>1155</v>
      </c>
      <c r="E721" t="s">
        <v>950</v>
      </c>
      <c r="F721">
        <v>13</v>
      </c>
      <c r="G721">
        <v>18.47</v>
      </c>
      <c r="H721">
        <v>61.06</v>
      </c>
      <c r="I721">
        <v>14.72</v>
      </c>
      <c r="J721">
        <v>48.69</v>
      </c>
      <c r="K721">
        <v>13</v>
      </c>
      <c r="T721">
        <v>2</v>
      </c>
      <c r="U721">
        <v>1</v>
      </c>
      <c r="V721" t="s">
        <v>93</v>
      </c>
      <c r="W721">
        <v>61</v>
      </c>
      <c r="X721">
        <v>14</v>
      </c>
      <c r="Y721">
        <v>14</v>
      </c>
      <c r="Z721" t="s">
        <v>1156</v>
      </c>
      <c r="AA721" t="s">
        <v>1157</v>
      </c>
      <c r="AB721" t="s">
        <v>96</v>
      </c>
      <c r="AC721" t="s">
        <v>97</v>
      </c>
      <c r="AD721" t="s">
        <v>690</v>
      </c>
      <c r="AG721" t="s">
        <v>1158</v>
      </c>
      <c r="AH721">
        <v>0</v>
      </c>
      <c r="AI721">
        <v>840</v>
      </c>
      <c r="AJ721">
        <v>77</v>
      </c>
      <c r="AK721">
        <v>10</v>
      </c>
      <c r="AL721">
        <v>0.77</v>
      </c>
    </row>
    <row r="722" spans="1:38" x14ac:dyDescent="0.3">
      <c r="A722" t="s">
        <v>685</v>
      </c>
      <c r="B722">
        <v>120154</v>
      </c>
      <c r="C722">
        <v>1</v>
      </c>
      <c r="D722" t="s">
        <v>1159</v>
      </c>
      <c r="E722" t="s">
        <v>1080</v>
      </c>
      <c r="F722">
        <v>9</v>
      </c>
      <c r="G722">
        <v>16.350000000000001</v>
      </c>
      <c r="H722">
        <v>54.08</v>
      </c>
      <c r="I722">
        <v>12.26</v>
      </c>
      <c r="J722">
        <v>40.56</v>
      </c>
      <c r="K722">
        <v>3</v>
      </c>
      <c r="T722">
        <v>3</v>
      </c>
      <c r="U722">
        <v>2</v>
      </c>
      <c r="V722" t="s">
        <v>93</v>
      </c>
      <c r="W722">
        <v>54</v>
      </c>
      <c r="X722">
        <v>10</v>
      </c>
      <c r="Y722">
        <v>10</v>
      </c>
      <c r="Z722" t="s">
        <v>1160</v>
      </c>
      <c r="AA722" t="s">
        <v>1161</v>
      </c>
      <c r="AB722" t="s">
        <v>96</v>
      </c>
      <c r="AC722" t="s">
        <v>97</v>
      </c>
      <c r="AD722" t="s">
        <v>690</v>
      </c>
      <c r="AG722" t="s">
        <v>1162</v>
      </c>
      <c r="AH722">
        <v>0</v>
      </c>
      <c r="AI722">
        <v>565</v>
      </c>
      <c r="AJ722">
        <v>66</v>
      </c>
      <c r="AK722">
        <v>7</v>
      </c>
      <c r="AL722">
        <v>0.78</v>
      </c>
    </row>
    <row r="723" spans="1:38" x14ac:dyDescent="0.3">
      <c r="A723" t="s">
        <v>685</v>
      </c>
      <c r="B723">
        <v>120154</v>
      </c>
      <c r="C723">
        <v>2</v>
      </c>
      <c r="D723" t="s">
        <v>1159</v>
      </c>
      <c r="E723" t="s">
        <v>1080</v>
      </c>
      <c r="F723">
        <v>9</v>
      </c>
      <c r="G723">
        <v>17.45</v>
      </c>
      <c r="H723">
        <v>57.7</v>
      </c>
      <c r="I723">
        <v>13.37</v>
      </c>
      <c r="J723">
        <v>44.23</v>
      </c>
      <c r="K723">
        <v>3</v>
      </c>
      <c r="T723">
        <v>3</v>
      </c>
      <c r="U723">
        <v>2</v>
      </c>
      <c r="V723" t="s">
        <v>93</v>
      </c>
      <c r="W723">
        <v>57</v>
      </c>
      <c r="X723">
        <v>10</v>
      </c>
      <c r="Y723">
        <v>10</v>
      </c>
      <c r="Z723" t="s">
        <v>1160</v>
      </c>
      <c r="AA723" t="s">
        <v>1161</v>
      </c>
      <c r="AB723" t="s">
        <v>96</v>
      </c>
      <c r="AC723" t="s">
        <v>97</v>
      </c>
      <c r="AD723" t="s">
        <v>690</v>
      </c>
      <c r="AG723" t="s">
        <v>1162</v>
      </c>
      <c r="AH723">
        <v>0</v>
      </c>
      <c r="AI723">
        <v>565</v>
      </c>
      <c r="AJ723">
        <v>66</v>
      </c>
      <c r="AK723">
        <v>7</v>
      </c>
      <c r="AL723">
        <v>0.78</v>
      </c>
    </row>
    <row r="724" spans="1:38" x14ac:dyDescent="0.3">
      <c r="A724" t="s">
        <v>685</v>
      </c>
      <c r="B724">
        <v>120154</v>
      </c>
      <c r="C724">
        <v>3</v>
      </c>
      <c r="D724" t="s">
        <v>1159</v>
      </c>
      <c r="E724" t="s">
        <v>1080</v>
      </c>
      <c r="F724">
        <v>9</v>
      </c>
      <c r="G724">
        <v>19.420000000000002</v>
      </c>
      <c r="H724">
        <v>64.22</v>
      </c>
      <c r="I724">
        <v>14.69</v>
      </c>
      <c r="J724">
        <v>48.58</v>
      </c>
      <c r="K724">
        <v>3</v>
      </c>
      <c r="T724">
        <v>3</v>
      </c>
      <c r="U724">
        <v>2</v>
      </c>
      <c r="V724" t="s">
        <v>93</v>
      </c>
      <c r="W724">
        <v>64</v>
      </c>
      <c r="X724">
        <v>10</v>
      </c>
      <c r="Y724">
        <v>10</v>
      </c>
      <c r="Z724" t="s">
        <v>1160</v>
      </c>
      <c r="AA724" t="s">
        <v>1161</v>
      </c>
      <c r="AB724" t="s">
        <v>96</v>
      </c>
      <c r="AC724" t="s">
        <v>97</v>
      </c>
      <c r="AD724" t="s">
        <v>690</v>
      </c>
      <c r="AG724" t="s">
        <v>1162</v>
      </c>
      <c r="AH724">
        <v>0</v>
      </c>
      <c r="AI724">
        <v>565</v>
      </c>
      <c r="AJ724">
        <v>66</v>
      </c>
      <c r="AK724">
        <v>7</v>
      </c>
      <c r="AL724">
        <v>0.78</v>
      </c>
    </row>
    <row r="725" spans="1:38" x14ac:dyDescent="0.3">
      <c r="A725" t="s">
        <v>685</v>
      </c>
      <c r="B725">
        <v>123424</v>
      </c>
      <c r="C725">
        <v>1</v>
      </c>
      <c r="D725" t="s">
        <v>1163</v>
      </c>
      <c r="E725" t="s">
        <v>890</v>
      </c>
      <c r="F725">
        <v>8</v>
      </c>
      <c r="G725">
        <v>11.48</v>
      </c>
      <c r="H725">
        <v>37.97</v>
      </c>
      <c r="I725">
        <v>9.84</v>
      </c>
      <c r="J725">
        <v>32.549999999999997</v>
      </c>
      <c r="K725">
        <v>1</v>
      </c>
      <c r="T725">
        <v>1</v>
      </c>
      <c r="U725">
        <v>1</v>
      </c>
      <c r="V725" t="s">
        <v>93</v>
      </c>
      <c r="W725">
        <v>37</v>
      </c>
      <c r="X725">
        <v>5</v>
      </c>
      <c r="Y725">
        <v>5</v>
      </c>
      <c r="Z725" t="s">
        <v>1164</v>
      </c>
      <c r="AA725" t="s">
        <v>1165</v>
      </c>
      <c r="AB725" t="s">
        <v>96</v>
      </c>
      <c r="AC725" t="s">
        <v>97</v>
      </c>
      <c r="AD725" t="s">
        <v>690</v>
      </c>
      <c r="AG725" t="s">
        <v>1166</v>
      </c>
      <c r="AH725">
        <v>0</v>
      </c>
      <c r="AI725">
        <v>293</v>
      </c>
      <c r="AJ725">
        <v>67</v>
      </c>
      <c r="AK725">
        <v>2</v>
      </c>
      <c r="AL725">
        <v>0.25</v>
      </c>
    </row>
    <row r="726" spans="1:38" x14ac:dyDescent="0.3">
      <c r="A726" t="s">
        <v>685</v>
      </c>
      <c r="B726">
        <v>123424</v>
      </c>
      <c r="C726">
        <v>2</v>
      </c>
      <c r="D726" t="s">
        <v>1163</v>
      </c>
      <c r="E726" t="s">
        <v>890</v>
      </c>
      <c r="F726">
        <v>8</v>
      </c>
      <c r="G726">
        <v>13.95</v>
      </c>
      <c r="H726">
        <v>46.13</v>
      </c>
      <c r="I726">
        <v>11.96</v>
      </c>
      <c r="J726">
        <v>39.549999999999997</v>
      </c>
      <c r="K726">
        <v>7</v>
      </c>
      <c r="T726">
        <v>1</v>
      </c>
      <c r="U726">
        <v>1</v>
      </c>
      <c r="V726" t="s">
        <v>93</v>
      </c>
      <c r="W726">
        <v>46</v>
      </c>
      <c r="X726">
        <v>5</v>
      </c>
      <c r="Y726">
        <v>5</v>
      </c>
      <c r="Z726" t="s">
        <v>1164</v>
      </c>
      <c r="AA726" t="s">
        <v>1165</v>
      </c>
      <c r="AB726" t="s">
        <v>96</v>
      </c>
      <c r="AC726" t="s">
        <v>97</v>
      </c>
      <c r="AD726" t="s">
        <v>690</v>
      </c>
      <c r="AG726" t="s">
        <v>1166</v>
      </c>
      <c r="AH726">
        <v>0</v>
      </c>
      <c r="AI726">
        <v>293</v>
      </c>
      <c r="AJ726">
        <v>67</v>
      </c>
      <c r="AK726">
        <v>2</v>
      </c>
      <c r="AL726">
        <v>0.25</v>
      </c>
    </row>
    <row r="727" spans="1:38" x14ac:dyDescent="0.3">
      <c r="A727" t="s">
        <v>685</v>
      </c>
      <c r="B727">
        <v>124751</v>
      </c>
      <c r="C727">
        <v>1</v>
      </c>
      <c r="D727" t="s">
        <v>1167</v>
      </c>
      <c r="E727" t="s">
        <v>1168</v>
      </c>
      <c r="F727">
        <v>20</v>
      </c>
      <c r="G727">
        <v>21.69</v>
      </c>
      <c r="H727">
        <v>71.709999999999994</v>
      </c>
      <c r="I727">
        <v>16.52</v>
      </c>
      <c r="J727">
        <v>54.64</v>
      </c>
      <c r="K727">
        <v>4</v>
      </c>
      <c r="T727">
        <v>3</v>
      </c>
      <c r="U727">
        <v>1</v>
      </c>
      <c r="V727" t="s">
        <v>93</v>
      </c>
      <c r="W727">
        <v>71</v>
      </c>
      <c r="X727">
        <v>14</v>
      </c>
      <c r="Y727">
        <v>14</v>
      </c>
      <c r="Z727" t="s">
        <v>1169</v>
      </c>
      <c r="AA727" t="s">
        <v>1170</v>
      </c>
      <c r="AB727" t="s">
        <v>96</v>
      </c>
      <c r="AC727" t="s">
        <v>97</v>
      </c>
      <c r="AD727" t="s">
        <v>690</v>
      </c>
      <c r="AG727" t="s">
        <v>1171</v>
      </c>
      <c r="AH727">
        <v>0</v>
      </c>
      <c r="AI727">
        <v>803</v>
      </c>
      <c r="AJ727">
        <v>72</v>
      </c>
      <c r="AK727">
        <v>18</v>
      </c>
      <c r="AL727">
        <v>0.9</v>
      </c>
    </row>
    <row r="728" spans="1:38" x14ac:dyDescent="0.3">
      <c r="A728" t="s">
        <v>685</v>
      </c>
      <c r="B728">
        <v>124751</v>
      </c>
      <c r="C728">
        <v>2</v>
      </c>
      <c r="D728" t="s">
        <v>1167</v>
      </c>
      <c r="E728" t="s">
        <v>1168</v>
      </c>
      <c r="F728">
        <v>20</v>
      </c>
      <c r="G728">
        <v>22.82</v>
      </c>
      <c r="H728">
        <v>75.45</v>
      </c>
      <c r="I728">
        <v>17.38</v>
      </c>
      <c r="J728">
        <v>57.47</v>
      </c>
      <c r="K728">
        <v>4</v>
      </c>
      <c r="T728">
        <v>3</v>
      </c>
      <c r="U728">
        <v>1</v>
      </c>
      <c r="V728" t="s">
        <v>93</v>
      </c>
      <c r="W728">
        <v>75</v>
      </c>
      <c r="X728">
        <v>14</v>
      </c>
      <c r="Y728">
        <v>14</v>
      </c>
      <c r="Z728" t="s">
        <v>1169</v>
      </c>
      <c r="AA728" t="s">
        <v>1170</v>
      </c>
      <c r="AB728" t="s">
        <v>96</v>
      </c>
      <c r="AC728" t="s">
        <v>97</v>
      </c>
      <c r="AD728" t="s">
        <v>690</v>
      </c>
      <c r="AG728" t="s">
        <v>1171</v>
      </c>
      <c r="AH728">
        <v>0</v>
      </c>
      <c r="AI728">
        <v>803</v>
      </c>
      <c r="AJ728">
        <v>72</v>
      </c>
      <c r="AK728">
        <v>18</v>
      </c>
      <c r="AL728">
        <v>0.9</v>
      </c>
    </row>
    <row r="729" spans="1:38" x14ac:dyDescent="0.3">
      <c r="A729" t="s">
        <v>685</v>
      </c>
      <c r="B729">
        <v>124751</v>
      </c>
      <c r="C729">
        <v>3</v>
      </c>
      <c r="D729" t="s">
        <v>1167</v>
      </c>
      <c r="E729" t="s">
        <v>1168</v>
      </c>
      <c r="F729">
        <v>20</v>
      </c>
      <c r="G729">
        <v>23.69</v>
      </c>
      <c r="H729">
        <v>78.319999999999993</v>
      </c>
      <c r="I729">
        <v>18.100000000000001</v>
      </c>
      <c r="J729">
        <v>59.85</v>
      </c>
      <c r="K729">
        <v>4</v>
      </c>
      <c r="T729">
        <v>3</v>
      </c>
      <c r="U729">
        <v>1</v>
      </c>
      <c r="V729" t="s">
        <v>93</v>
      </c>
      <c r="W729" t="s">
        <v>318</v>
      </c>
      <c r="X729">
        <v>14</v>
      </c>
      <c r="Y729">
        <v>14</v>
      </c>
      <c r="Z729" t="s">
        <v>1169</v>
      </c>
      <c r="AA729" t="s">
        <v>1170</v>
      </c>
      <c r="AB729" t="s">
        <v>96</v>
      </c>
      <c r="AC729" t="s">
        <v>97</v>
      </c>
      <c r="AD729" t="s">
        <v>690</v>
      </c>
      <c r="AG729" t="s">
        <v>1171</v>
      </c>
      <c r="AH729">
        <v>0</v>
      </c>
      <c r="AI729">
        <v>803</v>
      </c>
      <c r="AJ729">
        <v>72</v>
      </c>
      <c r="AK729">
        <v>18</v>
      </c>
      <c r="AL729">
        <v>0.9</v>
      </c>
    </row>
    <row r="730" spans="1:38" x14ac:dyDescent="0.3">
      <c r="A730" t="s">
        <v>685</v>
      </c>
      <c r="B730">
        <v>124751</v>
      </c>
      <c r="C730">
        <v>4</v>
      </c>
      <c r="D730" t="s">
        <v>1167</v>
      </c>
      <c r="E730" t="s">
        <v>1168</v>
      </c>
      <c r="F730">
        <v>20</v>
      </c>
      <c r="G730">
        <v>23.76</v>
      </c>
      <c r="H730">
        <v>78.56</v>
      </c>
      <c r="I730">
        <v>18.100000000000001</v>
      </c>
      <c r="J730">
        <v>59.86</v>
      </c>
      <c r="K730">
        <v>4</v>
      </c>
      <c r="T730">
        <v>3</v>
      </c>
      <c r="U730">
        <v>1</v>
      </c>
      <c r="V730" t="s">
        <v>93</v>
      </c>
      <c r="W730" t="s">
        <v>354</v>
      </c>
      <c r="X730">
        <v>14</v>
      </c>
      <c r="Y730">
        <v>14</v>
      </c>
      <c r="Z730" t="s">
        <v>1169</v>
      </c>
      <c r="AA730" t="s">
        <v>1170</v>
      </c>
      <c r="AB730" t="s">
        <v>96</v>
      </c>
      <c r="AC730" t="s">
        <v>97</v>
      </c>
      <c r="AD730" t="s">
        <v>690</v>
      </c>
      <c r="AG730" t="s">
        <v>1171</v>
      </c>
      <c r="AH730">
        <v>0</v>
      </c>
      <c r="AI730">
        <v>803</v>
      </c>
      <c r="AJ730">
        <v>72</v>
      </c>
      <c r="AK730">
        <v>18</v>
      </c>
      <c r="AL730">
        <v>0.9</v>
      </c>
    </row>
    <row r="731" spans="1:38" x14ac:dyDescent="0.3">
      <c r="A731" t="s">
        <v>685</v>
      </c>
      <c r="B731">
        <v>124751</v>
      </c>
      <c r="C731">
        <v>5</v>
      </c>
      <c r="D731" t="s">
        <v>1167</v>
      </c>
      <c r="E731" t="s">
        <v>1168</v>
      </c>
      <c r="F731">
        <v>20</v>
      </c>
      <c r="G731">
        <v>24.58</v>
      </c>
      <c r="H731">
        <v>81.27</v>
      </c>
      <c r="I731">
        <v>18.14</v>
      </c>
      <c r="J731">
        <v>59.97</v>
      </c>
      <c r="K731">
        <v>4</v>
      </c>
      <c r="T731">
        <v>3</v>
      </c>
      <c r="U731">
        <v>2</v>
      </c>
      <c r="V731" t="s">
        <v>93</v>
      </c>
      <c r="W731">
        <v>81</v>
      </c>
      <c r="X731">
        <v>14</v>
      </c>
      <c r="Y731">
        <v>14</v>
      </c>
      <c r="Z731" t="s">
        <v>1169</v>
      </c>
      <c r="AA731" t="s">
        <v>1170</v>
      </c>
      <c r="AB731" t="s">
        <v>96</v>
      </c>
      <c r="AC731" t="s">
        <v>97</v>
      </c>
      <c r="AD731" t="s">
        <v>690</v>
      </c>
      <c r="AG731" t="s">
        <v>1171</v>
      </c>
      <c r="AH731">
        <v>0</v>
      </c>
      <c r="AI731">
        <v>803</v>
      </c>
      <c r="AJ731">
        <v>72</v>
      </c>
      <c r="AK731">
        <v>18</v>
      </c>
      <c r="AL731">
        <v>0.9</v>
      </c>
    </row>
    <row r="732" spans="1:38" x14ac:dyDescent="0.3">
      <c r="A732" t="s">
        <v>685</v>
      </c>
      <c r="B732">
        <v>120735</v>
      </c>
      <c r="C732">
        <v>1</v>
      </c>
      <c r="D732" t="s">
        <v>1172</v>
      </c>
      <c r="E732" t="s">
        <v>1048</v>
      </c>
      <c r="F732">
        <v>16</v>
      </c>
      <c r="G732">
        <v>22.33</v>
      </c>
      <c r="H732">
        <v>73.84</v>
      </c>
      <c r="I732">
        <v>17.28</v>
      </c>
      <c r="J732">
        <v>57.15</v>
      </c>
      <c r="K732">
        <v>4</v>
      </c>
      <c r="T732">
        <v>3</v>
      </c>
      <c r="U732">
        <v>1</v>
      </c>
      <c r="V732" t="s">
        <v>93</v>
      </c>
      <c r="W732">
        <v>73</v>
      </c>
      <c r="X732">
        <v>15</v>
      </c>
      <c r="Y732">
        <v>15</v>
      </c>
      <c r="Z732" t="s">
        <v>1173</v>
      </c>
      <c r="AA732" t="s">
        <v>1174</v>
      </c>
      <c r="AB732" t="s">
        <v>96</v>
      </c>
      <c r="AC732" t="s">
        <v>97</v>
      </c>
      <c r="AD732" t="s">
        <v>690</v>
      </c>
      <c r="AG732" t="s">
        <v>1175</v>
      </c>
      <c r="AH732">
        <v>0</v>
      </c>
      <c r="AI732">
        <v>823</v>
      </c>
      <c r="AJ732">
        <v>71</v>
      </c>
      <c r="AK732">
        <v>15</v>
      </c>
      <c r="AL732">
        <v>0.94</v>
      </c>
    </row>
    <row r="733" spans="1:38" x14ac:dyDescent="0.3">
      <c r="A733" t="s">
        <v>685</v>
      </c>
      <c r="B733">
        <v>120735</v>
      </c>
      <c r="C733">
        <v>2</v>
      </c>
      <c r="D733" t="s">
        <v>1172</v>
      </c>
      <c r="E733" t="s">
        <v>1048</v>
      </c>
      <c r="F733">
        <v>16</v>
      </c>
      <c r="G733">
        <v>22.98</v>
      </c>
      <c r="H733">
        <v>75.98</v>
      </c>
      <c r="I733">
        <v>18.14</v>
      </c>
      <c r="J733">
        <v>59.99</v>
      </c>
      <c r="K733">
        <v>4</v>
      </c>
      <c r="T733">
        <v>3</v>
      </c>
      <c r="U733">
        <v>1</v>
      </c>
      <c r="V733" t="s">
        <v>93</v>
      </c>
      <c r="W733" t="s">
        <v>407</v>
      </c>
      <c r="X733">
        <v>15</v>
      </c>
      <c r="Y733">
        <v>15</v>
      </c>
      <c r="Z733" t="s">
        <v>1173</v>
      </c>
      <c r="AA733" t="s">
        <v>1174</v>
      </c>
      <c r="AB733" t="s">
        <v>96</v>
      </c>
      <c r="AC733" t="s">
        <v>97</v>
      </c>
      <c r="AD733" t="s">
        <v>690</v>
      </c>
      <c r="AG733" t="s">
        <v>1175</v>
      </c>
      <c r="AH733">
        <v>0</v>
      </c>
      <c r="AI733">
        <v>823</v>
      </c>
      <c r="AJ733">
        <v>71</v>
      </c>
      <c r="AK733">
        <v>15</v>
      </c>
      <c r="AL733">
        <v>0.94</v>
      </c>
    </row>
    <row r="734" spans="1:38" x14ac:dyDescent="0.3">
      <c r="A734" t="s">
        <v>685</v>
      </c>
      <c r="B734">
        <v>120735</v>
      </c>
      <c r="C734">
        <v>3</v>
      </c>
      <c r="D734" t="s">
        <v>1172</v>
      </c>
      <c r="E734" t="s">
        <v>1048</v>
      </c>
      <c r="F734">
        <v>16</v>
      </c>
      <c r="G734">
        <v>23.09</v>
      </c>
      <c r="H734">
        <v>76.349999999999994</v>
      </c>
      <c r="I734">
        <v>18.11</v>
      </c>
      <c r="J734">
        <v>59.89</v>
      </c>
      <c r="K734">
        <v>4</v>
      </c>
      <c r="T734">
        <v>3</v>
      </c>
      <c r="U734">
        <v>1</v>
      </c>
      <c r="V734" t="s">
        <v>93</v>
      </c>
      <c r="W734" t="s">
        <v>711</v>
      </c>
      <c r="X734">
        <v>15</v>
      </c>
      <c r="Y734">
        <v>15</v>
      </c>
      <c r="Z734" t="s">
        <v>1173</v>
      </c>
      <c r="AA734" t="s">
        <v>1174</v>
      </c>
      <c r="AB734" t="s">
        <v>96</v>
      </c>
      <c r="AC734" t="s">
        <v>97</v>
      </c>
      <c r="AD734" t="s">
        <v>690</v>
      </c>
      <c r="AG734" t="s">
        <v>1175</v>
      </c>
      <c r="AH734">
        <v>0</v>
      </c>
      <c r="AI734">
        <v>823</v>
      </c>
      <c r="AJ734">
        <v>71</v>
      </c>
      <c r="AK734">
        <v>15</v>
      </c>
      <c r="AL734">
        <v>0.94</v>
      </c>
    </row>
    <row r="735" spans="1:38" x14ac:dyDescent="0.3">
      <c r="A735" t="s">
        <v>685</v>
      </c>
      <c r="B735">
        <v>120735</v>
      </c>
      <c r="C735">
        <v>4</v>
      </c>
      <c r="D735" t="s">
        <v>1172</v>
      </c>
      <c r="E735" t="s">
        <v>1048</v>
      </c>
      <c r="F735">
        <v>16</v>
      </c>
      <c r="G735">
        <v>23.35</v>
      </c>
      <c r="H735">
        <v>77.22</v>
      </c>
      <c r="I735">
        <v>18.14</v>
      </c>
      <c r="J735">
        <v>59.98</v>
      </c>
      <c r="K735">
        <v>4</v>
      </c>
      <c r="T735">
        <v>3</v>
      </c>
      <c r="U735">
        <v>1</v>
      </c>
      <c r="V735" t="s">
        <v>93</v>
      </c>
      <c r="W735" t="s">
        <v>1176</v>
      </c>
      <c r="X735">
        <v>15</v>
      </c>
      <c r="Y735">
        <v>15</v>
      </c>
      <c r="Z735" t="s">
        <v>1173</v>
      </c>
      <c r="AA735" t="s">
        <v>1174</v>
      </c>
      <c r="AB735" t="s">
        <v>96</v>
      </c>
      <c r="AC735" t="s">
        <v>97</v>
      </c>
      <c r="AD735" t="s">
        <v>690</v>
      </c>
      <c r="AG735" t="s">
        <v>1175</v>
      </c>
      <c r="AH735">
        <v>0</v>
      </c>
      <c r="AI735">
        <v>823</v>
      </c>
      <c r="AJ735">
        <v>71</v>
      </c>
      <c r="AK735">
        <v>15</v>
      </c>
      <c r="AL735">
        <v>0.94</v>
      </c>
    </row>
    <row r="736" spans="1:38" x14ac:dyDescent="0.3">
      <c r="A736" t="s">
        <v>685</v>
      </c>
      <c r="B736">
        <v>11521</v>
      </c>
      <c r="C736">
        <v>1</v>
      </c>
      <c r="D736" t="s">
        <v>1177</v>
      </c>
      <c r="E736" t="s">
        <v>269</v>
      </c>
      <c r="F736">
        <v>36</v>
      </c>
      <c r="G736">
        <v>20.9</v>
      </c>
      <c r="H736">
        <v>69.11</v>
      </c>
      <c r="I736">
        <v>18.07</v>
      </c>
      <c r="J736">
        <v>59.75</v>
      </c>
      <c r="K736">
        <v>36</v>
      </c>
      <c r="T736">
        <v>3</v>
      </c>
      <c r="U736">
        <v>1</v>
      </c>
      <c r="V736" t="s">
        <v>93</v>
      </c>
      <c r="W736">
        <v>69</v>
      </c>
      <c r="X736">
        <v>10</v>
      </c>
      <c r="Y736">
        <v>10</v>
      </c>
      <c r="Z736" t="s">
        <v>1178</v>
      </c>
      <c r="AA736" t="s">
        <v>1179</v>
      </c>
      <c r="AB736" t="s">
        <v>96</v>
      </c>
      <c r="AC736" t="s">
        <v>97</v>
      </c>
      <c r="AD736" t="s">
        <v>690</v>
      </c>
      <c r="AG736" t="s">
        <v>1180</v>
      </c>
      <c r="AH736">
        <v>0</v>
      </c>
      <c r="AI736">
        <v>304</v>
      </c>
      <c r="AJ736">
        <v>42</v>
      </c>
      <c r="AK736">
        <v>21</v>
      </c>
      <c r="AL736">
        <v>0.57999999999999996</v>
      </c>
    </row>
    <row r="737" spans="1:38" x14ac:dyDescent="0.3">
      <c r="A737" t="s">
        <v>685</v>
      </c>
      <c r="B737">
        <v>124938</v>
      </c>
      <c r="C737">
        <v>1</v>
      </c>
      <c r="D737" t="s">
        <v>1181</v>
      </c>
      <c r="E737" t="s">
        <v>333</v>
      </c>
      <c r="F737">
        <v>90</v>
      </c>
      <c r="G737">
        <v>30.02</v>
      </c>
      <c r="H737">
        <v>99.25</v>
      </c>
      <c r="I737">
        <v>24.61</v>
      </c>
      <c r="J737">
        <v>81.38</v>
      </c>
      <c r="K737">
        <v>13</v>
      </c>
      <c r="T737">
        <v>3</v>
      </c>
      <c r="U737">
        <v>2</v>
      </c>
      <c r="V737" t="s">
        <v>93</v>
      </c>
      <c r="W737">
        <v>99</v>
      </c>
      <c r="X737">
        <v>14</v>
      </c>
      <c r="Y737">
        <v>14</v>
      </c>
      <c r="Z737" t="s">
        <v>1182</v>
      </c>
      <c r="AA737" t="s">
        <v>1183</v>
      </c>
      <c r="AB737" t="s">
        <v>96</v>
      </c>
      <c r="AC737" t="s">
        <v>97</v>
      </c>
      <c r="AD737" t="s">
        <v>690</v>
      </c>
      <c r="AG737" t="s">
        <v>1184</v>
      </c>
      <c r="AH737">
        <v>0</v>
      </c>
      <c r="AI737">
        <v>379</v>
      </c>
      <c r="AJ737">
        <v>36</v>
      </c>
      <c r="AK737">
        <v>90</v>
      </c>
      <c r="AL737">
        <v>1</v>
      </c>
    </row>
    <row r="738" spans="1:38" x14ac:dyDescent="0.3">
      <c r="A738" t="s">
        <v>685</v>
      </c>
      <c r="B738">
        <v>124938</v>
      </c>
      <c r="C738">
        <v>2</v>
      </c>
      <c r="D738" t="s">
        <v>1181</v>
      </c>
      <c r="E738" t="s">
        <v>333</v>
      </c>
      <c r="F738">
        <v>90</v>
      </c>
      <c r="G738">
        <v>30.65</v>
      </c>
      <c r="H738">
        <v>101.34</v>
      </c>
      <c r="I738">
        <v>25.27</v>
      </c>
      <c r="J738">
        <v>83.55</v>
      </c>
      <c r="K738">
        <v>26</v>
      </c>
      <c r="T738">
        <v>3</v>
      </c>
      <c r="U738">
        <v>2</v>
      </c>
      <c r="V738" t="s">
        <v>93</v>
      </c>
      <c r="W738" t="s">
        <v>182</v>
      </c>
      <c r="X738">
        <v>14</v>
      </c>
      <c r="Y738">
        <v>14</v>
      </c>
      <c r="Z738" t="s">
        <v>1182</v>
      </c>
      <c r="AA738" t="s">
        <v>1183</v>
      </c>
      <c r="AB738" t="s">
        <v>96</v>
      </c>
      <c r="AC738" t="s">
        <v>97</v>
      </c>
      <c r="AD738" t="s">
        <v>690</v>
      </c>
      <c r="AG738" t="s">
        <v>1184</v>
      </c>
      <c r="AH738">
        <v>0</v>
      </c>
      <c r="AI738">
        <v>379</v>
      </c>
      <c r="AJ738">
        <v>36</v>
      </c>
      <c r="AK738">
        <v>90</v>
      </c>
      <c r="AL738">
        <v>1</v>
      </c>
    </row>
    <row r="739" spans="1:38" x14ac:dyDescent="0.3">
      <c r="A739" t="s">
        <v>685</v>
      </c>
      <c r="B739">
        <v>124938</v>
      </c>
      <c r="C739">
        <v>3</v>
      </c>
      <c r="D739" t="s">
        <v>1181</v>
      </c>
      <c r="E739" t="s">
        <v>333</v>
      </c>
      <c r="F739">
        <v>90</v>
      </c>
      <c r="G739">
        <v>30.8</v>
      </c>
      <c r="H739">
        <v>101.83</v>
      </c>
      <c r="I739">
        <v>25.36</v>
      </c>
      <c r="J739">
        <v>83.85</v>
      </c>
      <c r="K739">
        <v>26</v>
      </c>
      <c r="T739">
        <v>3</v>
      </c>
      <c r="U739">
        <v>2</v>
      </c>
      <c r="V739" t="s">
        <v>93</v>
      </c>
      <c r="W739" t="s">
        <v>424</v>
      </c>
      <c r="X739">
        <v>14</v>
      </c>
      <c r="Y739">
        <v>14</v>
      </c>
      <c r="Z739" t="s">
        <v>1182</v>
      </c>
      <c r="AA739" t="s">
        <v>1183</v>
      </c>
      <c r="AB739" t="s">
        <v>96</v>
      </c>
      <c r="AC739" t="s">
        <v>97</v>
      </c>
      <c r="AD739" t="s">
        <v>690</v>
      </c>
      <c r="AG739" t="s">
        <v>1184</v>
      </c>
      <c r="AH739">
        <v>0</v>
      </c>
      <c r="AI739">
        <v>379</v>
      </c>
      <c r="AJ739">
        <v>36</v>
      </c>
      <c r="AK739">
        <v>90</v>
      </c>
      <c r="AL739">
        <v>1</v>
      </c>
    </row>
    <row r="740" spans="1:38" x14ac:dyDescent="0.3">
      <c r="A740" t="s">
        <v>685</v>
      </c>
      <c r="B740">
        <v>124938</v>
      </c>
      <c r="C740">
        <v>4</v>
      </c>
      <c r="D740" t="s">
        <v>1181</v>
      </c>
      <c r="E740" t="s">
        <v>333</v>
      </c>
      <c r="F740">
        <v>90</v>
      </c>
      <c r="G740">
        <v>30.85</v>
      </c>
      <c r="H740">
        <v>102.01</v>
      </c>
      <c r="I740">
        <v>25.24</v>
      </c>
      <c r="J740">
        <v>83.44</v>
      </c>
      <c r="K740">
        <v>13</v>
      </c>
      <c r="T740">
        <v>3</v>
      </c>
      <c r="U740">
        <v>2</v>
      </c>
      <c r="V740" t="s">
        <v>93</v>
      </c>
      <c r="W740" t="s">
        <v>186</v>
      </c>
      <c r="X740">
        <v>14</v>
      </c>
      <c r="Y740">
        <v>14</v>
      </c>
      <c r="Z740" t="s">
        <v>1182</v>
      </c>
      <c r="AA740" t="s">
        <v>1183</v>
      </c>
      <c r="AB740" t="s">
        <v>96</v>
      </c>
      <c r="AC740" t="s">
        <v>97</v>
      </c>
      <c r="AD740" t="s">
        <v>690</v>
      </c>
      <c r="AG740" t="s">
        <v>1184</v>
      </c>
      <c r="AH740">
        <v>0</v>
      </c>
      <c r="AI740">
        <v>379</v>
      </c>
      <c r="AJ740">
        <v>36</v>
      </c>
      <c r="AK740">
        <v>90</v>
      </c>
      <c r="AL740">
        <v>1</v>
      </c>
    </row>
    <row r="741" spans="1:38" x14ac:dyDescent="0.3">
      <c r="A741" t="s">
        <v>685</v>
      </c>
      <c r="B741">
        <v>124938</v>
      </c>
      <c r="C741">
        <v>5</v>
      </c>
      <c r="D741" t="s">
        <v>1181</v>
      </c>
      <c r="E741" t="s">
        <v>333</v>
      </c>
      <c r="F741">
        <v>90</v>
      </c>
      <c r="G741">
        <v>31.75</v>
      </c>
      <c r="H741">
        <v>104.97</v>
      </c>
      <c r="I741">
        <v>25.66</v>
      </c>
      <c r="J741">
        <v>84.84</v>
      </c>
      <c r="K741">
        <v>12</v>
      </c>
      <c r="T741">
        <v>3</v>
      </c>
      <c r="U741">
        <v>2</v>
      </c>
      <c r="V741" t="s">
        <v>93</v>
      </c>
      <c r="W741">
        <v>104</v>
      </c>
      <c r="X741">
        <v>14</v>
      </c>
      <c r="Y741">
        <v>14</v>
      </c>
      <c r="Z741" t="s">
        <v>1182</v>
      </c>
      <c r="AA741" t="s">
        <v>1183</v>
      </c>
      <c r="AB741" t="s">
        <v>96</v>
      </c>
      <c r="AC741" t="s">
        <v>97</v>
      </c>
      <c r="AD741" t="s">
        <v>690</v>
      </c>
      <c r="AG741" t="s">
        <v>1184</v>
      </c>
      <c r="AH741">
        <v>0</v>
      </c>
      <c r="AI741">
        <v>379</v>
      </c>
      <c r="AJ741">
        <v>36</v>
      </c>
      <c r="AK741">
        <v>90</v>
      </c>
      <c r="AL741">
        <v>1</v>
      </c>
    </row>
    <row r="742" spans="1:38" x14ac:dyDescent="0.3">
      <c r="A742" t="s">
        <v>685</v>
      </c>
      <c r="B742">
        <v>143668</v>
      </c>
      <c r="C742">
        <v>1</v>
      </c>
      <c r="D742" t="s">
        <v>1185</v>
      </c>
      <c r="E742" t="s">
        <v>1151</v>
      </c>
      <c r="F742">
        <v>6</v>
      </c>
      <c r="G742">
        <v>20.239999999999998</v>
      </c>
      <c r="H742">
        <v>66.91</v>
      </c>
      <c r="I742">
        <v>16.440000000000001</v>
      </c>
      <c r="J742">
        <v>54.36</v>
      </c>
      <c r="K742">
        <v>3</v>
      </c>
      <c r="T742">
        <v>3</v>
      </c>
      <c r="U742">
        <v>2</v>
      </c>
      <c r="V742" t="s">
        <v>93</v>
      </c>
      <c r="W742">
        <v>66</v>
      </c>
      <c r="X742">
        <v>13</v>
      </c>
      <c r="Y742">
        <v>13</v>
      </c>
      <c r="Z742" t="s">
        <v>1186</v>
      </c>
      <c r="AA742" t="s">
        <v>1187</v>
      </c>
      <c r="AB742" t="s">
        <v>96</v>
      </c>
      <c r="AC742" t="s">
        <v>97</v>
      </c>
      <c r="AD742" t="s">
        <v>690</v>
      </c>
      <c r="AG742" t="s">
        <v>1188</v>
      </c>
      <c r="AH742">
        <v>0</v>
      </c>
      <c r="AI742">
        <v>725</v>
      </c>
      <c r="AJ742">
        <v>77</v>
      </c>
      <c r="AK742">
        <v>6</v>
      </c>
      <c r="AL742">
        <v>1</v>
      </c>
    </row>
    <row r="743" spans="1:38" x14ac:dyDescent="0.3">
      <c r="A743" t="s">
        <v>685</v>
      </c>
      <c r="B743">
        <v>143668</v>
      </c>
      <c r="C743">
        <v>2</v>
      </c>
      <c r="D743" t="s">
        <v>1185</v>
      </c>
      <c r="E743" t="s">
        <v>1151</v>
      </c>
      <c r="F743">
        <v>6</v>
      </c>
      <c r="G743">
        <v>30.71</v>
      </c>
      <c r="H743">
        <v>101.55</v>
      </c>
      <c r="I743">
        <v>24.91</v>
      </c>
      <c r="J743">
        <v>82.36</v>
      </c>
      <c r="K743">
        <v>2</v>
      </c>
      <c r="T743">
        <v>3</v>
      </c>
      <c r="U743">
        <v>2</v>
      </c>
      <c r="V743" t="s">
        <v>93</v>
      </c>
      <c r="W743" t="s">
        <v>182</v>
      </c>
      <c r="X743">
        <v>13</v>
      </c>
      <c r="Y743">
        <v>13</v>
      </c>
      <c r="Z743" t="s">
        <v>1186</v>
      </c>
      <c r="AA743" t="s">
        <v>1187</v>
      </c>
      <c r="AB743" t="s">
        <v>96</v>
      </c>
      <c r="AC743" t="s">
        <v>97</v>
      </c>
      <c r="AD743" t="s">
        <v>690</v>
      </c>
      <c r="AG743" t="s">
        <v>1188</v>
      </c>
      <c r="AH743">
        <v>0</v>
      </c>
      <c r="AI743">
        <v>725</v>
      </c>
      <c r="AJ743">
        <v>77</v>
      </c>
      <c r="AK743">
        <v>6</v>
      </c>
      <c r="AL743">
        <v>1</v>
      </c>
    </row>
    <row r="744" spans="1:38" x14ac:dyDescent="0.3">
      <c r="A744" t="s">
        <v>685</v>
      </c>
      <c r="B744">
        <v>143668</v>
      </c>
      <c r="C744">
        <v>3</v>
      </c>
      <c r="D744" t="s">
        <v>1185</v>
      </c>
      <c r="E744" t="s">
        <v>1151</v>
      </c>
      <c r="F744">
        <v>6</v>
      </c>
      <c r="G744">
        <v>30.71</v>
      </c>
      <c r="H744">
        <v>101.55</v>
      </c>
      <c r="I744">
        <v>24.91</v>
      </c>
      <c r="J744">
        <v>82.36</v>
      </c>
      <c r="K744">
        <v>1</v>
      </c>
      <c r="T744">
        <v>3</v>
      </c>
      <c r="U744">
        <v>2</v>
      </c>
      <c r="V744" t="s">
        <v>93</v>
      </c>
      <c r="W744" t="s">
        <v>1055</v>
      </c>
      <c r="X744">
        <v>13</v>
      </c>
      <c r="Y744">
        <v>13</v>
      </c>
      <c r="Z744" t="s">
        <v>1186</v>
      </c>
      <c r="AA744" t="s">
        <v>1187</v>
      </c>
      <c r="AB744" t="s">
        <v>96</v>
      </c>
      <c r="AC744" t="s">
        <v>97</v>
      </c>
      <c r="AD744" t="s">
        <v>690</v>
      </c>
      <c r="AG744" t="s">
        <v>1188</v>
      </c>
      <c r="AH744">
        <v>0</v>
      </c>
      <c r="AI744">
        <v>725</v>
      </c>
      <c r="AJ744">
        <v>77</v>
      </c>
      <c r="AK744">
        <v>6</v>
      </c>
      <c r="AL744">
        <v>1</v>
      </c>
    </row>
    <row r="745" spans="1:38" x14ac:dyDescent="0.3">
      <c r="A745" t="s">
        <v>685</v>
      </c>
      <c r="B745">
        <v>122482</v>
      </c>
      <c r="C745">
        <v>1</v>
      </c>
      <c r="D745" t="s">
        <v>1189</v>
      </c>
      <c r="E745" t="s">
        <v>1080</v>
      </c>
      <c r="F745">
        <v>39</v>
      </c>
      <c r="G745">
        <v>20.8</v>
      </c>
      <c r="H745">
        <v>68.78</v>
      </c>
      <c r="I745">
        <v>15.02</v>
      </c>
      <c r="J745">
        <v>49.66</v>
      </c>
      <c r="K745">
        <v>15</v>
      </c>
      <c r="T745">
        <v>3</v>
      </c>
      <c r="U745">
        <v>1</v>
      </c>
      <c r="V745" t="s">
        <v>93</v>
      </c>
      <c r="W745" t="s">
        <v>226</v>
      </c>
      <c r="X745">
        <v>14</v>
      </c>
      <c r="Y745">
        <v>14</v>
      </c>
      <c r="Z745" t="s">
        <v>1190</v>
      </c>
      <c r="AA745" t="s">
        <v>1191</v>
      </c>
      <c r="AB745" t="s">
        <v>96</v>
      </c>
      <c r="AC745" t="s">
        <v>97</v>
      </c>
      <c r="AD745" t="s">
        <v>690</v>
      </c>
      <c r="AG745" t="s">
        <v>1192</v>
      </c>
      <c r="AH745">
        <v>0</v>
      </c>
      <c r="AI745">
        <v>744</v>
      </c>
      <c r="AJ745">
        <v>75</v>
      </c>
      <c r="AK745">
        <v>28</v>
      </c>
      <c r="AL745">
        <v>0.72</v>
      </c>
    </row>
    <row r="746" spans="1:38" x14ac:dyDescent="0.3">
      <c r="A746" t="s">
        <v>685</v>
      </c>
      <c r="B746">
        <v>122482</v>
      </c>
      <c r="C746">
        <v>2</v>
      </c>
      <c r="D746" t="s">
        <v>1189</v>
      </c>
      <c r="E746" t="s">
        <v>1080</v>
      </c>
      <c r="F746">
        <v>39</v>
      </c>
      <c r="G746">
        <v>21.05</v>
      </c>
      <c r="H746">
        <v>69.599999999999994</v>
      </c>
      <c r="I746">
        <v>15.11</v>
      </c>
      <c r="J746">
        <v>49.98</v>
      </c>
      <c r="K746">
        <v>8</v>
      </c>
      <c r="T746">
        <v>3</v>
      </c>
      <c r="U746">
        <v>1</v>
      </c>
      <c r="V746" t="s">
        <v>93</v>
      </c>
      <c r="W746" t="s">
        <v>1193</v>
      </c>
      <c r="X746">
        <v>14</v>
      </c>
      <c r="Y746">
        <v>14</v>
      </c>
      <c r="Z746" t="s">
        <v>1190</v>
      </c>
      <c r="AA746" t="s">
        <v>1191</v>
      </c>
      <c r="AB746" t="s">
        <v>96</v>
      </c>
      <c r="AC746" t="s">
        <v>97</v>
      </c>
      <c r="AD746" t="s">
        <v>690</v>
      </c>
      <c r="AG746" t="s">
        <v>1192</v>
      </c>
      <c r="AH746">
        <v>0</v>
      </c>
      <c r="AI746">
        <v>744</v>
      </c>
      <c r="AJ746">
        <v>75</v>
      </c>
      <c r="AK746">
        <v>28</v>
      </c>
      <c r="AL746">
        <v>0.72</v>
      </c>
    </row>
    <row r="747" spans="1:38" x14ac:dyDescent="0.3">
      <c r="A747" t="s">
        <v>685</v>
      </c>
      <c r="B747">
        <v>122482</v>
      </c>
      <c r="C747">
        <v>3</v>
      </c>
      <c r="D747" t="s">
        <v>1189</v>
      </c>
      <c r="E747" t="s">
        <v>1080</v>
      </c>
      <c r="F747">
        <v>39</v>
      </c>
      <c r="G747">
        <v>21.18</v>
      </c>
      <c r="H747">
        <v>70.02</v>
      </c>
      <c r="I747">
        <v>15.11</v>
      </c>
      <c r="J747">
        <v>49.96</v>
      </c>
      <c r="K747">
        <v>8</v>
      </c>
      <c r="T747">
        <v>3</v>
      </c>
      <c r="U747">
        <v>1</v>
      </c>
      <c r="V747" t="s">
        <v>93</v>
      </c>
      <c r="W747" t="s">
        <v>490</v>
      </c>
      <c r="X747">
        <v>14</v>
      </c>
      <c r="Y747">
        <v>14</v>
      </c>
      <c r="Z747" t="s">
        <v>1190</v>
      </c>
      <c r="AA747" t="s">
        <v>1191</v>
      </c>
      <c r="AB747" t="s">
        <v>96</v>
      </c>
      <c r="AC747" t="s">
        <v>97</v>
      </c>
      <c r="AD747" t="s">
        <v>690</v>
      </c>
      <c r="AG747" t="s">
        <v>1192</v>
      </c>
      <c r="AH747">
        <v>0</v>
      </c>
      <c r="AI747">
        <v>744</v>
      </c>
      <c r="AJ747">
        <v>75</v>
      </c>
      <c r="AK747">
        <v>28</v>
      </c>
      <c r="AL747">
        <v>0.72</v>
      </c>
    </row>
    <row r="748" spans="1:38" x14ac:dyDescent="0.3">
      <c r="A748" t="s">
        <v>685</v>
      </c>
      <c r="B748">
        <v>122482</v>
      </c>
      <c r="C748">
        <v>4</v>
      </c>
      <c r="D748" t="s">
        <v>1189</v>
      </c>
      <c r="E748" t="s">
        <v>1080</v>
      </c>
      <c r="F748">
        <v>39</v>
      </c>
      <c r="G748">
        <v>21.25</v>
      </c>
      <c r="H748">
        <v>70.25</v>
      </c>
      <c r="I748">
        <v>15.11</v>
      </c>
      <c r="J748">
        <v>49.97</v>
      </c>
      <c r="K748">
        <v>8</v>
      </c>
      <c r="T748">
        <v>3</v>
      </c>
      <c r="U748">
        <v>1</v>
      </c>
      <c r="V748" t="s">
        <v>93</v>
      </c>
      <c r="W748" t="s">
        <v>1194</v>
      </c>
      <c r="X748">
        <v>14</v>
      </c>
      <c r="Y748">
        <v>14</v>
      </c>
      <c r="Z748" t="s">
        <v>1190</v>
      </c>
      <c r="AA748" t="s">
        <v>1191</v>
      </c>
      <c r="AB748" t="s">
        <v>96</v>
      </c>
      <c r="AC748" t="s">
        <v>97</v>
      </c>
      <c r="AD748" t="s">
        <v>690</v>
      </c>
      <c r="AG748" t="s">
        <v>1192</v>
      </c>
      <c r="AH748">
        <v>0</v>
      </c>
      <c r="AI748">
        <v>744</v>
      </c>
      <c r="AJ748">
        <v>75</v>
      </c>
      <c r="AK748">
        <v>28</v>
      </c>
      <c r="AL748">
        <v>0.72</v>
      </c>
    </row>
    <row r="749" spans="1:38" x14ac:dyDescent="0.3">
      <c r="A749" t="s">
        <v>685</v>
      </c>
      <c r="B749">
        <v>116168</v>
      </c>
      <c r="C749">
        <v>1</v>
      </c>
      <c r="D749" t="s">
        <v>1195</v>
      </c>
      <c r="E749" t="s">
        <v>1196</v>
      </c>
      <c r="F749">
        <v>17</v>
      </c>
      <c r="G749">
        <v>30</v>
      </c>
      <c r="H749">
        <v>99.2</v>
      </c>
      <c r="I749">
        <v>25.2</v>
      </c>
      <c r="J749">
        <v>83.33</v>
      </c>
      <c r="K749">
        <v>16</v>
      </c>
      <c r="T749">
        <v>3</v>
      </c>
      <c r="U749">
        <v>2</v>
      </c>
      <c r="V749" t="s">
        <v>93</v>
      </c>
      <c r="W749">
        <v>99</v>
      </c>
      <c r="X749">
        <v>11</v>
      </c>
      <c r="Y749">
        <v>10</v>
      </c>
      <c r="Z749" t="s">
        <v>1197</v>
      </c>
      <c r="AA749" t="s">
        <v>1198</v>
      </c>
      <c r="AB749" t="s">
        <v>96</v>
      </c>
      <c r="AC749" t="s">
        <v>97</v>
      </c>
      <c r="AD749" t="s">
        <v>690</v>
      </c>
      <c r="AG749" t="s">
        <v>1199</v>
      </c>
      <c r="AH749">
        <v>0</v>
      </c>
      <c r="AI749">
        <v>304</v>
      </c>
      <c r="AJ749">
        <v>43</v>
      </c>
      <c r="AK749">
        <v>19</v>
      </c>
      <c r="AL749">
        <v>1.1200000000000001</v>
      </c>
    </row>
    <row r="750" spans="1:38" x14ac:dyDescent="0.3">
      <c r="A750" t="s">
        <v>685</v>
      </c>
      <c r="B750">
        <v>116168</v>
      </c>
      <c r="C750">
        <v>2</v>
      </c>
      <c r="D750" t="s">
        <v>1195</v>
      </c>
      <c r="E750" t="s">
        <v>1196</v>
      </c>
      <c r="F750">
        <v>17</v>
      </c>
      <c r="G750">
        <v>44.9</v>
      </c>
      <c r="H750">
        <v>148.44999999999999</v>
      </c>
      <c r="I750">
        <v>37.71</v>
      </c>
      <c r="J750">
        <v>124.69</v>
      </c>
      <c r="K750">
        <v>1</v>
      </c>
      <c r="T750">
        <v>4</v>
      </c>
      <c r="U750">
        <v>2</v>
      </c>
      <c r="V750" t="s">
        <v>93</v>
      </c>
      <c r="W750">
        <v>148</v>
      </c>
      <c r="X750">
        <v>11</v>
      </c>
      <c r="Y750">
        <v>10</v>
      </c>
      <c r="Z750" t="s">
        <v>1197</v>
      </c>
      <c r="AA750" t="s">
        <v>1198</v>
      </c>
      <c r="AB750" t="s">
        <v>96</v>
      </c>
      <c r="AC750" t="s">
        <v>97</v>
      </c>
      <c r="AD750" t="s">
        <v>690</v>
      </c>
      <c r="AG750" t="s">
        <v>1199</v>
      </c>
      <c r="AH750">
        <v>0</v>
      </c>
      <c r="AI750">
        <v>304</v>
      </c>
      <c r="AJ750">
        <v>43</v>
      </c>
      <c r="AK750">
        <v>19</v>
      </c>
      <c r="AL750">
        <v>1.1200000000000001</v>
      </c>
    </row>
    <row r="751" spans="1:38" x14ac:dyDescent="0.3">
      <c r="A751" t="s">
        <v>685</v>
      </c>
      <c r="B751">
        <v>120356</v>
      </c>
      <c r="C751">
        <v>1</v>
      </c>
      <c r="D751" t="s">
        <v>1200</v>
      </c>
      <c r="E751" t="s">
        <v>274</v>
      </c>
      <c r="F751">
        <v>16</v>
      </c>
      <c r="G751">
        <v>17.32</v>
      </c>
      <c r="H751">
        <v>57.26</v>
      </c>
      <c r="I751">
        <v>13.74</v>
      </c>
      <c r="J751">
        <v>45.45</v>
      </c>
      <c r="K751">
        <v>1</v>
      </c>
      <c r="T751">
        <v>2</v>
      </c>
      <c r="U751">
        <v>1</v>
      </c>
      <c r="V751" t="s">
        <v>93</v>
      </c>
      <c r="W751">
        <v>57</v>
      </c>
      <c r="X751">
        <v>12</v>
      </c>
      <c r="Y751">
        <v>12</v>
      </c>
      <c r="Z751" t="s">
        <v>1201</v>
      </c>
      <c r="AA751" t="s">
        <v>1202</v>
      </c>
      <c r="AB751" t="s">
        <v>96</v>
      </c>
      <c r="AC751" t="s">
        <v>97</v>
      </c>
      <c r="AD751" t="s">
        <v>690</v>
      </c>
      <c r="AG751" t="s">
        <v>1203</v>
      </c>
      <c r="AH751">
        <v>0</v>
      </c>
      <c r="AI751">
        <v>642</v>
      </c>
      <c r="AJ751">
        <v>72</v>
      </c>
      <c r="AK751">
        <v>12</v>
      </c>
      <c r="AL751">
        <v>0.75</v>
      </c>
    </row>
    <row r="752" spans="1:38" x14ac:dyDescent="0.3">
      <c r="A752" t="s">
        <v>685</v>
      </c>
      <c r="B752">
        <v>120356</v>
      </c>
      <c r="C752">
        <v>2</v>
      </c>
      <c r="D752" t="s">
        <v>1200</v>
      </c>
      <c r="E752" t="s">
        <v>274</v>
      </c>
      <c r="F752">
        <v>16</v>
      </c>
      <c r="G752">
        <v>17.559999999999999</v>
      </c>
      <c r="H752">
        <v>58.06</v>
      </c>
      <c r="I752">
        <v>13.92</v>
      </c>
      <c r="J752">
        <v>46.03</v>
      </c>
      <c r="K752">
        <v>4</v>
      </c>
      <c r="T752">
        <v>2</v>
      </c>
      <c r="U752">
        <v>1</v>
      </c>
      <c r="V752" t="s">
        <v>93</v>
      </c>
      <c r="W752" t="s">
        <v>178</v>
      </c>
      <c r="X752">
        <v>12</v>
      </c>
      <c r="Y752">
        <v>12</v>
      </c>
      <c r="Z752" t="s">
        <v>1201</v>
      </c>
      <c r="AA752" t="s">
        <v>1202</v>
      </c>
      <c r="AB752" t="s">
        <v>96</v>
      </c>
      <c r="AC752" t="s">
        <v>97</v>
      </c>
      <c r="AD752" t="s">
        <v>690</v>
      </c>
      <c r="AG752" t="s">
        <v>1203</v>
      </c>
      <c r="AH752">
        <v>0</v>
      </c>
      <c r="AI752">
        <v>642</v>
      </c>
      <c r="AJ752">
        <v>72</v>
      </c>
      <c r="AK752">
        <v>12</v>
      </c>
      <c r="AL752">
        <v>0.75</v>
      </c>
    </row>
    <row r="753" spans="1:38" x14ac:dyDescent="0.3">
      <c r="A753" t="s">
        <v>685</v>
      </c>
      <c r="B753">
        <v>120356</v>
      </c>
      <c r="C753">
        <v>3</v>
      </c>
      <c r="D753" t="s">
        <v>1200</v>
      </c>
      <c r="E753" t="s">
        <v>274</v>
      </c>
      <c r="F753">
        <v>16</v>
      </c>
      <c r="G753">
        <v>18.079999999999998</v>
      </c>
      <c r="H753">
        <v>59.8</v>
      </c>
      <c r="I753">
        <v>14.49</v>
      </c>
      <c r="J753">
        <v>47.93</v>
      </c>
      <c r="K753">
        <v>4</v>
      </c>
      <c r="T753">
        <v>2</v>
      </c>
      <c r="U753">
        <v>1</v>
      </c>
      <c r="V753" t="s">
        <v>93</v>
      </c>
      <c r="W753" t="s">
        <v>379</v>
      </c>
      <c r="X753">
        <v>12</v>
      </c>
      <c r="Y753">
        <v>12</v>
      </c>
      <c r="Z753" t="s">
        <v>1201</v>
      </c>
      <c r="AA753" t="s">
        <v>1202</v>
      </c>
      <c r="AB753" t="s">
        <v>96</v>
      </c>
      <c r="AC753" t="s">
        <v>97</v>
      </c>
      <c r="AD753" t="s">
        <v>690</v>
      </c>
      <c r="AG753" t="s">
        <v>1203</v>
      </c>
      <c r="AH753">
        <v>0</v>
      </c>
      <c r="AI753">
        <v>642</v>
      </c>
      <c r="AJ753">
        <v>72</v>
      </c>
      <c r="AK753">
        <v>12</v>
      </c>
      <c r="AL753">
        <v>0.75</v>
      </c>
    </row>
    <row r="754" spans="1:38" x14ac:dyDescent="0.3">
      <c r="A754" t="s">
        <v>685</v>
      </c>
      <c r="B754">
        <v>120356</v>
      </c>
      <c r="C754">
        <v>4</v>
      </c>
      <c r="D754" t="s">
        <v>1200</v>
      </c>
      <c r="E754" t="s">
        <v>274</v>
      </c>
      <c r="F754">
        <v>16</v>
      </c>
      <c r="G754">
        <v>18.489999999999998</v>
      </c>
      <c r="H754">
        <v>61.14</v>
      </c>
      <c r="I754">
        <v>14.87</v>
      </c>
      <c r="J754">
        <v>49.19</v>
      </c>
      <c r="K754">
        <v>4</v>
      </c>
      <c r="T754">
        <v>2</v>
      </c>
      <c r="U754">
        <v>1</v>
      </c>
      <c r="V754" t="s">
        <v>93</v>
      </c>
      <c r="W754">
        <v>61</v>
      </c>
      <c r="X754">
        <v>12</v>
      </c>
      <c r="Y754">
        <v>12</v>
      </c>
      <c r="Z754" t="s">
        <v>1201</v>
      </c>
      <c r="AA754" t="s">
        <v>1202</v>
      </c>
      <c r="AB754" t="s">
        <v>96</v>
      </c>
      <c r="AC754" t="s">
        <v>97</v>
      </c>
      <c r="AD754" t="s">
        <v>690</v>
      </c>
      <c r="AG754" t="s">
        <v>1203</v>
      </c>
      <c r="AH754">
        <v>0</v>
      </c>
      <c r="AI754">
        <v>642</v>
      </c>
      <c r="AJ754">
        <v>72</v>
      </c>
      <c r="AK754">
        <v>12</v>
      </c>
      <c r="AL754">
        <v>0.75</v>
      </c>
    </row>
    <row r="755" spans="1:38" x14ac:dyDescent="0.3">
      <c r="A755" t="s">
        <v>685</v>
      </c>
      <c r="B755">
        <v>120356</v>
      </c>
      <c r="C755">
        <v>5</v>
      </c>
      <c r="D755" t="s">
        <v>1200</v>
      </c>
      <c r="E755" t="s">
        <v>274</v>
      </c>
      <c r="F755">
        <v>16</v>
      </c>
      <c r="G755">
        <v>18.45</v>
      </c>
      <c r="H755">
        <v>61.02</v>
      </c>
      <c r="I755">
        <v>14.63</v>
      </c>
      <c r="J755">
        <v>48.39</v>
      </c>
      <c r="K755">
        <v>3</v>
      </c>
      <c r="T755">
        <v>2</v>
      </c>
      <c r="U755">
        <v>1</v>
      </c>
      <c r="V755" t="s">
        <v>93</v>
      </c>
      <c r="W755" t="s">
        <v>698</v>
      </c>
      <c r="X755">
        <v>12</v>
      </c>
      <c r="Y755">
        <v>12</v>
      </c>
      <c r="Z755" t="s">
        <v>1201</v>
      </c>
      <c r="AA755" t="s">
        <v>1202</v>
      </c>
      <c r="AB755" t="s">
        <v>96</v>
      </c>
      <c r="AC755" t="s">
        <v>97</v>
      </c>
      <c r="AD755" t="s">
        <v>690</v>
      </c>
      <c r="AG755" t="s">
        <v>1203</v>
      </c>
      <c r="AH755">
        <v>0</v>
      </c>
      <c r="AI755">
        <v>642</v>
      </c>
      <c r="AJ755">
        <v>72</v>
      </c>
      <c r="AK755">
        <v>12</v>
      </c>
      <c r="AL755">
        <v>0.75</v>
      </c>
    </row>
    <row r="756" spans="1:38" x14ac:dyDescent="0.3">
      <c r="A756" t="s">
        <v>685</v>
      </c>
      <c r="B756">
        <v>130297</v>
      </c>
      <c r="C756">
        <v>1</v>
      </c>
      <c r="D756" t="s">
        <v>1204</v>
      </c>
      <c r="E756" t="s">
        <v>151</v>
      </c>
      <c r="F756">
        <v>28</v>
      </c>
      <c r="G756">
        <v>23.54</v>
      </c>
      <c r="H756">
        <v>77.84</v>
      </c>
      <c r="I756">
        <v>18.14</v>
      </c>
      <c r="J756">
        <v>59.98</v>
      </c>
      <c r="K756">
        <v>14</v>
      </c>
      <c r="T756">
        <v>3</v>
      </c>
      <c r="U756">
        <v>2</v>
      </c>
      <c r="V756" t="s">
        <v>93</v>
      </c>
      <c r="W756">
        <v>77</v>
      </c>
      <c r="X756">
        <v>17</v>
      </c>
      <c r="Y756">
        <v>17</v>
      </c>
      <c r="Z756" t="s">
        <v>1205</v>
      </c>
      <c r="AA756" t="s">
        <v>1206</v>
      </c>
      <c r="AB756" t="s">
        <v>96</v>
      </c>
      <c r="AC756" t="s">
        <v>97</v>
      </c>
      <c r="AD756" t="s">
        <v>690</v>
      </c>
      <c r="AG756" t="s">
        <v>1207</v>
      </c>
      <c r="AH756">
        <v>0</v>
      </c>
      <c r="AI756">
        <v>849</v>
      </c>
      <c r="AJ756">
        <v>66</v>
      </c>
      <c r="AK756">
        <v>24</v>
      </c>
      <c r="AL756">
        <v>0.86</v>
      </c>
    </row>
    <row r="757" spans="1:38" x14ac:dyDescent="0.3">
      <c r="A757" t="s">
        <v>685</v>
      </c>
      <c r="B757">
        <v>130297</v>
      </c>
      <c r="C757">
        <v>2</v>
      </c>
      <c r="D757" t="s">
        <v>1204</v>
      </c>
      <c r="E757" t="s">
        <v>151</v>
      </c>
      <c r="F757">
        <v>28</v>
      </c>
      <c r="G757">
        <v>23.38</v>
      </c>
      <c r="H757">
        <v>77.31</v>
      </c>
      <c r="I757">
        <v>18.14</v>
      </c>
      <c r="J757">
        <v>59.97</v>
      </c>
      <c r="K757">
        <v>14</v>
      </c>
      <c r="T757">
        <v>3</v>
      </c>
      <c r="U757">
        <v>2</v>
      </c>
      <c r="V757" t="s">
        <v>93</v>
      </c>
      <c r="W757">
        <v>77</v>
      </c>
      <c r="X757">
        <v>17</v>
      </c>
      <c r="Y757">
        <v>17</v>
      </c>
      <c r="Z757" t="s">
        <v>1205</v>
      </c>
      <c r="AA757" t="s">
        <v>1206</v>
      </c>
      <c r="AB757" t="s">
        <v>96</v>
      </c>
      <c r="AC757" t="s">
        <v>97</v>
      </c>
      <c r="AD757" t="s">
        <v>690</v>
      </c>
      <c r="AG757" t="s">
        <v>1207</v>
      </c>
      <c r="AH757">
        <v>0</v>
      </c>
      <c r="AI757">
        <v>849</v>
      </c>
      <c r="AJ757">
        <v>66</v>
      </c>
      <c r="AK757">
        <v>24</v>
      </c>
      <c r="AL757">
        <v>0.86</v>
      </c>
    </row>
    <row r="758" spans="1:38" x14ac:dyDescent="0.3">
      <c r="A758" t="s">
        <v>685</v>
      </c>
      <c r="B758">
        <v>118164</v>
      </c>
      <c r="C758">
        <v>1</v>
      </c>
      <c r="D758" t="s">
        <v>1208</v>
      </c>
      <c r="E758" t="s">
        <v>854</v>
      </c>
      <c r="F758">
        <v>28</v>
      </c>
      <c r="G758">
        <v>22.24</v>
      </c>
      <c r="H758">
        <v>73.53</v>
      </c>
      <c r="I758">
        <v>17.57</v>
      </c>
      <c r="J758">
        <v>58.11</v>
      </c>
      <c r="K758">
        <v>4</v>
      </c>
      <c r="T758">
        <v>3</v>
      </c>
      <c r="U758">
        <v>2</v>
      </c>
      <c r="V758" t="s">
        <v>93</v>
      </c>
      <c r="W758">
        <v>73</v>
      </c>
      <c r="X758">
        <v>14</v>
      </c>
      <c r="Y758">
        <v>14</v>
      </c>
      <c r="Z758" t="s">
        <v>1209</v>
      </c>
      <c r="AA758" t="s">
        <v>1210</v>
      </c>
      <c r="AB758" t="s">
        <v>96</v>
      </c>
      <c r="AC758" t="s">
        <v>97</v>
      </c>
      <c r="AD758" t="s">
        <v>690</v>
      </c>
      <c r="AG758" t="s">
        <v>1211</v>
      </c>
      <c r="AH758">
        <v>0</v>
      </c>
      <c r="AI758">
        <v>899</v>
      </c>
      <c r="AJ758">
        <v>74</v>
      </c>
      <c r="AK758">
        <v>25</v>
      </c>
      <c r="AL758">
        <v>0.89</v>
      </c>
    </row>
    <row r="759" spans="1:38" x14ac:dyDescent="0.3">
      <c r="A759" t="s">
        <v>685</v>
      </c>
      <c r="B759">
        <v>118164</v>
      </c>
      <c r="C759">
        <v>2</v>
      </c>
      <c r="D759" t="s">
        <v>1208</v>
      </c>
      <c r="E759" t="s">
        <v>854</v>
      </c>
      <c r="F759">
        <v>28</v>
      </c>
      <c r="G759">
        <v>22.51</v>
      </c>
      <c r="H759">
        <v>74.430000000000007</v>
      </c>
      <c r="I759">
        <v>17.54</v>
      </c>
      <c r="J759">
        <v>57.99</v>
      </c>
      <c r="K759">
        <v>4</v>
      </c>
      <c r="T759">
        <v>3</v>
      </c>
      <c r="U759">
        <v>2</v>
      </c>
      <c r="V759" t="s">
        <v>93</v>
      </c>
      <c r="W759" t="s">
        <v>406</v>
      </c>
      <c r="X759">
        <v>14</v>
      </c>
      <c r="Y759">
        <v>14</v>
      </c>
      <c r="Z759" t="s">
        <v>1209</v>
      </c>
      <c r="AA759" t="s">
        <v>1210</v>
      </c>
      <c r="AB759" t="s">
        <v>96</v>
      </c>
      <c r="AC759" t="s">
        <v>97</v>
      </c>
      <c r="AD759" t="s">
        <v>690</v>
      </c>
      <c r="AG759" t="s">
        <v>1211</v>
      </c>
      <c r="AH759">
        <v>0</v>
      </c>
      <c r="AI759">
        <v>899</v>
      </c>
      <c r="AJ759">
        <v>74</v>
      </c>
      <c r="AK759">
        <v>25</v>
      </c>
      <c r="AL759">
        <v>0.89</v>
      </c>
    </row>
    <row r="760" spans="1:38" x14ac:dyDescent="0.3">
      <c r="A760" t="s">
        <v>685</v>
      </c>
      <c r="B760">
        <v>118164</v>
      </c>
      <c r="C760">
        <v>3</v>
      </c>
      <c r="D760" t="s">
        <v>1208</v>
      </c>
      <c r="E760" t="s">
        <v>854</v>
      </c>
      <c r="F760">
        <v>28</v>
      </c>
      <c r="G760">
        <v>22.76</v>
      </c>
      <c r="H760">
        <v>75.239999999999995</v>
      </c>
      <c r="I760">
        <v>18.09</v>
      </c>
      <c r="J760">
        <v>59.82</v>
      </c>
      <c r="K760">
        <v>8</v>
      </c>
      <c r="T760">
        <v>3</v>
      </c>
      <c r="U760">
        <v>2</v>
      </c>
      <c r="V760" t="s">
        <v>93</v>
      </c>
      <c r="W760" t="s">
        <v>881</v>
      </c>
      <c r="X760">
        <v>14</v>
      </c>
      <c r="Y760">
        <v>14</v>
      </c>
      <c r="Z760" t="s">
        <v>1209</v>
      </c>
      <c r="AA760" t="s">
        <v>1210</v>
      </c>
      <c r="AB760" t="s">
        <v>96</v>
      </c>
      <c r="AC760" t="s">
        <v>97</v>
      </c>
      <c r="AD760" t="s">
        <v>690</v>
      </c>
      <c r="AG760" t="s">
        <v>1211</v>
      </c>
      <c r="AH760">
        <v>0</v>
      </c>
      <c r="AI760">
        <v>899</v>
      </c>
      <c r="AJ760">
        <v>74</v>
      </c>
      <c r="AK760">
        <v>25</v>
      </c>
      <c r="AL760">
        <v>0.89</v>
      </c>
    </row>
    <row r="761" spans="1:38" x14ac:dyDescent="0.3">
      <c r="A761" t="s">
        <v>685</v>
      </c>
      <c r="B761">
        <v>118164</v>
      </c>
      <c r="C761">
        <v>4</v>
      </c>
      <c r="D761" t="s">
        <v>1208</v>
      </c>
      <c r="E761" t="s">
        <v>854</v>
      </c>
      <c r="F761">
        <v>28</v>
      </c>
      <c r="G761">
        <v>22.86</v>
      </c>
      <c r="H761">
        <v>75.58</v>
      </c>
      <c r="I761">
        <v>18.05</v>
      </c>
      <c r="J761">
        <v>59.7</v>
      </c>
      <c r="K761">
        <v>4</v>
      </c>
      <c r="T761">
        <v>3</v>
      </c>
      <c r="U761">
        <v>2</v>
      </c>
      <c r="V761" t="s">
        <v>93</v>
      </c>
      <c r="W761" t="s">
        <v>407</v>
      </c>
      <c r="X761">
        <v>14</v>
      </c>
      <c r="Y761">
        <v>14</v>
      </c>
      <c r="Z761" t="s">
        <v>1209</v>
      </c>
      <c r="AA761" t="s">
        <v>1210</v>
      </c>
      <c r="AB761" t="s">
        <v>96</v>
      </c>
      <c r="AC761" t="s">
        <v>97</v>
      </c>
      <c r="AD761" t="s">
        <v>690</v>
      </c>
      <c r="AG761" t="s">
        <v>1211</v>
      </c>
      <c r="AH761">
        <v>0</v>
      </c>
      <c r="AI761">
        <v>899</v>
      </c>
      <c r="AJ761">
        <v>74</v>
      </c>
      <c r="AK761">
        <v>25</v>
      </c>
      <c r="AL761">
        <v>0.89</v>
      </c>
    </row>
    <row r="762" spans="1:38" x14ac:dyDescent="0.3">
      <c r="A762" t="s">
        <v>685</v>
      </c>
      <c r="B762">
        <v>118164</v>
      </c>
      <c r="C762">
        <v>5</v>
      </c>
      <c r="D762" t="s">
        <v>1208</v>
      </c>
      <c r="E762" t="s">
        <v>854</v>
      </c>
      <c r="F762">
        <v>28</v>
      </c>
      <c r="G762">
        <v>22.93</v>
      </c>
      <c r="H762">
        <v>75.81</v>
      </c>
      <c r="I762">
        <v>18.11</v>
      </c>
      <c r="J762">
        <v>59.89</v>
      </c>
      <c r="K762">
        <v>4</v>
      </c>
      <c r="T762">
        <v>3</v>
      </c>
      <c r="U762">
        <v>2</v>
      </c>
      <c r="V762" t="s">
        <v>93</v>
      </c>
      <c r="W762" t="s">
        <v>1212</v>
      </c>
      <c r="X762">
        <v>14</v>
      </c>
      <c r="Y762">
        <v>14</v>
      </c>
      <c r="Z762" t="s">
        <v>1209</v>
      </c>
      <c r="AA762" t="s">
        <v>1210</v>
      </c>
      <c r="AB762" t="s">
        <v>96</v>
      </c>
      <c r="AC762" t="s">
        <v>97</v>
      </c>
      <c r="AD762" t="s">
        <v>690</v>
      </c>
      <c r="AG762" t="s">
        <v>1211</v>
      </c>
      <c r="AH762">
        <v>0</v>
      </c>
      <c r="AI762">
        <v>899</v>
      </c>
      <c r="AJ762">
        <v>74</v>
      </c>
      <c r="AK762">
        <v>25</v>
      </c>
      <c r="AL762">
        <v>0.89</v>
      </c>
    </row>
    <row r="763" spans="1:38" x14ac:dyDescent="0.3">
      <c r="A763" t="s">
        <v>685</v>
      </c>
      <c r="B763">
        <v>118164</v>
      </c>
      <c r="C763">
        <v>6</v>
      </c>
      <c r="D763" t="s">
        <v>1208</v>
      </c>
      <c r="E763" t="s">
        <v>854</v>
      </c>
      <c r="F763">
        <v>28</v>
      </c>
      <c r="G763">
        <v>22.99</v>
      </c>
      <c r="H763">
        <v>76.010000000000005</v>
      </c>
      <c r="I763">
        <v>18.11</v>
      </c>
      <c r="J763">
        <v>59.9</v>
      </c>
      <c r="K763">
        <v>4</v>
      </c>
      <c r="T763">
        <v>3</v>
      </c>
      <c r="U763">
        <v>2</v>
      </c>
      <c r="V763" t="s">
        <v>93</v>
      </c>
      <c r="W763" t="s">
        <v>1213</v>
      </c>
      <c r="X763">
        <v>14</v>
      </c>
      <c r="Y763">
        <v>14</v>
      </c>
      <c r="Z763" t="s">
        <v>1209</v>
      </c>
      <c r="AA763" t="s">
        <v>1210</v>
      </c>
      <c r="AB763" t="s">
        <v>96</v>
      </c>
      <c r="AC763" t="s">
        <v>97</v>
      </c>
      <c r="AD763" t="s">
        <v>690</v>
      </c>
      <c r="AG763" t="s">
        <v>1211</v>
      </c>
      <c r="AH763">
        <v>0</v>
      </c>
      <c r="AI763">
        <v>899</v>
      </c>
      <c r="AJ763">
        <v>74</v>
      </c>
      <c r="AK763">
        <v>25</v>
      </c>
      <c r="AL763">
        <v>0.89</v>
      </c>
    </row>
    <row r="764" spans="1:38" x14ac:dyDescent="0.3">
      <c r="A764" t="s">
        <v>685</v>
      </c>
      <c r="B764">
        <v>14788</v>
      </c>
      <c r="C764">
        <v>1</v>
      </c>
      <c r="D764" t="s">
        <v>1214</v>
      </c>
      <c r="E764" t="s">
        <v>1215</v>
      </c>
      <c r="F764">
        <v>40</v>
      </c>
      <c r="G764">
        <v>20.97</v>
      </c>
      <c r="H764">
        <v>69.33</v>
      </c>
      <c r="I764">
        <v>17.47</v>
      </c>
      <c r="J764">
        <v>57.78</v>
      </c>
      <c r="K764">
        <v>40</v>
      </c>
      <c r="T764">
        <v>2</v>
      </c>
      <c r="U764">
        <v>1</v>
      </c>
      <c r="V764" t="s">
        <v>93</v>
      </c>
      <c r="W764">
        <v>69</v>
      </c>
      <c r="X764">
        <v>5</v>
      </c>
      <c r="Y764">
        <v>5</v>
      </c>
      <c r="Z764" t="s">
        <v>1216</v>
      </c>
      <c r="AA764" t="s">
        <v>1217</v>
      </c>
      <c r="AB764" t="s">
        <v>96</v>
      </c>
      <c r="AC764" t="s">
        <v>97</v>
      </c>
      <c r="AD764" t="s">
        <v>690</v>
      </c>
      <c r="AG764" t="s">
        <v>1218</v>
      </c>
      <c r="AH764">
        <v>0</v>
      </c>
      <c r="AI764">
        <v>0</v>
      </c>
      <c r="AJ764">
        <v>0</v>
      </c>
      <c r="AK764">
        <v>0</v>
      </c>
      <c r="AL764">
        <v>0</v>
      </c>
    </row>
    <row r="765" spans="1:38" x14ac:dyDescent="0.3">
      <c r="A765" t="s">
        <v>685</v>
      </c>
      <c r="B765">
        <v>123328</v>
      </c>
      <c r="C765">
        <v>1</v>
      </c>
      <c r="D765" t="s">
        <v>1219</v>
      </c>
      <c r="E765" t="s">
        <v>732</v>
      </c>
      <c r="F765">
        <v>40</v>
      </c>
      <c r="G765">
        <v>18.88</v>
      </c>
      <c r="H765">
        <v>62.43</v>
      </c>
      <c r="I765">
        <v>14.76</v>
      </c>
      <c r="J765">
        <v>48.81</v>
      </c>
      <c r="K765">
        <v>8</v>
      </c>
      <c r="T765">
        <v>3</v>
      </c>
      <c r="U765">
        <v>1</v>
      </c>
      <c r="V765" t="s">
        <v>93</v>
      </c>
      <c r="W765" t="s">
        <v>463</v>
      </c>
      <c r="X765">
        <v>9</v>
      </c>
      <c r="Y765">
        <v>9</v>
      </c>
      <c r="Z765" t="s">
        <v>1220</v>
      </c>
      <c r="AA765" t="s">
        <v>1221</v>
      </c>
      <c r="AB765" t="s">
        <v>96</v>
      </c>
      <c r="AC765" t="s">
        <v>97</v>
      </c>
      <c r="AD765" t="s">
        <v>690</v>
      </c>
      <c r="AG765" t="s">
        <v>1222</v>
      </c>
      <c r="AH765">
        <v>0</v>
      </c>
      <c r="AI765">
        <v>748</v>
      </c>
      <c r="AJ765">
        <v>75</v>
      </c>
      <c r="AK765">
        <v>30</v>
      </c>
      <c r="AL765">
        <v>0.75</v>
      </c>
    </row>
    <row r="766" spans="1:38" x14ac:dyDescent="0.3">
      <c r="A766" t="s">
        <v>685</v>
      </c>
      <c r="B766">
        <v>123328</v>
      </c>
      <c r="C766">
        <v>2</v>
      </c>
      <c r="D766" t="s">
        <v>1219</v>
      </c>
      <c r="E766" t="s">
        <v>732</v>
      </c>
      <c r="F766">
        <v>40</v>
      </c>
      <c r="G766">
        <v>19.09</v>
      </c>
      <c r="H766">
        <v>63.13</v>
      </c>
      <c r="I766">
        <v>15.02</v>
      </c>
      <c r="J766">
        <v>49.68</v>
      </c>
      <c r="K766">
        <v>8</v>
      </c>
      <c r="T766">
        <v>3</v>
      </c>
      <c r="U766">
        <v>1</v>
      </c>
      <c r="V766" t="s">
        <v>93</v>
      </c>
      <c r="W766" t="s">
        <v>195</v>
      </c>
      <c r="X766">
        <v>9</v>
      </c>
      <c r="Y766">
        <v>9</v>
      </c>
      <c r="Z766" t="s">
        <v>1220</v>
      </c>
      <c r="AA766" t="s">
        <v>1221</v>
      </c>
      <c r="AB766" t="s">
        <v>96</v>
      </c>
      <c r="AC766" t="s">
        <v>97</v>
      </c>
      <c r="AD766" t="s">
        <v>690</v>
      </c>
      <c r="AG766" t="s">
        <v>1222</v>
      </c>
      <c r="AH766">
        <v>0</v>
      </c>
      <c r="AI766">
        <v>748</v>
      </c>
      <c r="AJ766">
        <v>75</v>
      </c>
      <c r="AK766">
        <v>30</v>
      </c>
      <c r="AL766">
        <v>0.75</v>
      </c>
    </row>
    <row r="767" spans="1:38" x14ac:dyDescent="0.3">
      <c r="A767" t="s">
        <v>685</v>
      </c>
      <c r="B767">
        <v>123328</v>
      </c>
      <c r="C767">
        <v>3</v>
      </c>
      <c r="D767" t="s">
        <v>1219</v>
      </c>
      <c r="E767" t="s">
        <v>732</v>
      </c>
      <c r="F767">
        <v>40</v>
      </c>
      <c r="G767">
        <v>19.53</v>
      </c>
      <c r="H767">
        <v>64.59</v>
      </c>
      <c r="I767">
        <v>15.01</v>
      </c>
      <c r="J767">
        <v>49.65</v>
      </c>
      <c r="K767">
        <v>8</v>
      </c>
      <c r="T767">
        <v>3</v>
      </c>
      <c r="U767">
        <v>1</v>
      </c>
      <c r="V767" t="s">
        <v>93</v>
      </c>
      <c r="W767" t="s">
        <v>279</v>
      </c>
      <c r="X767">
        <v>9</v>
      </c>
      <c r="Y767">
        <v>9</v>
      </c>
      <c r="Z767" t="s">
        <v>1220</v>
      </c>
      <c r="AA767" t="s">
        <v>1221</v>
      </c>
      <c r="AB767" t="s">
        <v>96</v>
      </c>
      <c r="AC767" t="s">
        <v>97</v>
      </c>
      <c r="AD767" t="s">
        <v>690</v>
      </c>
      <c r="AG767" t="s">
        <v>1222</v>
      </c>
      <c r="AH767">
        <v>0</v>
      </c>
      <c r="AI767">
        <v>748</v>
      </c>
      <c r="AJ767">
        <v>75</v>
      </c>
      <c r="AK767">
        <v>30</v>
      </c>
      <c r="AL767">
        <v>0.75</v>
      </c>
    </row>
    <row r="768" spans="1:38" x14ac:dyDescent="0.3">
      <c r="A768" t="s">
        <v>685</v>
      </c>
      <c r="B768">
        <v>123328</v>
      </c>
      <c r="C768">
        <v>4</v>
      </c>
      <c r="D768" t="s">
        <v>1219</v>
      </c>
      <c r="E768" t="s">
        <v>732</v>
      </c>
      <c r="F768">
        <v>40</v>
      </c>
      <c r="G768">
        <v>19.63</v>
      </c>
      <c r="H768">
        <v>64.900000000000006</v>
      </c>
      <c r="I768">
        <v>15.08</v>
      </c>
      <c r="J768">
        <v>49.86</v>
      </c>
      <c r="K768">
        <v>8</v>
      </c>
      <c r="T768">
        <v>3</v>
      </c>
      <c r="U768">
        <v>1</v>
      </c>
      <c r="V768" t="s">
        <v>93</v>
      </c>
      <c r="W768" t="s">
        <v>275</v>
      </c>
      <c r="X768">
        <v>9</v>
      </c>
      <c r="Y768">
        <v>9</v>
      </c>
      <c r="Z768" t="s">
        <v>1220</v>
      </c>
      <c r="AA768" t="s">
        <v>1221</v>
      </c>
      <c r="AB768" t="s">
        <v>96</v>
      </c>
      <c r="AC768" t="s">
        <v>97</v>
      </c>
      <c r="AD768" t="s">
        <v>690</v>
      </c>
      <c r="AG768" t="s">
        <v>1222</v>
      </c>
      <c r="AH768">
        <v>0</v>
      </c>
      <c r="AI768">
        <v>748</v>
      </c>
      <c r="AJ768">
        <v>75</v>
      </c>
      <c r="AK768">
        <v>30</v>
      </c>
      <c r="AL768">
        <v>0.75</v>
      </c>
    </row>
    <row r="769" spans="1:38" x14ac:dyDescent="0.3">
      <c r="A769" t="s">
        <v>685</v>
      </c>
      <c r="B769">
        <v>123328</v>
      </c>
      <c r="C769">
        <v>5</v>
      </c>
      <c r="D769" t="s">
        <v>1219</v>
      </c>
      <c r="E769" t="s">
        <v>732</v>
      </c>
      <c r="F769">
        <v>40</v>
      </c>
      <c r="G769">
        <v>19.36</v>
      </c>
      <c r="H769">
        <v>64.02</v>
      </c>
      <c r="I769">
        <v>15.07</v>
      </c>
      <c r="J769">
        <v>49.85</v>
      </c>
      <c r="K769">
        <v>8</v>
      </c>
      <c r="T769">
        <v>3</v>
      </c>
      <c r="U769">
        <v>1</v>
      </c>
      <c r="V769" t="s">
        <v>93</v>
      </c>
      <c r="W769" t="s">
        <v>467</v>
      </c>
      <c r="X769">
        <v>9</v>
      </c>
      <c r="Y769">
        <v>9</v>
      </c>
      <c r="Z769" t="s">
        <v>1220</v>
      </c>
      <c r="AA769" t="s">
        <v>1221</v>
      </c>
      <c r="AB769" t="s">
        <v>96</v>
      </c>
      <c r="AC769" t="s">
        <v>97</v>
      </c>
      <c r="AD769" t="s">
        <v>690</v>
      </c>
      <c r="AG769" t="s">
        <v>1222</v>
      </c>
      <c r="AH769">
        <v>0</v>
      </c>
      <c r="AI769">
        <v>748</v>
      </c>
      <c r="AJ769">
        <v>75</v>
      </c>
      <c r="AK769">
        <v>30</v>
      </c>
      <c r="AL769">
        <v>0.75</v>
      </c>
    </row>
    <row r="770" spans="1:38" x14ac:dyDescent="0.3">
      <c r="A770" t="s">
        <v>685</v>
      </c>
      <c r="B770">
        <v>10805</v>
      </c>
      <c r="C770">
        <v>1</v>
      </c>
      <c r="D770" t="s">
        <v>1223</v>
      </c>
      <c r="E770" t="s">
        <v>1224</v>
      </c>
      <c r="F770">
        <v>88</v>
      </c>
      <c r="G770">
        <v>34.200000000000003</v>
      </c>
      <c r="H770">
        <v>113.06</v>
      </c>
      <c r="I770">
        <v>26.44</v>
      </c>
      <c r="J770">
        <v>87.42</v>
      </c>
      <c r="K770">
        <v>31</v>
      </c>
      <c r="T770">
        <v>3</v>
      </c>
      <c r="U770">
        <v>2</v>
      </c>
      <c r="V770" t="s">
        <v>132</v>
      </c>
      <c r="W770">
        <v>113</v>
      </c>
      <c r="X770">
        <v>15</v>
      </c>
      <c r="Y770">
        <v>15</v>
      </c>
      <c r="Z770" t="s">
        <v>1225</v>
      </c>
      <c r="AA770" t="s">
        <v>1226</v>
      </c>
      <c r="AB770" t="s">
        <v>96</v>
      </c>
      <c r="AC770" t="s">
        <v>97</v>
      </c>
      <c r="AD770" t="s">
        <v>690</v>
      </c>
      <c r="AG770" t="s">
        <v>1227</v>
      </c>
      <c r="AH770">
        <v>0</v>
      </c>
      <c r="AI770">
        <v>534</v>
      </c>
      <c r="AJ770">
        <v>59</v>
      </c>
      <c r="AK770">
        <v>56</v>
      </c>
      <c r="AL770">
        <v>0.64</v>
      </c>
    </row>
    <row r="771" spans="1:38" x14ac:dyDescent="0.3">
      <c r="A771" t="s">
        <v>685</v>
      </c>
      <c r="B771">
        <v>10805</v>
      </c>
      <c r="C771">
        <v>2</v>
      </c>
      <c r="D771" t="s">
        <v>1223</v>
      </c>
      <c r="E771" t="s">
        <v>1224</v>
      </c>
      <c r="F771">
        <v>88</v>
      </c>
      <c r="G771">
        <v>35.479999999999997</v>
      </c>
      <c r="H771">
        <v>117.29</v>
      </c>
      <c r="I771">
        <v>27.43</v>
      </c>
      <c r="J771">
        <v>90.69</v>
      </c>
      <c r="K771">
        <v>30</v>
      </c>
      <c r="T771">
        <v>3</v>
      </c>
      <c r="U771">
        <v>2</v>
      </c>
      <c r="V771" t="s">
        <v>132</v>
      </c>
      <c r="W771" t="s">
        <v>1228</v>
      </c>
      <c r="X771">
        <v>15</v>
      </c>
      <c r="Y771">
        <v>15</v>
      </c>
      <c r="Z771" t="s">
        <v>1225</v>
      </c>
      <c r="AA771" t="s">
        <v>1226</v>
      </c>
      <c r="AB771" t="s">
        <v>96</v>
      </c>
      <c r="AC771" t="s">
        <v>97</v>
      </c>
      <c r="AD771" t="s">
        <v>690</v>
      </c>
      <c r="AG771" t="s">
        <v>1227</v>
      </c>
      <c r="AH771">
        <v>0</v>
      </c>
      <c r="AI771">
        <v>534</v>
      </c>
      <c r="AJ771">
        <v>59</v>
      </c>
      <c r="AK771">
        <v>56</v>
      </c>
      <c r="AL771">
        <v>0.64</v>
      </c>
    </row>
    <row r="772" spans="1:38" x14ac:dyDescent="0.3">
      <c r="A772" t="s">
        <v>685</v>
      </c>
      <c r="B772">
        <v>10805</v>
      </c>
      <c r="C772">
        <v>3</v>
      </c>
      <c r="D772" t="s">
        <v>1223</v>
      </c>
      <c r="E772" t="s">
        <v>1224</v>
      </c>
      <c r="F772">
        <v>88</v>
      </c>
      <c r="G772">
        <v>35.479999999999997</v>
      </c>
      <c r="H772">
        <v>117.29</v>
      </c>
      <c r="I772">
        <v>27.43</v>
      </c>
      <c r="J772">
        <v>90.69</v>
      </c>
      <c r="K772">
        <v>1</v>
      </c>
      <c r="T772">
        <v>3</v>
      </c>
      <c r="U772">
        <v>2</v>
      </c>
      <c r="V772" t="s">
        <v>132</v>
      </c>
      <c r="W772" t="s">
        <v>1229</v>
      </c>
      <c r="X772">
        <v>15</v>
      </c>
      <c r="Y772">
        <v>15</v>
      </c>
      <c r="Z772" t="s">
        <v>1225</v>
      </c>
      <c r="AA772" t="s">
        <v>1226</v>
      </c>
      <c r="AB772" t="s">
        <v>96</v>
      </c>
      <c r="AC772" t="s">
        <v>97</v>
      </c>
      <c r="AD772" t="s">
        <v>690</v>
      </c>
      <c r="AG772" t="s">
        <v>1227</v>
      </c>
      <c r="AH772">
        <v>0</v>
      </c>
      <c r="AI772">
        <v>534</v>
      </c>
      <c r="AJ772">
        <v>59</v>
      </c>
      <c r="AK772">
        <v>56</v>
      </c>
      <c r="AL772">
        <v>0.64</v>
      </c>
    </row>
    <row r="773" spans="1:38" x14ac:dyDescent="0.3">
      <c r="A773" t="s">
        <v>685</v>
      </c>
      <c r="B773">
        <v>10805</v>
      </c>
      <c r="C773">
        <v>4</v>
      </c>
      <c r="D773" t="s">
        <v>1223</v>
      </c>
      <c r="E773" t="s">
        <v>1224</v>
      </c>
      <c r="F773">
        <v>88</v>
      </c>
      <c r="G773">
        <v>48.15</v>
      </c>
      <c r="H773">
        <v>159.19999999999999</v>
      </c>
      <c r="I773">
        <v>37.24</v>
      </c>
      <c r="J773">
        <v>123.11</v>
      </c>
      <c r="K773">
        <v>9</v>
      </c>
      <c r="T773">
        <v>4</v>
      </c>
      <c r="U773">
        <v>2</v>
      </c>
      <c r="V773" t="s">
        <v>132</v>
      </c>
      <c r="W773">
        <v>159</v>
      </c>
      <c r="X773">
        <v>15</v>
      </c>
      <c r="Y773">
        <v>15</v>
      </c>
      <c r="Z773" t="s">
        <v>1225</v>
      </c>
      <c r="AA773" t="s">
        <v>1226</v>
      </c>
      <c r="AB773" t="s">
        <v>96</v>
      </c>
      <c r="AC773" t="s">
        <v>97</v>
      </c>
      <c r="AD773" t="s">
        <v>690</v>
      </c>
      <c r="AG773" t="s">
        <v>1227</v>
      </c>
      <c r="AH773">
        <v>0</v>
      </c>
      <c r="AI773">
        <v>534</v>
      </c>
      <c r="AJ773">
        <v>59</v>
      </c>
      <c r="AK773">
        <v>56</v>
      </c>
      <c r="AL773">
        <v>0.64</v>
      </c>
    </row>
    <row r="774" spans="1:38" x14ac:dyDescent="0.3">
      <c r="A774" t="s">
        <v>685</v>
      </c>
      <c r="B774">
        <v>10805</v>
      </c>
      <c r="C774">
        <v>5</v>
      </c>
      <c r="D774" t="s">
        <v>1223</v>
      </c>
      <c r="E774" t="s">
        <v>1224</v>
      </c>
      <c r="F774">
        <v>88</v>
      </c>
      <c r="G774">
        <v>48.55</v>
      </c>
      <c r="H774">
        <v>160.51</v>
      </c>
      <c r="I774">
        <v>37.54</v>
      </c>
      <c r="J774">
        <v>124.1</v>
      </c>
      <c r="K774">
        <v>9</v>
      </c>
      <c r="T774">
        <v>4</v>
      </c>
      <c r="U774">
        <v>2</v>
      </c>
      <c r="V774" t="s">
        <v>132</v>
      </c>
      <c r="W774">
        <v>160</v>
      </c>
      <c r="X774">
        <v>15</v>
      </c>
      <c r="Y774">
        <v>15</v>
      </c>
      <c r="Z774" t="s">
        <v>1225</v>
      </c>
      <c r="AA774" t="s">
        <v>1226</v>
      </c>
      <c r="AB774" t="s">
        <v>96</v>
      </c>
      <c r="AC774" t="s">
        <v>97</v>
      </c>
      <c r="AD774" t="s">
        <v>690</v>
      </c>
      <c r="AG774" t="s">
        <v>1227</v>
      </c>
      <c r="AH774">
        <v>0</v>
      </c>
      <c r="AI774">
        <v>534</v>
      </c>
      <c r="AJ774">
        <v>59</v>
      </c>
      <c r="AK774">
        <v>56</v>
      </c>
      <c r="AL774">
        <v>0.64</v>
      </c>
    </row>
    <row r="775" spans="1:38" x14ac:dyDescent="0.3">
      <c r="A775" t="s">
        <v>685</v>
      </c>
      <c r="B775">
        <v>10805</v>
      </c>
      <c r="C775">
        <v>6</v>
      </c>
      <c r="D775" t="s">
        <v>1223</v>
      </c>
      <c r="E775" t="s">
        <v>1224</v>
      </c>
      <c r="F775">
        <v>88</v>
      </c>
      <c r="G775">
        <v>50.54</v>
      </c>
      <c r="H775">
        <v>167.09</v>
      </c>
      <c r="I775">
        <v>39.07</v>
      </c>
      <c r="J775">
        <v>129.19</v>
      </c>
      <c r="K775">
        <v>1</v>
      </c>
      <c r="T775">
        <v>4</v>
      </c>
      <c r="U775">
        <v>2</v>
      </c>
      <c r="V775" t="s">
        <v>211</v>
      </c>
      <c r="W775">
        <v>167</v>
      </c>
      <c r="X775">
        <v>15</v>
      </c>
      <c r="Y775">
        <v>15</v>
      </c>
      <c r="Z775" t="s">
        <v>1225</v>
      </c>
      <c r="AA775" t="s">
        <v>1226</v>
      </c>
      <c r="AB775" t="s">
        <v>96</v>
      </c>
      <c r="AC775" t="s">
        <v>97</v>
      </c>
      <c r="AD775" t="s">
        <v>690</v>
      </c>
      <c r="AG775" t="s">
        <v>1227</v>
      </c>
      <c r="AH775">
        <v>0</v>
      </c>
      <c r="AI775">
        <v>534</v>
      </c>
      <c r="AJ775">
        <v>59</v>
      </c>
      <c r="AK775">
        <v>56</v>
      </c>
      <c r="AL775">
        <v>0.64</v>
      </c>
    </row>
    <row r="776" spans="1:38" x14ac:dyDescent="0.3">
      <c r="A776" t="s">
        <v>685</v>
      </c>
      <c r="B776">
        <v>10805</v>
      </c>
      <c r="C776">
        <v>7</v>
      </c>
      <c r="D776" t="s">
        <v>1223</v>
      </c>
      <c r="E776" t="s">
        <v>1224</v>
      </c>
      <c r="F776">
        <v>88</v>
      </c>
      <c r="G776">
        <v>57.44</v>
      </c>
      <c r="H776">
        <v>189.89</v>
      </c>
      <c r="I776">
        <v>44.41</v>
      </c>
      <c r="J776">
        <v>146.82</v>
      </c>
      <c r="K776">
        <v>3</v>
      </c>
      <c r="T776">
        <v>4</v>
      </c>
      <c r="U776">
        <v>2</v>
      </c>
      <c r="V776" t="s">
        <v>132</v>
      </c>
      <c r="W776">
        <v>189</v>
      </c>
      <c r="X776">
        <v>15</v>
      </c>
      <c r="Y776">
        <v>15</v>
      </c>
      <c r="Z776" t="s">
        <v>1225</v>
      </c>
      <c r="AA776" t="s">
        <v>1226</v>
      </c>
      <c r="AB776" t="s">
        <v>96</v>
      </c>
      <c r="AC776" t="s">
        <v>97</v>
      </c>
      <c r="AD776" t="s">
        <v>690</v>
      </c>
      <c r="AG776" t="s">
        <v>1227</v>
      </c>
      <c r="AH776">
        <v>0</v>
      </c>
      <c r="AI776">
        <v>534</v>
      </c>
      <c r="AJ776">
        <v>59</v>
      </c>
      <c r="AK776">
        <v>56</v>
      </c>
      <c r="AL776">
        <v>0.64</v>
      </c>
    </row>
    <row r="777" spans="1:38" x14ac:dyDescent="0.3">
      <c r="A777" t="s">
        <v>685</v>
      </c>
      <c r="B777">
        <v>10805</v>
      </c>
      <c r="C777">
        <v>8</v>
      </c>
      <c r="D777" t="s">
        <v>1223</v>
      </c>
      <c r="E777" t="s">
        <v>1224</v>
      </c>
      <c r="F777">
        <v>88</v>
      </c>
      <c r="G777">
        <v>59.34</v>
      </c>
      <c r="H777">
        <v>196.18</v>
      </c>
      <c r="I777">
        <v>45.88</v>
      </c>
      <c r="J777">
        <v>151.68</v>
      </c>
      <c r="K777">
        <v>2</v>
      </c>
      <c r="T777">
        <v>4</v>
      </c>
      <c r="U777">
        <v>2</v>
      </c>
      <c r="V777" t="s">
        <v>132</v>
      </c>
      <c r="W777">
        <v>196</v>
      </c>
      <c r="X777">
        <v>15</v>
      </c>
      <c r="Y777">
        <v>15</v>
      </c>
      <c r="Z777" t="s">
        <v>1225</v>
      </c>
      <c r="AA777" t="s">
        <v>1226</v>
      </c>
      <c r="AB777" t="s">
        <v>96</v>
      </c>
      <c r="AC777" t="s">
        <v>97</v>
      </c>
      <c r="AD777" t="s">
        <v>690</v>
      </c>
      <c r="AG777" t="s">
        <v>1227</v>
      </c>
      <c r="AH777">
        <v>0</v>
      </c>
      <c r="AI777">
        <v>534</v>
      </c>
      <c r="AJ777">
        <v>59</v>
      </c>
      <c r="AK777">
        <v>56</v>
      </c>
      <c r="AL777">
        <v>0.64</v>
      </c>
    </row>
    <row r="778" spans="1:38" x14ac:dyDescent="0.3">
      <c r="A778" t="s">
        <v>685</v>
      </c>
      <c r="B778">
        <v>10805</v>
      </c>
      <c r="C778">
        <v>9</v>
      </c>
      <c r="D778" t="s">
        <v>1223</v>
      </c>
      <c r="E778" t="s">
        <v>1224</v>
      </c>
      <c r="F778">
        <v>88</v>
      </c>
      <c r="G778">
        <v>71.790000000000006</v>
      </c>
      <c r="H778">
        <v>237.33</v>
      </c>
      <c r="I778">
        <v>55.5</v>
      </c>
      <c r="J778">
        <v>183.5</v>
      </c>
      <c r="K778">
        <v>1</v>
      </c>
      <c r="T778">
        <v>5</v>
      </c>
      <c r="U778">
        <v>3</v>
      </c>
      <c r="V778" t="s">
        <v>132</v>
      </c>
      <c r="W778" t="s">
        <v>1230</v>
      </c>
      <c r="X778">
        <v>15</v>
      </c>
      <c r="Y778">
        <v>15</v>
      </c>
      <c r="Z778" t="s">
        <v>1225</v>
      </c>
      <c r="AA778" t="s">
        <v>1226</v>
      </c>
      <c r="AB778" t="s">
        <v>96</v>
      </c>
      <c r="AC778" t="s">
        <v>97</v>
      </c>
      <c r="AD778" t="s">
        <v>690</v>
      </c>
      <c r="AG778" t="s">
        <v>1227</v>
      </c>
      <c r="AH778">
        <v>0</v>
      </c>
      <c r="AI778">
        <v>534</v>
      </c>
      <c r="AJ778">
        <v>59</v>
      </c>
      <c r="AK778">
        <v>56</v>
      </c>
      <c r="AL778">
        <v>0.64</v>
      </c>
    </row>
    <row r="779" spans="1:38" x14ac:dyDescent="0.3">
      <c r="A779" t="s">
        <v>685</v>
      </c>
      <c r="B779">
        <v>10805</v>
      </c>
      <c r="C779">
        <v>10</v>
      </c>
      <c r="D779" t="s">
        <v>1223</v>
      </c>
      <c r="E779" t="s">
        <v>1224</v>
      </c>
      <c r="F779">
        <v>88</v>
      </c>
      <c r="G779">
        <v>72.05</v>
      </c>
      <c r="H779">
        <v>238.19</v>
      </c>
      <c r="I779">
        <v>55.7</v>
      </c>
      <c r="J779">
        <v>184.16</v>
      </c>
      <c r="K779">
        <v>1</v>
      </c>
      <c r="T779">
        <v>5</v>
      </c>
      <c r="U779">
        <v>3</v>
      </c>
      <c r="V779" t="s">
        <v>132</v>
      </c>
      <c r="W779" t="s">
        <v>1231</v>
      </c>
      <c r="X779">
        <v>15</v>
      </c>
      <c r="Y779">
        <v>15</v>
      </c>
      <c r="Z779" t="s">
        <v>1225</v>
      </c>
      <c r="AA779" t="s">
        <v>1226</v>
      </c>
      <c r="AB779" t="s">
        <v>96</v>
      </c>
      <c r="AC779" t="s">
        <v>97</v>
      </c>
      <c r="AD779" t="s">
        <v>690</v>
      </c>
      <c r="AG779" t="s">
        <v>1227</v>
      </c>
      <c r="AH779">
        <v>0</v>
      </c>
      <c r="AI779">
        <v>534</v>
      </c>
      <c r="AJ779">
        <v>59</v>
      </c>
      <c r="AK779">
        <v>56</v>
      </c>
      <c r="AL779">
        <v>0.64</v>
      </c>
    </row>
    <row r="780" spans="1:38" x14ac:dyDescent="0.3">
      <c r="A780" t="s">
        <v>685</v>
      </c>
      <c r="B780">
        <v>122273</v>
      </c>
      <c r="C780">
        <v>1</v>
      </c>
      <c r="D780" t="s">
        <v>1232</v>
      </c>
      <c r="E780" t="s">
        <v>1233</v>
      </c>
      <c r="F780">
        <v>20</v>
      </c>
      <c r="G780">
        <v>20.21</v>
      </c>
      <c r="H780">
        <v>66.819999999999993</v>
      </c>
      <c r="I780">
        <v>17.63</v>
      </c>
      <c r="J780">
        <v>58.31</v>
      </c>
      <c r="K780">
        <v>2</v>
      </c>
      <c r="T780">
        <v>3</v>
      </c>
      <c r="U780">
        <v>2</v>
      </c>
      <c r="V780" t="s">
        <v>93</v>
      </c>
      <c r="W780">
        <v>66</v>
      </c>
      <c r="X780">
        <v>10</v>
      </c>
      <c r="Y780">
        <v>10</v>
      </c>
      <c r="Z780" t="s">
        <v>1234</v>
      </c>
      <c r="AA780" t="s">
        <v>1235</v>
      </c>
      <c r="AB780" t="s">
        <v>96</v>
      </c>
      <c r="AC780" t="s">
        <v>97</v>
      </c>
      <c r="AD780" t="s">
        <v>690</v>
      </c>
      <c r="AG780" t="s">
        <v>1236</v>
      </c>
      <c r="AH780">
        <v>0</v>
      </c>
      <c r="AI780">
        <v>648</v>
      </c>
      <c r="AJ780">
        <v>73</v>
      </c>
      <c r="AK780">
        <v>20</v>
      </c>
      <c r="AL780">
        <v>1</v>
      </c>
    </row>
    <row r="781" spans="1:38" x14ac:dyDescent="0.3">
      <c r="A781" t="s">
        <v>685</v>
      </c>
      <c r="B781">
        <v>122273</v>
      </c>
      <c r="C781">
        <v>2</v>
      </c>
      <c r="D781" t="s">
        <v>1232</v>
      </c>
      <c r="E781" t="s">
        <v>1233</v>
      </c>
      <c r="F781">
        <v>20</v>
      </c>
      <c r="G781">
        <v>20.7</v>
      </c>
      <c r="H781">
        <v>68.44</v>
      </c>
      <c r="I781">
        <v>18.059999999999999</v>
      </c>
      <c r="J781">
        <v>59.72</v>
      </c>
      <c r="K781">
        <v>2</v>
      </c>
      <c r="T781">
        <v>3</v>
      </c>
      <c r="U781">
        <v>2</v>
      </c>
      <c r="V781" t="s">
        <v>93</v>
      </c>
      <c r="W781" t="s">
        <v>230</v>
      </c>
      <c r="X781">
        <v>10</v>
      </c>
      <c r="Y781">
        <v>10</v>
      </c>
      <c r="Z781" t="s">
        <v>1234</v>
      </c>
      <c r="AA781" t="s">
        <v>1235</v>
      </c>
      <c r="AB781" t="s">
        <v>96</v>
      </c>
      <c r="AC781" t="s">
        <v>97</v>
      </c>
      <c r="AD781" t="s">
        <v>690</v>
      </c>
      <c r="AG781" t="s">
        <v>1236</v>
      </c>
      <c r="AH781">
        <v>0</v>
      </c>
      <c r="AI781">
        <v>648</v>
      </c>
      <c r="AJ781">
        <v>73</v>
      </c>
      <c r="AK781">
        <v>20</v>
      </c>
      <c r="AL781">
        <v>1</v>
      </c>
    </row>
    <row r="782" spans="1:38" x14ac:dyDescent="0.3">
      <c r="A782" t="s">
        <v>685</v>
      </c>
      <c r="B782">
        <v>122273</v>
      </c>
      <c r="C782">
        <v>3</v>
      </c>
      <c r="D782" t="s">
        <v>1232</v>
      </c>
      <c r="E782" t="s">
        <v>1233</v>
      </c>
      <c r="F782">
        <v>20</v>
      </c>
      <c r="G782">
        <v>21.02</v>
      </c>
      <c r="H782">
        <v>69.489999999999995</v>
      </c>
      <c r="I782">
        <v>18.34</v>
      </c>
      <c r="J782">
        <v>60.64</v>
      </c>
      <c r="K782">
        <v>2</v>
      </c>
      <c r="T782">
        <v>3</v>
      </c>
      <c r="U782">
        <v>2</v>
      </c>
      <c r="V782" t="s">
        <v>93</v>
      </c>
      <c r="W782" t="s">
        <v>1193</v>
      </c>
      <c r="X782">
        <v>10</v>
      </c>
      <c r="Y782">
        <v>10</v>
      </c>
      <c r="Z782" t="s">
        <v>1234</v>
      </c>
      <c r="AA782" t="s">
        <v>1235</v>
      </c>
      <c r="AB782" t="s">
        <v>96</v>
      </c>
      <c r="AC782" t="s">
        <v>97</v>
      </c>
      <c r="AD782" t="s">
        <v>690</v>
      </c>
      <c r="AG782" t="s">
        <v>1236</v>
      </c>
      <c r="AH782">
        <v>0</v>
      </c>
      <c r="AI782">
        <v>648</v>
      </c>
      <c r="AJ782">
        <v>73</v>
      </c>
      <c r="AK782">
        <v>20</v>
      </c>
      <c r="AL782">
        <v>1</v>
      </c>
    </row>
    <row r="783" spans="1:38" x14ac:dyDescent="0.3">
      <c r="A783" t="s">
        <v>685</v>
      </c>
      <c r="B783">
        <v>122273</v>
      </c>
      <c r="C783">
        <v>4</v>
      </c>
      <c r="D783" t="s">
        <v>1232</v>
      </c>
      <c r="E783" t="s">
        <v>1233</v>
      </c>
      <c r="F783">
        <v>20</v>
      </c>
      <c r="G783">
        <v>21.25</v>
      </c>
      <c r="H783">
        <v>70.28</v>
      </c>
      <c r="I783">
        <v>18.059999999999999</v>
      </c>
      <c r="J783">
        <v>59.72</v>
      </c>
      <c r="K783">
        <v>3</v>
      </c>
      <c r="T783">
        <v>3</v>
      </c>
      <c r="U783">
        <v>2</v>
      </c>
      <c r="V783" t="s">
        <v>93</v>
      </c>
      <c r="W783" t="s">
        <v>979</v>
      </c>
      <c r="X783">
        <v>10</v>
      </c>
      <c r="Y783">
        <v>10</v>
      </c>
      <c r="Z783" t="s">
        <v>1234</v>
      </c>
      <c r="AA783" t="s">
        <v>1235</v>
      </c>
      <c r="AB783" t="s">
        <v>96</v>
      </c>
      <c r="AC783" t="s">
        <v>97</v>
      </c>
      <c r="AD783" t="s">
        <v>690</v>
      </c>
      <c r="AG783" t="s">
        <v>1236</v>
      </c>
      <c r="AH783">
        <v>0</v>
      </c>
      <c r="AI783">
        <v>648</v>
      </c>
      <c r="AJ783">
        <v>73</v>
      </c>
      <c r="AK783">
        <v>20</v>
      </c>
      <c r="AL783">
        <v>1</v>
      </c>
    </row>
    <row r="784" spans="1:38" x14ac:dyDescent="0.3">
      <c r="A784" t="s">
        <v>685</v>
      </c>
      <c r="B784">
        <v>122273</v>
      </c>
      <c r="C784">
        <v>5</v>
      </c>
      <c r="D784" t="s">
        <v>1232</v>
      </c>
      <c r="E784" t="s">
        <v>1233</v>
      </c>
      <c r="F784">
        <v>20</v>
      </c>
      <c r="G784">
        <v>21.4</v>
      </c>
      <c r="H784">
        <v>70.75</v>
      </c>
      <c r="I784">
        <v>18.12</v>
      </c>
      <c r="J784">
        <v>59.91</v>
      </c>
      <c r="K784">
        <v>3</v>
      </c>
      <c r="T784">
        <v>3</v>
      </c>
      <c r="U784">
        <v>2</v>
      </c>
      <c r="V784" t="s">
        <v>93</v>
      </c>
      <c r="W784" t="s">
        <v>1194</v>
      </c>
      <c r="X784">
        <v>10</v>
      </c>
      <c r="Y784">
        <v>10</v>
      </c>
      <c r="Z784" t="s">
        <v>1234</v>
      </c>
      <c r="AA784" t="s">
        <v>1235</v>
      </c>
      <c r="AB784" t="s">
        <v>96</v>
      </c>
      <c r="AC784" t="s">
        <v>97</v>
      </c>
      <c r="AD784" t="s">
        <v>690</v>
      </c>
      <c r="AG784" t="s">
        <v>1236</v>
      </c>
      <c r="AH784">
        <v>0</v>
      </c>
      <c r="AI784">
        <v>648</v>
      </c>
      <c r="AJ784">
        <v>73</v>
      </c>
      <c r="AK784">
        <v>20</v>
      </c>
      <c r="AL784">
        <v>1</v>
      </c>
    </row>
    <row r="785" spans="1:38" x14ac:dyDescent="0.3">
      <c r="A785" t="s">
        <v>685</v>
      </c>
      <c r="B785">
        <v>122273</v>
      </c>
      <c r="C785">
        <v>6</v>
      </c>
      <c r="D785" t="s">
        <v>1232</v>
      </c>
      <c r="E785" t="s">
        <v>1233</v>
      </c>
      <c r="F785">
        <v>20</v>
      </c>
      <c r="G785">
        <v>21.25</v>
      </c>
      <c r="H785">
        <v>70.25</v>
      </c>
      <c r="I785">
        <v>18.54</v>
      </c>
      <c r="J785">
        <v>61.3</v>
      </c>
      <c r="K785">
        <v>2</v>
      </c>
      <c r="T785">
        <v>3</v>
      </c>
      <c r="U785">
        <v>2</v>
      </c>
      <c r="V785" t="s">
        <v>93</v>
      </c>
      <c r="W785" t="s">
        <v>1237</v>
      </c>
      <c r="X785">
        <v>10</v>
      </c>
      <c r="Y785">
        <v>10</v>
      </c>
      <c r="Z785" t="s">
        <v>1234</v>
      </c>
      <c r="AA785" t="s">
        <v>1235</v>
      </c>
      <c r="AB785" t="s">
        <v>96</v>
      </c>
      <c r="AC785" t="s">
        <v>97</v>
      </c>
      <c r="AD785" t="s">
        <v>690</v>
      </c>
      <c r="AG785" t="s">
        <v>1236</v>
      </c>
      <c r="AH785">
        <v>0</v>
      </c>
      <c r="AI785">
        <v>648</v>
      </c>
      <c r="AJ785">
        <v>73</v>
      </c>
      <c r="AK785">
        <v>20</v>
      </c>
      <c r="AL785">
        <v>1</v>
      </c>
    </row>
    <row r="786" spans="1:38" x14ac:dyDescent="0.3">
      <c r="A786" t="s">
        <v>685</v>
      </c>
      <c r="B786">
        <v>122273</v>
      </c>
      <c r="C786">
        <v>7</v>
      </c>
      <c r="D786" t="s">
        <v>1232</v>
      </c>
      <c r="E786" t="s">
        <v>1233</v>
      </c>
      <c r="F786">
        <v>20</v>
      </c>
      <c r="G786">
        <v>21.93</v>
      </c>
      <c r="H786">
        <v>72.5</v>
      </c>
      <c r="I786">
        <v>18.79</v>
      </c>
      <c r="J786">
        <v>62.12</v>
      </c>
      <c r="K786">
        <v>6</v>
      </c>
      <c r="T786">
        <v>3</v>
      </c>
      <c r="U786">
        <v>2</v>
      </c>
      <c r="V786" t="s">
        <v>93</v>
      </c>
      <c r="W786">
        <v>72</v>
      </c>
      <c r="X786">
        <v>10</v>
      </c>
      <c r="Y786">
        <v>10</v>
      </c>
      <c r="Z786" t="s">
        <v>1234</v>
      </c>
      <c r="AA786" t="s">
        <v>1235</v>
      </c>
      <c r="AB786" t="s">
        <v>96</v>
      </c>
      <c r="AC786" t="s">
        <v>97</v>
      </c>
      <c r="AD786" t="s">
        <v>690</v>
      </c>
      <c r="AG786" t="s">
        <v>1236</v>
      </c>
      <c r="AH786">
        <v>0</v>
      </c>
      <c r="AI786">
        <v>648</v>
      </c>
      <c r="AJ786">
        <v>73</v>
      </c>
      <c r="AK786">
        <v>20</v>
      </c>
      <c r="AL786">
        <v>1</v>
      </c>
    </row>
    <row r="787" spans="1:38" x14ac:dyDescent="0.3">
      <c r="A787" t="s">
        <v>685</v>
      </c>
      <c r="B787">
        <v>126868</v>
      </c>
      <c r="C787">
        <v>1</v>
      </c>
      <c r="D787" t="s">
        <v>1238</v>
      </c>
      <c r="E787" t="s">
        <v>1239</v>
      </c>
      <c r="F787">
        <v>7</v>
      </c>
      <c r="G787">
        <v>19.899999999999999</v>
      </c>
      <c r="H787">
        <v>65.81</v>
      </c>
      <c r="I787">
        <v>18.27</v>
      </c>
      <c r="J787">
        <v>60.42</v>
      </c>
      <c r="K787">
        <v>1</v>
      </c>
      <c r="T787">
        <v>3</v>
      </c>
      <c r="U787">
        <v>2</v>
      </c>
      <c r="V787" t="s">
        <v>93</v>
      </c>
      <c r="W787">
        <v>65</v>
      </c>
      <c r="X787">
        <v>10</v>
      </c>
      <c r="Y787">
        <v>8</v>
      </c>
      <c r="Z787" t="s">
        <v>1240</v>
      </c>
      <c r="AA787" t="s">
        <v>1241</v>
      </c>
      <c r="AB787" t="s">
        <v>96</v>
      </c>
      <c r="AC787" t="s">
        <v>97</v>
      </c>
      <c r="AD787" t="s">
        <v>690</v>
      </c>
      <c r="AG787" t="s">
        <v>1242</v>
      </c>
      <c r="AH787">
        <v>0</v>
      </c>
      <c r="AI787">
        <v>634</v>
      </c>
      <c r="AJ787">
        <v>75</v>
      </c>
      <c r="AK787">
        <v>6</v>
      </c>
      <c r="AL787">
        <v>0.86</v>
      </c>
    </row>
    <row r="788" spans="1:38" x14ac:dyDescent="0.3">
      <c r="A788" t="s">
        <v>685</v>
      </c>
      <c r="B788">
        <v>126868</v>
      </c>
      <c r="C788">
        <v>2</v>
      </c>
      <c r="D788" t="s">
        <v>1238</v>
      </c>
      <c r="E788" t="s">
        <v>1239</v>
      </c>
      <c r="F788">
        <v>7</v>
      </c>
      <c r="G788">
        <v>20.65</v>
      </c>
      <c r="H788">
        <v>68.27</v>
      </c>
      <c r="I788">
        <v>18.53</v>
      </c>
      <c r="J788">
        <v>61.28</v>
      </c>
      <c r="K788">
        <v>1</v>
      </c>
      <c r="T788">
        <v>3</v>
      </c>
      <c r="U788">
        <v>2</v>
      </c>
      <c r="V788" t="s">
        <v>93</v>
      </c>
      <c r="W788">
        <v>68</v>
      </c>
      <c r="X788">
        <v>10</v>
      </c>
      <c r="Y788">
        <v>8</v>
      </c>
      <c r="Z788" t="s">
        <v>1240</v>
      </c>
      <c r="AA788" t="s">
        <v>1241</v>
      </c>
      <c r="AB788" t="s">
        <v>96</v>
      </c>
      <c r="AC788" t="s">
        <v>97</v>
      </c>
      <c r="AD788" t="s">
        <v>690</v>
      </c>
      <c r="AG788" t="s">
        <v>1242</v>
      </c>
      <c r="AH788">
        <v>0</v>
      </c>
      <c r="AI788">
        <v>634</v>
      </c>
      <c r="AJ788">
        <v>75</v>
      </c>
      <c r="AK788">
        <v>6</v>
      </c>
      <c r="AL788">
        <v>0.86</v>
      </c>
    </row>
    <row r="789" spans="1:38" x14ac:dyDescent="0.3">
      <c r="A789" t="s">
        <v>685</v>
      </c>
      <c r="B789">
        <v>126868</v>
      </c>
      <c r="C789">
        <v>3</v>
      </c>
      <c r="D789" t="s">
        <v>1238</v>
      </c>
      <c r="E789" t="s">
        <v>1239</v>
      </c>
      <c r="F789">
        <v>7</v>
      </c>
      <c r="G789">
        <v>21.93</v>
      </c>
      <c r="H789">
        <v>72.5</v>
      </c>
      <c r="I789">
        <v>19.68</v>
      </c>
      <c r="J789">
        <v>65.08</v>
      </c>
      <c r="K789">
        <v>1</v>
      </c>
      <c r="T789">
        <v>3</v>
      </c>
      <c r="U789">
        <v>2</v>
      </c>
      <c r="V789" t="s">
        <v>93</v>
      </c>
      <c r="W789" t="s">
        <v>296</v>
      </c>
      <c r="X789">
        <v>10</v>
      </c>
      <c r="Y789">
        <v>8</v>
      </c>
      <c r="Z789" t="s">
        <v>1240</v>
      </c>
      <c r="AA789" t="s">
        <v>1241</v>
      </c>
      <c r="AB789" t="s">
        <v>96</v>
      </c>
      <c r="AC789" t="s">
        <v>97</v>
      </c>
      <c r="AD789" t="s">
        <v>690</v>
      </c>
      <c r="AG789" t="s">
        <v>1242</v>
      </c>
      <c r="AH789">
        <v>0</v>
      </c>
      <c r="AI789">
        <v>634</v>
      </c>
      <c r="AJ789">
        <v>75</v>
      </c>
      <c r="AK789">
        <v>6</v>
      </c>
      <c r="AL789">
        <v>0.86</v>
      </c>
    </row>
    <row r="790" spans="1:38" x14ac:dyDescent="0.3">
      <c r="A790" t="s">
        <v>685</v>
      </c>
      <c r="B790">
        <v>126868</v>
      </c>
      <c r="C790">
        <v>4</v>
      </c>
      <c r="D790" t="s">
        <v>1238</v>
      </c>
      <c r="E790" t="s">
        <v>1239</v>
      </c>
      <c r="F790">
        <v>7</v>
      </c>
      <c r="G790">
        <v>22.18</v>
      </c>
      <c r="H790">
        <v>73.349999999999994</v>
      </c>
      <c r="I790">
        <v>19.91</v>
      </c>
      <c r="J790">
        <v>65.84</v>
      </c>
      <c r="K790">
        <v>2</v>
      </c>
      <c r="T790">
        <v>3</v>
      </c>
      <c r="U790">
        <v>2</v>
      </c>
      <c r="V790" t="s">
        <v>93</v>
      </c>
      <c r="W790" t="s">
        <v>1243</v>
      </c>
      <c r="X790">
        <v>10</v>
      </c>
      <c r="Y790">
        <v>8</v>
      </c>
      <c r="Z790" t="s">
        <v>1240</v>
      </c>
      <c r="AA790" t="s">
        <v>1241</v>
      </c>
      <c r="AB790" t="s">
        <v>96</v>
      </c>
      <c r="AC790" t="s">
        <v>97</v>
      </c>
      <c r="AD790" t="s">
        <v>690</v>
      </c>
      <c r="AG790" t="s">
        <v>1242</v>
      </c>
      <c r="AH790">
        <v>0</v>
      </c>
      <c r="AI790">
        <v>634</v>
      </c>
      <c r="AJ790">
        <v>75</v>
      </c>
      <c r="AK790">
        <v>6</v>
      </c>
      <c r="AL790">
        <v>0.86</v>
      </c>
    </row>
    <row r="791" spans="1:38" x14ac:dyDescent="0.3">
      <c r="A791" t="s">
        <v>685</v>
      </c>
      <c r="B791">
        <v>126868</v>
      </c>
      <c r="C791">
        <v>5</v>
      </c>
      <c r="D791" t="s">
        <v>1238</v>
      </c>
      <c r="E791" t="s">
        <v>1239</v>
      </c>
      <c r="F791">
        <v>7</v>
      </c>
      <c r="G791">
        <v>26.78</v>
      </c>
      <c r="H791">
        <v>88.53</v>
      </c>
      <c r="I791">
        <v>24.03</v>
      </c>
      <c r="J791">
        <v>79.47</v>
      </c>
      <c r="K791">
        <v>1</v>
      </c>
      <c r="T791">
        <v>3</v>
      </c>
      <c r="U791">
        <v>2</v>
      </c>
      <c r="V791" t="s">
        <v>93</v>
      </c>
      <c r="W791">
        <v>88</v>
      </c>
      <c r="X791">
        <v>10</v>
      </c>
      <c r="Y791">
        <v>8</v>
      </c>
      <c r="Z791" t="s">
        <v>1240</v>
      </c>
      <c r="AA791" t="s">
        <v>1241</v>
      </c>
      <c r="AB791" t="s">
        <v>96</v>
      </c>
      <c r="AC791" t="s">
        <v>97</v>
      </c>
      <c r="AD791" t="s">
        <v>690</v>
      </c>
      <c r="AG791" t="s">
        <v>1242</v>
      </c>
      <c r="AH791">
        <v>0</v>
      </c>
      <c r="AI791">
        <v>634</v>
      </c>
      <c r="AJ791">
        <v>75</v>
      </c>
      <c r="AK791">
        <v>6</v>
      </c>
      <c r="AL791">
        <v>0.86</v>
      </c>
    </row>
    <row r="792" spans="1:38" x14ac:dyDescent="0.3">
      <c r="A792" t="s">
        <v>685</v>
      </c>
      <c r="B792">
        <v>126868</v>
      </c>
      <c r="C792">
        <v>6</v>
      </c>
      <c r="D792" t="s">
        <v>1238</v>
      </c>
      <c r="E792" t="s">
        <v>1239</v>
      </c>
      <c r="F792">
        <v>7</v>
      </c>
      <c r="G792">
        <v>28.54</v>
      </c>
      <c r="H792">
        <v>94.35</v>
      </c>
      <c r="I792">
        <v>25.61</v>
      </c>
      <c r="J792">
        <v>84.69</v>
      </c>
      <c r="K792">
        <v>1</v>
      </c>
      <c r="T792">
        <v>3</v>
      </c>
      <c r="U792">
        <v>2</v>
      </c>
      <c r="V792" t="s">
        <v>93</v>
      </c>
      <c r="W792">
        <v>94</v>
      </c>
      <c r="X792">
        <v>10</v>
      </c>
      <c r="Y792">
        <v>8</v>
      </c>
      <c r="Z792" t="s">
        <v>1240</v>
      </c>
      <c r="AA792" t="s">
        <v>1241</v>
      </c>
      <c r="AB792" t="s">
        <v>96</v>
      </c>
      <c r="AC792" t="s">
        <v>97</v>
      </c>
      <c r="AD792" t="s">
        <v>690</v>
      </c>
      <c r="AG792" t="s">
        <v>1242</v>
      </c>
      <c r="AH792">
        <v>0</v>
      </c>
      <c r="AI792">
        <v>634</v>
      </c>
      <c r="AJ792">
        <v>75</v>
      </c>
      <c r="AK792">
        <v>6</v>
      </c>
      <c r="AL792">
        <v>0.86</v>
      </c>
    </row>
    <row r="793" spans="1:38" x14ac:dyDescent="0.3">
      <c r="A793" t="s">
        <v>685</v>
      </c>
      <c r="B793">
        <v>142119</v>
      </c>
      <c r="C793">
        <v>1</v>
      </c>
      <c r="D793" t="s">
        <v>1244</v>
      </c>
      <c r="E793" t="s">
        <v>1245</v>
      </c>
      <c r="F793">
        <v>8</v>
      </c>
      <c r="G793">
        <v>24.25</v>
      </c>
      <c r="H793">
        <v>80.180000000000007</v>
      </c>
      <c r="I793">
        <v>16.98</v>
      </c>
      <c r="J793">
        <v>56.16</v>
      </c>
      <c r="K793">
        <v>2</v>
      </c>
      <c r="T793">
        <v>3</v>
      </c>
      <c r="U793">
        <v>1</v>
      </c>
      <c r="V793" t="s">
        <v>93</v>
      </c>
      <c r="W793">
        <v>80</v>
      </c>
      <c r="X793">
        <v>7</v>
      </c>
      <c r="Y793">
        <v>6</v>
      </c>
      <c r="Z793" t="s">
        <v>1246</v>
      </c>
      <c r="AA793" t="s">
        <v>1247</v>
      </c>
      <c r="AB793" t="s">
        <v>96</v>
      </c>
      <c r="AC793" t="s">
        <v>97</v>
      </c>
      <c r="AD793" t="s">
        <v>690</v>
      </c>
      <c r="AG793" t="s">
        <v>1248</v>
      </c>
      <c r="AH793">
        <v>0</v>
      </c>
      <c r="AI793">
        <v>430</v>
      </c>
      <c r="AJ793">
        <v>79</v>
      </c>
      <c r="AK793">
        <v>8</v>
      </c>
      <c r="AL793">
        <v>1</v>
      </c>
    </row>
    <row r="794" spans="1:38" x14ac:dyDescent="0.3">
      <c r="A794" t="s">
        <v>685</v>
      </c>
      <c r="B794">
        <v>142119</v>
      </c>
      <c r="C794">
        <v>2</v>
      </c>
      <c r="D794" t="s">
        <v>1244</v>
      </c>
      <c r="E794" t="s">
        <v>1245</v>
      </c>
      <c r="F794">
        <v>8</v>
      </c>
      <c r="G794">
        <v>27.69</v>
      </c>
      <c r="H794">
        <v>91.56</v>
      </c>
      <c r="I794">
        <v>19.510000000000002</v>
      </c>
      <c r="J794">
        <v>64.510000000000005</v>
      </c>
      <c r="K794">
        <v>2</v>
      </c>
      <c r="T794">
        <v>3</v>
      </c>
      <c r="U794">
        <v>2</v>
      </c>
      <c r="V794" t="s">
        <v>93</v>
      </c>
      <c r="W794">
        <v>91</v>
      </c>
      <c r="X794">
        <v>7</v>
      </c>
      <c r="Y794">
        <v>6</v>
      </c>
      <c r="Z794" t="s">
        <v>1246</v>
      </c>
      <c r="AA794" t="s">
        <v>1247</v>
      </c>
      <c r="AB794" t="s">
        <v>96</v>
      </c>
      <c r="AC794" t="s">
        <v>97</v>
      </c>
      <c r="AD794" t="s">
        <v>690</v>
      </c>
      <c r="AG794" t="s">
        <v>1248</v>
      </c>
      <c r="AH794">
        <v>0</v>
      </c>
      <c r="AI794">
        <v>430</v>
      </c>
      <c r="AJ794">
        <v>79</v>
      </c>
      <c r="AK794">
        <v>8</v>
      </c>
      <c r="AL794">
        <v>1</v>
      </c>
    </row>
    <row r="795" spans="1:38" x14ac:dyDescent="0.3">
      <c r="A795" t="s">
        <v>685</v>
      </c>
      <c r="B795">
        <v>142119</v>
      </c>
      <c r="C795">
        <v>3</v>
      </c>
      <c r="D795" t="s">
        <v>1244</v>
      </c>
      <c r="E795" t="s">
        <v>1245</v>
      </c>
      <c r="F795">
        <v>8</v>
      </c>
      <c r="G795">
        <v>31.46</v>
      </c>
      <c r="H795">
        <v>104.03</v>
      </c>
      <c r="I795">
        <v>22.13</v>
      </c>
      <c r="J795">
        <v>73.16</v>
      </c>
      <c r="K795">
        <v>1</v>
      </c>
      <c r="T795">
        <v>3</v>
      </c>
      <c r="U795">
        <v>2</v>
      </c>
      <c r="V795" t="s">
        <v>93</v>
      </c>
      <c r="W795">
        <v>104</v>
      </c>
      <c r="X795">
        <v>7</v>
      </c>
      <c r="Y795">
        <v>6</v>
      </c>
      <c r="Z795" t="s">
        <v>1246</v>
      </c>
      <c r="AA795" t="s">
        <v>1247</v>
      </c>
      <c r="AB795" t="s">
        <v>96</v>
      </c>
      <c r="AC795" t="s">
        <v>97</v>
      </c>
      <c r="AD795" t="s">
        <v>690</v>
      </c>
      <c r="AG795" t="s">
        <v>1248</v>
      </c>
      <c r="AH795">
        <v>0</v>
      </c>
      <c r="AI795">
        <v>430</v>
      </c>
      <c r="AJ795">
        <v>79</v>
      </c>
      <c r="AK795">
        <v>8</v>
      </c>
      <c r="AL795">
        <v>1</v>
      </c>
    </row>
    <row r="796" spans="1:38" x14ac:dyDescent="0.3">
      <c r="A796" t="s">
        <v>685</v>
      </c>
      <c r="B796">
        <v>142119</v>
      </c>
      <c r="C796">
        <v>4</v>
      </c>
      <c r="D796" t="s">
        <v>1244</v>
      </c>
      <c r="E796" t="s">
        <v>1245</v>
      </c>
      <c r="F796">
        <v>8</v>
      </c>
      <c r="G796">
        <v>32.03</v>
      </c>
      <c r="H796">
        <v>105.9</v>
      </c>
      <c r="I796">
        <v>22.58</v>
      </c>
      <c r="J796">
        <v>74.67</v>
      </c>
      <c r="K796">
        <v>2</v>
      </c>
      <c r="T796">
        <v>3</v>
      </c>
      <c r="U796">
        <v>2</v>
      </c>
      <c r="V796" t="s">
        <v>93</v>
      </c>
      <c r="W796">
        <v>105</v>
      </c>
      <c r="X796">
        <v>7</v>
      </c>
      <c r="Y796">
        <v>6</v>
      </c>
      <c r="Z796" t="s">
        <v>1246</v>
      </c>
      <c r="AA796" t="s">
        <v>1247</v>
      </c>
      <c r="AB796" t="s">
        <v>96</v>
      </c>
      <c r="AC796" t="s">
        <v>97</v>
      </c>
      <c r="AD796" t="s">
        <v>690</v>
      </c>
      <c r="AG796" t="s">
        <v>1248</v>
      </c>
      <c r="AH796">
        <v>0</v>
      </c>
      <c r="AI796">
        <v>430</v>
      </c>
      <c r="AJ796">
        <v>79</v>
      </c>
      <c r="AK796">
        <v>8</v>
      </c>
      <c r="AL796">
        <v>1</v>
      </c>
    </row>
    <row r="797" spans="1:38" x14ac:dyDescent="0.3">
      <c r="A797" t="s">
        <v>685</v>
      </c>
      <c r="B797">
        <v>142119</v>
      </c>
      <c r="C797">
        <v>5</v>
      </c>
      <c r="D797" t="s">
        <v>1244</v>
      </c>
      <c r="E797" t="s">
        <v>1245</v>
      </c>
      <c r="F797">
        <v>8</v>
      </c>
      <c r="G797">
        <v>33.99</v>
      </c>
      <c r="H797">
        <v>112.37</v>
      </c>
      <c r="I797">
        <v>24.07</v>
      </c>
      <c r="J797">
        <v>79.59</v>
      </c>
      <c r="K797">
        <v>1</v>
      </c>
      <c r="T797">
        <v>3</v>
      </c>
      <c r="U797">
        <v>2</v>
      </c>
      <c r="V797" t="s">
        <v>211</v>
      </c>
      <c r="W797">
        <v>112</v>
      </c>
      <c r="X797">
        <v>7</v>
      </c>
      <c r="Y797">
        <v>6</v>
      </c>
      <c r="Z797" t="s">
        <v>1246</v>
      </c>
      <c r="AA797" t="s">
        <v>1247</v>
      </c>
      <c r="AB797" t="s">
        <v>96</v>
      </c>
      <c r="AC797" t="s">
        <v>97</v>
      </c>
      <c r="AD797" t="s">
        <v>690</v>
      </c>
      <c r="AG797" t="s">
        <v>1248</v>
      </c>
      <c r="AH797">
        <v>0</v>
      </c>
      <c r="AI797">
        <v>430</v>
      </c>
      <c r="AJ797">
        <v>79</v>
      </c>
      <c r="AK797">
        <v>8</v>
      </c>
      <c r="AL797">
        <v>1</v>
      </c>
    </row>
    <row r="798" spans="1:38" x14ac:dyDescent="0.3">
      <c r="A798" t="s">
        <v>685</v>
      </c>
      <c r="B798">
        <v>22572</v>
      </c>
      <c r="C798">
        <v>1</v>
      </c>
      <c r="D798" t="s">
        <v>1249</v>
      </c>
      <c r="E798" t="s">
        <v>1250</v>
      </c>
      <c r="F798">
        <v>405</v>
      </c>
      <c r="G798">
        <v>21.78</v>
      </c>
      <c r="H798">
        <v>72</v>
      </c>
      <c r="I798">
        <v>16.260000000000002</v>
      </c>
      <c r="J798">
        <v>53.77</v>
      </c>
      <c r="K798">
        <v>39</v>
      </c>
      <c r="T798">
        <v>3</v>
      </c>
      <c r="U798">
        <v>1</v>
      </c>
      <c r="V798" t="s">
        <v>93</v>
      </c>
      <c r="W798">
        <v>72</v>
      </c>
      <c r="X798">
        <v>15</v>
      </c>
      <c r="Y798">
        <v>8</v>
      </c>
      <c r="Z798" t="s">
        <v>1251</v>
      </c>
      <c r="AA798" t="s">
        <v>1252</v>
      </c>
      <c r="AB798" t="s">
        <v>96</v>
      </c>
      <c r="AC798" t="s">
        <v>97</v>
      </c>
      <c r="AD798" t="s">
        <v>690</v>
      </c>
      <c r="AG798" t="s">
        <v>1253</v>
      </c>
      <c r="AH798">
        <v>0</v>
      </c>
      <c r="AI798">
        <v>252</v>
      </c>
      <c r="AJ798">
        <v>23</v>
      </c>
      <c r="AK798">
        <v>407</v>
      </c>
      <c r="AL798">
        <v>1</v>
      </c>
    </row>
    <row r="799" spans="1:38" x14ac:dyDescent="0.3">
      <c r="A799" t="s">
        <v>685</v>
      </c>
      <c r="B799">
        <v>22572</v>
      </c>
      <c r="C799">
        <v>2</v>
      </c>
      <c r="D799" t="s">
        <v>1249</v>
      </c>
      <c r="E799" t="s">
        <v>1250</v>
      </c>
      <c r="F799">
        <v>405</v>
      </c>
      <c r="G799">
        <v>24.32</v>
      </c>
      <c r="H799">
        <v>80.400000000000006</v>
      </c>
      <c r="I799">
        <v>18.14</v>
      </c>
      <c r="J799">
        <v>59.97</v>
      </c>
      <c r="K799">
        <v>117</v>
      </c>
      <c r="T799">
        <v>3</v>
      </c>
      <c r="U799">
        <v>2</v>
      </c>
      <c r="V799" t="s">
        <v>93</v>
      </c>
      <c r="W799">
        <v>80</v>
      </c>
      <c r="X799">
        <v>15</v>
      </c>
      <c r="Y799">
        <v>8</v>
      </c>
      <c r="Z799" t="s">
        <v>1251</v>
      </c>
      <c r="AA799" t="s">
        <v>1252</v>
      </c>
      <c r="AB799" t="s">
        <v>96</v>
      </c>
      <c r="AC799" t="s">
        <v>97</v>
      </c>
      <c r="AD799" t="s">
        <v>690</v>
      </c>
      <c r="AG799" t="s">
        <v>1253</v>
      </c>
      <c r="AH799">
        <v>0</v>
      </c>
      <c r="AI799">
        <v>252</v>
      </c>
      <c r="AJ799">
        <v>23</v>
      </c>
      <c r="AK799">
        <v>407</v>
      </c>
      <c r="AL799">
        <v>1</v>
      </c>
    </row>
    <row r="800" spans="1:38" x14ac:dyDescent="0.3">
      <c r="A800" t="s">
        <v>685</v>
      </c>
      <c r="B800">
        <v>22572</v>
      </c>
      <c r="C800">
        <v>3</v>
      </c>
      <c r="D800" t="s">
        <v>1249</v>
      </c>
      <c r="E800" t="s">
        <v>1250</v>
      </c>
      <c r="F800">
        <v>405</v>
      </c>
      <c r="G800">
        <v>31.99</v>
      </c>
      <c r="H800">
        <v>105.76</v>
      </c>
      <c r="I800">
        <v>25.51</v>
      </c>
      <c r="J800">
        <v>84.36</v>
      </c>
      <c r="K800">
        <v>237</v>
      </c>
      <c r="T800">
        <v>3</v>
      </c>
      <c r="U800">
        <v>2</v>
      </c>
      <c r="V800" t="s">
        <v>93</v>
      </c>
      <c r="W800" t="s">
        <v>551</v>
      </c>
      <c r="X800">
        <v>15</v>
      </c>
      <c r="Y800">
        <v>8</v>
      </c>
      <c r="Z800" t="s">
        <v>1251</v>
      </c>
      <c r="AA800" t="s">
        <v>1252</v>
      </c>
      <c r="AB800" t="s">
        <v>96</v>
      </c>
      <c r="AC800" t="s">
        <v>97</v>
      </c>
      <c r="AD800" t="s">
        <v>690</v>
      </c>
      <c r="AG800" t="s">
        <v>1253</v>
      </c>
      <c r="AH800">
        <v>0</v>
      </c>
      <c r="AI800">
        <v>252</v>
      </c>
      <c r="AJ800">
        <v>23</v>
      </c>
      <c r="AK800">
        <v>407</v>
      </c>
      <c r="AL800">
        <v>1</v>
      </c>
    </row>
    <row r="801" spans="1:38" x14ac:dyDescent="0.3">
      <c r="A801" t="s">
        <v>685</v>
      </c>
      <c r="B801">
        <v>22572</v>
      </c>
      <c r="C801">
        <v>4</v>
      </c>
      <c r="D801" t="s">
        <v>1249</v>
      </c>
      <c r="E801" t="s">
        <v>1250</v>
      </c>
      <c r="F801">
        <v>405</v>
      </c>
      <c r="G801">
        <v>31.99</v>
      </c>
      <c r="H801">
        <v>105.76</v>
      </c>
      <c r="I801">
        <v>25.51</v>
      </c>
      <c r="J801">
        <v>84.36</v>
      </c>
      <c r="K801">
        <v>12</v>
      </c>
      <c r="T801">
        <v>3</v>
      </c>
      <c r="U801">
        <v>2</v>
      </c>
      <c r="V801" t="s">
        <v>93</v>
      </c>
      <c r="W801" t="s">
        <v>1254</v>
      </c>
      <c r="X801">
        <v>15</v>
      </c>
      <c r="Y801">
        <v>8</v>
      </c>
      <c r="Z801" t="s">
        <v>1251</v>
      </c>
      <c r="AA801" t="s">
        <v>1252</v>
      </c>
      <c r="AB801" t="s">
        <v>96</v>
      </c>
      <c r="AC801" t="s">
        <v>97</v>
      </c>
      <c r="AD801" t="s">
        <v>690</v>
      </c>
      <c r="AG801" t="s">
        <v>1253</v>
      </c>
      <c r="AH801">
        <v>0</v>
      </c>
      <c r="AI801">
        <v>252</v>
      </c>
      <c r="AJ801">
        <v>23</v>
      </c>
      <c r="AK801">
        <v>407</v>
      </c>
      <c r="AL801">
        <v>1</v>
      </c>
    </row>
    <row r="802" spans="1:38" x14ac:dyDescent="0.3">
      <c r="A802" t="s">
        <v>685</v>
      </c>
      <c r="B802">
        <v>141763</v>
      </c>
      <c r="C802">
        <v>1</v>
      </c>
      <c r="D802" t="s">
        <v>1255</v>
      </c>
      <c r="E802" t="s">
        <v>1256</v>
      </c>
      <c r="F802">
        <v>90</v>
      </c>
      <c r="G802">
        <v>30.67</v>
      </c>
      <c r="H802">
        <v>101.4</v>
      </c>
      <c r="I802">
        <v>25.59</v>
      </c>
      <c r="J802">
        <v>84.6</v>
      </c>
      <c r="K802">
        <v>13</v>
      </c>
      <c r="T802">
        <v>3</v>
      </c>
      <c r="U802">
        <v>2</v>
      </c>
      <c r="V802" t="s">
        <v>93</v>
      </c>
      <c r="W802" t="s">
        <v>1055</v>
      </c>
      <c r="X802">
        <v>14</v>
      </c>
      <c r="Y802">
        <v>14</v>
      </c>
      <c r="Z802" t="s">
        <v>1257</v>
      </c>
      <c r="AA802" t="s">
        <v>1258</v>
      </c>
      <c r="AB802" t="s">
        <v>96</v>
      </c>
      <c r="AC802" t="s">
        <v>97</v>
      </c>
      <c r="AD802" t="s">
        <v>690</v>
      </c>
      <c r="AG802" t="s">
        <v>1259</v>
      </c>
      <c r="AH802">
        <v>0</v>
      </c>
      <c r="AI802">
        <v>379</v>
      </c>
      <c r="AJ802">
        <v>39</v>
      </c>
      <c r="AK802">
        <v>87</v>
      </c>
      <c r="AL802">
        <v>0.97</v>
      </c>
    </row>
    <row r="803" spans="1:38" x14ac:dyDescent="0.3">
      <c r="A803" t="s">
        <v>685</v>
      </c>
      <c r="B803">
        <v>141763</v>
      </c>
      <c r="C803">
        <v>2</v>
      </c>
      <c r="D803" t="s">
        <v>1255</v>
      </c>
      <c r="E803" t="s">
        <v>1256</v>
      </c>
      <c r="F803">
        <v>90</v>
      </c>
      <c r="G803">
        <v>30.84</v>
      </c>
      <c r="H803">
        <v>101.96</v>
      </c>
      <c r="I803">
        <v>25.68</v>
      </c>
      <c r="J803">
        <v>84.9</v>
      </c>
      <c r="K803">
        <v>13</v>
      </c>
      <c r="T803">
        <v>3</v>
      </c>
      <c r="U803">
        <v>2</v>
      </c>
      <c r="V803" t="s">
        <v>93</v>
      </c>
      <c r="W803" t="s">
        <v>1260</v>
      </c>
      <c r="X803">
        <v>14</v>
      </c>
      <c r="Y803">
        <v>14</v>
      </c>
      <c r="Z803" t="s">
        <v>1257</v>
      </c>
      <c r="AA803" t="s">
        <v>1258</v>
      </c>
      <c r="AB803" t="s">
        <v>96</v>
      </c>
      <c r="AC803" t="s">
        <v>97</v>
      </c>
      <c r="AD803" t="s">
        <v>690</v>
      </c>
      <c r="AG803" t="s">
        <v>1259</v>
      </c>
      <c r="AH803">
        <v>0</v>
      </c>
      <c r="AI803">
        <v>379</v>
      </c>
      <c r="AJ803">
        <v>39</v>
      </c>
      <c r="AK803">
        <v>87</v>
      </c>
      <c r="AL803">
        <v>0.97</v>
      </c>
    </row>
    <row r="804" spans="1:38" x14ac:dyDescent="0.3">
      <c r="A804" t="s">
        <v>685</v>
      </c>
      <c r="B804">
        <v>141763</v>
      </c>
      <c r="C804">
        <v>3</v>
      </c>
      <c r="D804" t="s">
        <v>1255</v>
      </c>
      <c r="E804" t="s">
        <v>1256</v>
      </c>
      <c r="F804">
        <v>90</v>
      </c>
      <c r="G804">
        <v>30.73</v>
      </c>
      <c r="H804">
        <v>101.59</v>
      </c>
      <c r="I804">
        <v>25.62</v>
      </c>
      <c r="J804">
        <v>84.71</v>
      </c>
      <c r="K804">
        <v>12</v>
      </c>
      <c r="T804">
        <v>3</v>
      </c>
      <c r="U804">
        <v>2</v>
      </c>
      <c r="V804" t="s">
        <v>93</v>
      </c>
      <c r="W804" t="s">
        <v>1261</v>
      </c>
      <c r="X804">
        <v>14</v>
      </c>
      <c r="Y804">
        <v>14</v>
      </c>
      <c r="Z804" t="s">
        <v>1257</v>
      </c>
      <c r="AA804" t="s">
        <v>1258</v>
      </c>
      <c r="AB804" t="s">
        <v>96</v>
      </c>
      <c r="AC804" t="s">
        <v>97</v>
      </c>
      <c r="AD804" t="s">
        <v>690</v>
      </c>
      <c r="AG804" t="s">
        <v>1259</v>
      </c>
      <c r="AH804">
        <v>0</v>
      </c>
      <c r="AI804">
        <v>379</v>
      </c>
      <c r="AJ804">
        <v>39</v>
      </c>
      <c r="AK804">
        <v>87</v>
      </c>
      <c r="AL804">
        <v>0.97</v>
      </c>
    </row>
    <row r="805" spans="1:38" x14ac:dyDescent="0.3">
      <c r="A805" t="s">
        <v>685</v>
      </c>
      <c r="B805">
        <v>141763</v>
      </c>
      <c r="C805">
        <v>4</v>
      </c>
      <c r="D805" t="s">
        <v>1255</v>
      </c>
      <c r="E805" t="s">
        <v>1256</v>
      </c>
      <c r="F805">
        <v>90</v>
      </c>
      <c r="G805">
        <v>31.1</v>
      </c>
      <c r="H805">
        <v>102.81</v>
      </c>
      <c r="I805">
        <v>25.62</v>
      </c>
      <c r="J805">
        <v>84.71</v>
      </c>
      <c r="K805">
        <v>26</v>
      </c>
      <c r="T805">
        <v>3</v>
      </c>
      <c r="U805">
        <v>2</v>
      </c>
      <c r="V805" t="s">
        <v>93</v>
      </c>
      <c r="W805" t="s">
        <v>1262</v>
      </c>
      <c r="X805">
        <v>14</v>
      </c>
      <c r="Y805">
        <v>14</v>
      </c>
      <c r="Z805" t="s">
        <v>1257</v>
      </c>
      <c r="AA805" t="s">
        <v>1258</v>
      </c>
      <c r="AB805" t="s">
        <v>96</v>
      </c>
      <c r="AC805" t="s">
        <v>97</v>
      </c>
      <c r="AD805" t="s">
        <v>690</v>
      </c>
      <c r="AG805" t="s">
        <v>1259</v>
      </c>
      <c r="AH805">
        <v>0</v>
      </c>
      <c r="AI805">
        <v>379</v>
      </c>
      <c r="AJ805">
        <v>39</v>
      </c>
      <c r="AK805">
        <v>87</v>
      </c>
      <c r="AL805">
        <v>0.97</v>
      </c>
    </row>
    <row r="806" spans="1:38" x14ac:dyDescent="0.3">
      <c r="A806" t="s">
        <v>685</v>
      </c>
      <c r="B806">
        <v>141763</v>
      </c>
      <c r="C806">
        <v>5</v>
      </c>
      <c r="D806" t="s">
        <v>1255</v>
      </c>
      <c r="E806" t="s">
        <v>1256</v>
      </c>
      <c r="F806">
        <v>90</v>
      </c>
      <c r="G806">
        <v>31.14</v>
      </c>
      <c r="H806">
        <v>102.97</v>
      </c>
      <c r="I806">
        <v>25.62</v>
      </c>
      <c r="J806">
        <v>84.71</v>
      </c>
      <c r="K806">
        <v>13</v>
      </c>
      <c r="T806">
        <v>3</v>
      </c>
      <c r="U806">
        <v>2</v>
      </c>
      <c r="V806" t="s">
        <v>93</v>
      </c>
      <c r="W806" t="s">
        <v>634</v>
      </c>
      <c r="X806">
        <v>14</v>
      </c>
      <c r="Y806">
        <v>14</v>
      </c>
      <c r="Z806" t="s">
        <v>1257</v>
      </c>
      <c r="AA806" t="s">
        <v>1258</v>
      </c>
      <c r="AB806" t="s">
        <v>96</v>
      </c>
      <c r="AC806" t="s">
        <v>97</v>
      </c>
      <c r="AD806" t="s">
        <v>690</v>
      </c>
      <c r="AG806" t="s">
        <v>1259</v>
      </c>
      <c r="AH806">
        <v>0</v>
      </c>
      <c r="AI806">
        <v>379</v>
      </c>
      <c r="AJ806">
        <v>39</v>
      </c>
      <c r="AK806">
        <v>87</v>
      </c>
      <c r="AL806">
        <v>0.97</v>
      </c>
    </row>
    <row r="807" spans="1:38" x14ac:dyDescent="0.3">
      <c r="A807" t="s">
        <v>685</v>
      </c>
      <c r="B807">
        <v>141763</v>
      </c>
      <c r="C807">
        <v>6</v>
      </c>
      <c r="D807" t="s">
        <v>1255</v>
      </c>
      <c r="E807" t="s">
        <v>1256</v>
      </c>
      <c r="F807">
        <v>90</v>
      </c>
      <c r="G807">
        <v>31.77</v>
      </c>
      <c r="H807">
        <v>105.05</v>
      </c>
      <c r="I807">
        <v>25.64</v>
      </c>
      <c r="J807">
        <v>84.78</v>
      </c>
      <c r="K807">
        <v>13</v>
      </c>
      <c r="T807">
        <v>3</v>
      </c>
      <c r="U807">
        <v>2</v>
      </c>
      <c r="V807" t="s">
        <v>93</v>
      </c>
      <c r="W807">
        <v>105</v>
      </c>
      <c r="X807">
        <v>14</v>
      </c>
      <c r="Y807">
        <v>14</v>
      </c>
      <c r="Z807" t="s">
        <v>1257</v>
      </c>
      <c r="AA807" t="s">
        <v>1258</v>
      </c>
      <c r="AB807" t="s">
        <v>96</v>
      </c>
      <c r="AC807" t="s">
        <v>97</v>
      </c>
      <c r="AD807" t="s">
        <v>690</v>
      </c>
      <c r="AG807" t="s">
        <v>1259</v>
      </c>
      <c r="AH807">
        <v>0</v>
      </c>
      <c r="AI807">
        <v>379</v>
      </c>
      <c r="AJ807">
        <v>39</v>
      </c>
      <c r="AK807">
        <v>87</v>
      </c>
      <c r="AL807">
        <v>0.97</v>
      </c>
    </row>
    <row r="808" spans="1:38" x14ac:dyDescent="0.3">
      <c r="A808" t="s">
        <v>685</v>
      </c>
      <c r="B808">
        <v>144646</v>
      </c>
      <c r="C808">
        <v>1</v>
      </c>
      <c r="D808" t="s">
        <v>1263</v>
      </c>
      <c r="E808" t="s">
        <v>1003</v>
      </c>
      <c r="F808">
        <v>26</v>
      </c>
      <c r="G808">
        <v>25.69</v>
      </c>
      <c r="H808">
        <v>84.94</v>
      </c>
      <c r="I808">
        <v>18.03</v>
      </c>
      <c r="J808">
        <v>59.62</v>
      </c>
      <c r="K808">
        <v>13</v>
      </c>
      <c r="T808">
        <v>3</v>
      </c>
      <c r="U808">
        <v>2</v>
      </c>
      <c r="V808" t="s">
        <v>93</v>
      </c>
      <c r="W808" t="s">
        <v>383</v>
      </c>
      <c r="X808">
        <v>14</v>
      </c>
      <c r="Y808">
        <v>14</v>
      </c>
      <c r="Z808" t="s">
        <v>1264</v>
      </c>
      <c r="AA808" t="s">
        <v>1265</v>
      </c>
      <c r="AB808" t="s">
        <v>96</v>
      </c>
      <c r="AC808" t="s">
        <v>97</v>
      </c>
      <c r="AD808" t="s">
        <v>690</v>
      </c>
      <c r="AG808" t="s">
        <v>1266</v>
      </c>
      <c r="AH808">
        <v>0</v>
      </c>
      <c r="AI808">
        <v>746</v>
      </c>
      <c r="AJ808">
        <v>77</v>
      </c>
      <c r="AK808">
        <v>22</v>
      </c>
      <c r="AL808">
        <v>0.85</v>
      </c>
    </row>
    <row r="809" spans="1:38" x14ac:dyDescent="0.3">
      <c r="A809" t="s">
        <v>685</v>
      </c>
      <c r="B809">
        <v>144646</v>
      </c>
      <c r="C809">
        <v>2</v>
      </c>
      <c r="D809" t="s">
        <v>1263</v>
      </c>
      <c r="E809" t="s">
        <v>1003</v>
      </c>
      <c r="F809">
        <v>26</v>
      </c>
      <c r="G809">
        <v>25.83</v>
      </c>
      <c r="H809">
        <v>85.42</v>
      </c>
      <c r="I809">
        <v>18.12</v>
      </c>
      <c r="J809">
        <v>59.91</v>
      </c>
      <c r="K809">
        <v>13</v>
      </c>
      <c r="T809">
        <v>3</v>
      </c>
      <c r="U809">
        <v>2</v>
      </c>
      <c r="V809" t="s">
        <v>93</v>
      </c>
      <c r="W809" t="s">
        <v>434</v>
      </c>
      <c r="X809">
        <v>14</v>
      </c>
      <c r="Y809">
        <v>14</v>
      </c>
      <c r="Z809" t="s">
        <v>1264</v>
      </c>
      <c r="AA809" t="s">
        <v>1265</v>
      </c>
      <c r="AB809" t="s">
        <v>96</v>
      </c>
      <c r="AC809" t="s">
        <v>97</v>
      </c>
      <c r="AD809" t="s">
        <v>690</v>
      </c>
      <c r="AG809" t="s">
        <v>1266</v>
      </c>
      <c r="AH809">
        <v>0</v>
      </c>
      <c r="AI809">
        <v>746</v>
      </c>
      <c r="AJ809">
        <v>77</v>
      </c>
      <c r="AK809">
        <v>22</v>
      </c>
      <c r="AL809">
        <v>0.85</v>
      </c>
    </row>
    <row r="810" spans="1:38" x14ac:dyDescent="0.3">
      <c r="A810" t="s">
        <v>685</v>
      </c>
      <c r="B810">
        <v>16524</v>
      </c>
      <c r="C810">
        <v>1</v>
      </c>
      <c r="D810" t="s">
        <v>1267</v>
      </c>
      <c r="E810" t="s">
        <v>1268</v>
      </c>
      <c r="F810">
        <v>100</v>
      </c>
      <c r="G810">
        <v>16.170000000000002</v>
      </c>
      <c r="H810">
        <v>53.48</v>
      </c>
      <c r="I810">
        <v>16.170000000000002</v>
      </c>
      <c r="J810">
        <v>53.48</v>
      </c>
      <c r="K810">
        <v>10</v>
      </c>
      <c r="T810">
        <v>2</v>
      </c>
      <c r="U810">
        <v>1</v>
      </c>
      <c r="V810" t="s">
        <v>93</v>
      </c>
      <c r="W810" t="s">
        <v>1269</v>
      </c>
      <c r="X810">
        <v>6</v>
      </c>
      <c r="Y810">
        <v>5</v>
      </c>
      <c r="Z810" t="s">
        <v>1270</v>
      </c>
      <c r="AA810" t="s">
        <v>1271</v>
      </c>
      <c r="AB810" t="s">
        <v>96</v>
      </c>
      <c r="AC810" t="s">
        <v>97</v>
      </c>
      <c r="AD810" t="s">
        <v>690</v>
      </c>
      <c r="AG810" t="s">
        <v>1272</v>
      </c>
      <c r="AH810">
        <v>0</v>
      </c>
      <c r="AI810">
        <v>187</v>
      </c>
      <c r="AJ810">
        <v>0</v>
      </c>
      <c r="AK810">
        <v>0</v>
      </c>
      <c r="AL810">
        <v>0</v>
      </c>
    </row>
    <row r="811" spans="1:38" x14ac:dyDescent="0.3">
      <c r="A811" t="s">
        <v>685</v>
      </c>
      <c r="B811">
        <v>16524</v>
      </c>
      <c r="C811">
        <v>2</v>
      </c>
      <c r="D811" t="s">
        <v>1267</v>
      </c>
      <c r="E811" t="s">
        <v>1268</v>
      </c>
      <c r="F811">
        <v>100</v>
      </c>
      <c r="G811">
        <v>16.309999999999999</v>
      </c>
      <c r="H811">
        <v>53.95</v>
      </c>
      <c r="I811">
        <v>16.309999999999999</v>
      </c>
      <c r="J811">
        <v>53.95</v>
      </c>
      <c r="K811">
        <v>2</v>
      </c>
      <c r="T811">
        <v>2</v>
      </c>
      <c r="U811">
        <v>1</v>
      </c>
      <c r="V811" t="s">
        <v>93</v>
      </c>
      <c r="W811" t="s">
        <v>1273</v>
      </c>
      <c r="X811">
        <v>6</v>
      </c>
      <c r="Y811">
        <v>5</v>
      </c>
      <c r="Z811" t="s">
        <v>1270</v>
      </c>
      <c r="AA811" t="s">
        <v>1271</v>
      </c>
      <c r="AB811" t="s">
        <v>96</v>
      </c>
      <c r="AC811" t="s">
        <v>97</v>
      </c>
      <c r="AD811" t="s">
        <v>690</v>
      </c>
      <c r="AG811" t="s">
        <v>1272</v>
      </c>
      <c r="AH811">
        <v>0</v>
      </c>
      <c r="AI811">
        <v>187</v>
      </c>
      <c r="AJ811">
        <v>0</v>
      </c>
      <c r="AK811">
        <v>0</v>
      </c>
      <c r="AL811">
        <v>0</v>
      </c>
    </row>
    <row r="812" spans="1:38" x14ac:dyDescent="0.3">
      <c r="A812" t="s">
        <v>685</v>
      </c>
      <c r="B812">
        <v>16524</v>
      </c>
      <c r="C812">
        <v>3</v>
      </c>
      <c r="D812" t="s">
        <v>1267</v>
      </c>
      <c r="E812" t="s">
        <v>1268</v>
      </c>
      <c r="F812">
        <v>100</v>
      </c>
      <c r="G812">
        <v>16.32</v>
      </c>
      <c r="H812">
        <v>53.98</v>
      </c>
      <c r="I812">
        <v>16.32</v>
      </c>
      <c r="J812">
        <v>53.98</v>
      </c>
      <c r="K812">
        <v>1</v>
      </c>
      <c r="T812">
        <v>2</v>
      </c>
      <c r="U812">
        <v>1</v>
      </c>
      <c r="V812" t="s">
        <v>93</v>
      </c>
      <c r="W812" t="s">
        <v>1274</v>
      </c>
      <c r="X812">
        <v>6</v>
      </c>
      <c r="Y812">
        <v>5</v>
      </c>
      <c r="Z812" t="s">
        <v>1270</v>
      </c>
      <c r="AA812" t="s">
        <v>1271</v>
      </c>
      <c r="AB812" t="s">
        <v>96</v>
      </c>
      <c r="AC812" t="s">
        <v>97</v>
      </c>
      <c r="AD812" t="s">
        <v>690</v>
      </c>
      <c r="AG812" t="s">
        <v>1272</v>
      </c>
      <c r="AH812">
        <v>0</v>
      </c>
      <c r="AI812">
        <v>187</v>
      </c>
      <c r="AJ812">
        <v>0</v>
      </c>
      <c r="AK812">
        <v>0</v>
      </c>
      <c r="AL812">
        <v>0</v>
      </c>
    </row>
    <row r="813" spans="1:38" x14ac:dyDescent="0.3">
      <c r="A813" t="s">
        <v>685</v>
      </c>
      <c r="B813">
        <v>16524</v>
      </c>
      <c r="C813">
        <v>4</v>
      </c>
      <c r="D813" t="s">
        <v>1267</v>
      </c>
      <c r="E813" t="s">
        <v>1268</v>
      </c>
      <c r="F813">
        <v>100</v>
      </c>
      <c r="G813">
        <v>16.329999999999998</v>
      </c>
      <c r="H813">
        <v>54.01</v>
      </c>
      <c r="I813">
        <v>16.329999999999998</v>
      </c>
      <c r="J813">
        <v>54.01</v>
      </c>
      <c r="K813">
        <v>9</v>
      </c>
      <c r="T813">
        <v>2</v>
      </c>
      <c r="U813">
        <v>1</v>
      </c>
      <c r="V813" t="s">
        <v>93</v>
      </c>
      <c r="W813" t="s">
        <v>1275</v>
      </c>
      <c r="X813">
        <v>6</v>
      </c>
      <c r="Y813">
        <v>5</v>
      </c>
      <c r="Z813" t="s">
        <v>1270</v>
      </c>
      <c r="AA813" t="s">
        <v>1271</v>
      </c>
      <c r="AB813" t="s">
        <v>96</v>
      </c>
      <c r="AC813" t="s">
        <v>97</v>
      </c>
      <c r="AD813" t="s">
        <v>690</v>
      </c>
      <c r="AG813" t="s">
        <v>1272</v>
      </c>
      <c r="AH813">
        <v>0</v>
      </c>
      <c r="AI813">
        <v>187</v>
      </c>
      <c r="AJ813">
        <v>0</v>
      </c>
      <c r="AK813">
        <v>0</v>
      </c>
      <c r="AL813">
        <v>0</v>
      </c>
    </row>
    <row r="814" spans="1:38" x14ac:dyDescent="0.3">
      <c r="A814" t="s">
        <v>685</v>
      </c>
      <c r="B814">
        <v>16524</v>
      </c>
      <c r="C814">
        <v>5</v>
      </c>
      <c r="D814" t="s">
        <v>1267</v>
      </c>
      <c r="E814" t="s">
        <v>1268</v>
      </c>
      <c r="F814">
        <v>100</v>
      </c>
      <c r="G814">
        <v>16.350000000000001</v>
      </c>
      <c r="H814">
        <v>54.08</v>
      </c>
      <c r="I814">
        <v>16.350000000000001</v>
      </c>
      <c r="J814">
        <v>54.08</v>
      </c>
      <c r="K814">
        <v>2</v>
      </c>
      <c r="T814">
        <v>2</v>
      </c>
      <c r="U814">
        <v>1</v>
      </c>
      <c r="V814" t="s">
        <v>93</v>
      </c>
      <c r="W814" t="s">
        <v>1276</v>
      </c>
      <c r="X814">
        <v>6</v>
      </c>
      <c r="Y814">
        <v>5</v>
      </c>
      <c r="Z814" t="s">
        <v>1270</v>
      </c>
      <c r="AA814" t="s">
        <v>1271</v>
      </c>
      <c r="AB814" t="s">
        <v>96</v>
      </c>
      <c r="AC814" t="s">
        <v>97</v>
      </c>
      <c r="AD814" t="s">
        <v>690</v>
      </c>
      <c r="AG814" t="s">
        <v>1272</v>
      </c>
      <c r="AH814">
        <v>0</v>
      </c>
      <c r="AI814">
        <v>187</v>
      </c>
      <c r="AJ814">
        <v>0</v>
      </c>
      <c r="AK814">
        <v>0</v>
      </c>
      <c r="AL814">
        <v>0</v>
      </c>
    </row>
    <row r="815" spans="1:38" x14ac:dyDescent="0.3">
      <c r="A815" t="s">
        <v>685</v>
      </c>
      <c r="B815">
        <v>16524</v>
      </c>
      <c r="C815">
        <v>6</v>
      </c>
      <c r="D815" t="s">
        <v>1267</v>
      </c>
      <c r="E815" t="s">
        <v>1268</v>
      </c>
      <c r="F815">
        <v>100</v>
      </c>
      <c r="G815">
        <v>16.420000000000002</v>
      </c>
      <c r="H815">
        <v>54.31</v>
      </c>
      <c r="I815">
        <v>16.420000000000002</v>
      </c>
      <c r="J815">
        <v>54.31</v>
      </c>
      <c r="K815">
        <v>1</v>
      </c>
      <c r="T815">
        <v>2</v>
      </c>
      <c r="U815">
        <v>1</v>
      </c>
      <c r="V815" t="s">
        <v>93</v>
      </c>
      <c r="W815" t="s">
        <v>1277</v>
      </c>
      <c r="X815">
        <v>6</v>
      </c>
      <c r="Y815">
        <v>5</v>
      </c>
      <c r="Z815" t="s">
        <v>1270</v>
      </c>
      <c r="AA815" t="s">
        <v>1271</v>
      </c>
      <c r="AB815" t="s">
        <v>96</v>
      </c>
      <c r="AC815" t="s">
        <v>97</v>
      </c>
      <c r="AD815" t="s">
        <v>690</v>
      </c>
      <c r="AG815" t="s">
        <v>1272</v>
      </c>
      <c r="AH815">
        <v>0</v>
      </c>
      <c r="AI815">
        <v>187</v>
      </c>
      <c r="AJ815">
        <v>0</v>
      </c>
      <c r="AK815">
        <v>0</v>
      </c>
      <c r="AL815">
        <v>0</v>
      </c>
    </row>
    <row r="816" spans="1:38" x14ac:dyDescent="0.3">
      <c r="A816" t="s">
        <v>685</v>
      </c>
      <c r="B816">
        <v>16524</v>
      </c>
      <c r="C816">
        <v>7</v>
      </c>
      <c r="D816" t="s">
        <v>1267</v>
      </c>
      <c r="E816" t="s">
        <v>1268</v>
      </c>
      <c r="F816">
        <v>100</v>
      </c>
      <c r="G816">
        <v>16.75</v>
      </c>
      <c r="H816">
        <v>55.4</v>
      </c>
      <c r="I816">
        <v>16.75</v>
      </c>
      <c r="J816">
        <v>55.4</v>
      </c>
      <c r="K816">
        <v>1</v>
      </c>
      <c r="T816">
        <v>2</v>
      </c>
      <c r="U816">
        <v>1</v>
      </c>
      <c r="V816" t="s">
        <v>211</v>
      </c>
      <c r="W816">
        <v>55</v>
      </c>
      <c r="X816">
        <v>6</v>
      </c>
      <c r="Y816">
        <v>5</v>
      </c>
      <c r="Z816" t="s">
        <v>1270</v>
      </c>
      <c r="AA816" t="s">
        <v>1271</v>
      </c>
      <c r="AB816" t="s">
        <v>96</v>
      </c>
      <c r="AC816" t="s">
        <v>97</v>
      </c>
      <c r="AD816" t="s">
        <v>690</v>
      </c>
      <c r="AG816" t="s">
        <v>1272</v>
      </c>
      <c r="AH816">
        <v>0</v>
      </c>
      <c r="AI816">
        <v>187</v>
      </c>
      <c r="AJ816">
        <v>0</v>
      </c>
      <c r="AK816">
        <v>0</v>
      </c>
      <c r="AL816">
        <v>0</v>
      </c>
    </row>
    <row r="817" spans="1:38" x14ac:dyDescent="0.3">
      <c r="A817" t="s">
        <v>685</v>
      </c>
      <c r="B817">
        <v>16524</v>
      </c>
      <c r="C817">
        <v>8</v>
      </c>
      <c r="D817" t="s">
        <v>1267</v>
      </c>
      <c r="E817" t="s">
        <v>1268</v>
      </c>
      <c r="F817">
        <v>100</v>
      </c>
      <c r="G817">
        <v>18.75</v>
      </c>
      <c r="H817">
        <v>62.01</v>
      </c>
      <c r="I817">
        <v>18.75</v>
      </c>
      <c r="J817">
        <v>62.01</v>
      </c>
      <c r="K817">
        <v>39</v>
      </c>
      <c r="T817">
        <v>2</v>
      </c>
      <c r="U817">
        <v>1</v>
      </c>
      <c r="V817" t="s">
        <v>211</v>
      </c>
      <c r="W817">
        <v>62</v>
      </c>
      <c r="X817">
        <v>6</v>
      </c>
      <c r="Y817">
        <v>5</v>
      </c>
      <c r="Z817" t="s">
        <v>1270</v>
      </c>
      <c r="AA817" t="s">
        <v>1271</v>
      </c>
      <c r="AB817" t="s">
        <v>96</v>
      </c>
      <c r="AC817" t="s">
        <v>97</v>
      </c>
      <c r="AD817" t="s">
        <v>690</v>
      </c>
      <c r="AG817" t="s">
        <v>1272</v>
      </c>
      <c r="AH817">
        <v>0</v>
      </c>
      <c r="AI817">
        <v>187</v>
      </c>
      <c r="AJ817">
        <v>0</v>
      </c>
      <c r="AK817">
        <v>0</v>
      </c>
      <c r="AL817">
        <v>0</v>
      </c>
    </row>
    <row r="818" spans="1:38" x14ac:dyDescent="0.3">
      <c r="A818" t="s">
        <v>685</v>
      </c>
      <c r="B818">
        <v>16524</v>
      </c>
      <c r="C818">
        <v>9</v>
      </c>
      <c r="D818" t="s">
        <v>1267</v>
      </c>
      <c r="E818" t="s">
        <v>1268</v>
      </c>
      <c r="F818">
        <v>100</v>
      </c>
      <c r="G818">
        <v>20.65</v>
      </c>
      <c r="H818">
        <v>68.290000000000006</v>
      </c>
      <c r="I818">
        <v>20.65</v>
      </c>
      <c r="J818">
        <v>68.290000000000006</v>
      </c>
      <c r="K818">
        <v>30</v>
      </c>
      <c r="T818">
        <v>2</v>
      </c>
      <c r="U818">
        <v>1</v>
      </c>
      <c r="V818" t="s">
        <v>93</v>
      </c>
      <c r="W818">
        <v>68</v>
      </c>
      <c r="X818">
        <v>6</v>
      </c>
      <c r="Y818">
        <v>5</v>
      </c>
      <c r="Z818" t="s">
        <v>1270</v>
      </c>
      <c r="AA818" t="s">
        <v>1271</v>
      </c>
      <c r="AB818" t="s">
        <v>96</v>
      </c>
      <c r="AC818" t="s">
        <v>97</v>
      </c>
      <c r="AD818" t="s">
        <v>690</v>
      </c>
      <c r="AG818" t="s">
        <v>1272</v>
      </c>
      <c r="AH818">
        <v>0</v>
      </c>
      <c r="AI818">
        <v>187</v>
      </c>
      <c r="AJ818">
        <v>0</v>
      </c>
      <c r="AK818">
        <v>0</v>
      </c>
      <c r="AL818">
        <v>0</v>
      </c>
    </row>
    <row r="819" spans="1:38" x14ac:dyDescent="0.3">
      <c r="A819" t="s">
        <v>685</v>
      </c>
      <c r="B819">
        <v>16524</v>
      </c>
      <c r="C819">
        <v>10</v>
      </c>
      <c r="D819" t="s">
        <v>1267</v>
      </c>
      <c r="E819" t="s">
        <v>1268</v>
      </c>
      <c r="F819">
        <v>100</v>
      </c>
      <c r="G819">
        <v>25.02</v>
      </c>
      <c r="H819">
        <v>82.74</v>
      </c>
      <c r="I819">
        <v>25.02</v>
      </c>
      <c r="J819">
        <v>82.74</v>
      </c>
      <c r="K819">
        <v>3</v>
      </c>
      <c r="T819">
        <v>3</v>
      </c>
      <c r="U819">
        <v>1</v>
      </c>
      <c r="V819" t="s">
        <v>93</v>
      </c>
      <c r="W819" t="s">
        <v>152</v>
      </c>
      <c r="X819">
        <v>6</v>
      </c>
      <c r="Y819">
        <v>5</v>
      </c>
      <c r="Z819" t="s">
        <v>1270</v>
      </c>
      <c r="AA819" t="s">
        <v>1271</v>
      </c>
      <c r="AB819" t="s">
        <v>96</v>
      </c>
      <c r="AC819" t="s">
        <v>97</v>
      </c>
      <c r="AD819" t="s">
        <v>690</v>
      </c>
      <c r="AG819" t="s">
        <v>1272</v>
      </c>
      <c r="AH819">
        <v>0</v>
      </c>
      <c r="AI819">
        <v>187</v>
      </c>
      <c r="AJ819">
        <v>0</v>
      </c>
      <c r="AK819">
        <v>0</v>
      </c>
      <c r="AL819">
        <v>0</v>
      </c>
    </row>
    <row r="820" spans="1:38" x14ac:dyDescent="0.3">
      <c r="A820" t="s">
        <v>685</v>
      </c>
      <c r="B820">
        <v>16524</v>
      </c>
      <c r="C820">
        <v>11</v>
      </c>
      <c r="D820" t="s">
        <v>1267</v>
      </c>
      <c r="E820" t="s">
        <v>1268</v>
      </c>
      <c r="F820">
        <v>100</v>
      </c>
      <c r="G820">
        <v>25.05</v>
      </c>
      <c r="H820">
        <v>82.84</v>
      </c>
      <c r="I820">
        <v>25.05</v>
      </c>
      <c r="J820">
        <v>82.84</v>
      </c>
      <c r="K820">
        <v>2</v>
      </c>
      <c r="T820">
        <v>3</v>
      </c>
      <c r="U820">
        <v>1</v>
      </c>
      <c r="V820" t="s">
        <v>93</v>
      </c>
      <c r="W820" t="s">
        <v>503</v>
      </c>
      <c r="X820">
        <v>6</v>
      </c>
      <c r="Y820">
        <v>5</v>
      </c>
      <c r="Z820" t="s">
        <v>1270</v>
      </c>
      <c r="AA820" t="s">
        <v>1271</v>
      </c>
      <c r="AB820" t="s">
        <v>96</v>
      </c>
      <c r="AC820" t="s">
        <v>97</v>
      </c>
      <c r="AD820" t="s">
        <v>690</v>
      </c>
      <c r="AG820" t="s">
        <v>1272</v>
      </c>
      <c r="AH820">
        <v>0</v>
      </c>
      <c r="AI820">
        <v>187</v>
      </c>
      <c r="AJ820">
        <v>0</v>
      </c>
      <c r="AK820">
        <v>0</v>
      </c>
      <c r="AL820">
        <v>0</v>
      </c>
    </row>
    <row r="821" spans="1:38" x14ac:dyDescent="0.3">
      <c r="A821" t="s">
        <v>685</v>
      </c>
      <c r="B821">
        <v>108262</v>
      </c>
      <c r="C821">
        <v>1</v>
      </c>
      <c r="D821" t="s">
        <v>1278</v>
      </c>
      <c r="E821" t="s">
        <v>1279</v>
      </c>
      <c r="F821">
        <v>28</v>
      </c>
      <c r="G821">
        <v>19.11</v>
      </c>
      <c r="H821">
        <v>63.19</v>
      </c>
      <c r="I821">
        <v>14.77</v>
      </c>
      <c r="J821">
        <v>48.84</v>
      </c>
      <c r="K821">
        <v>14</v>
      </c>
      <c r="T821">
        <v>1</v>
      </c>
      <c r="U821">
        <v>1</v>
      </c>
      <c r="V821" t="s">
        <v>93</v>
      </c>
      <c r="W821" t="s">
        <v>195</v>
      </c>
      <c r="X821">
        <v>8</v>
      </c>
      <c r="Y821">
        <v>8</v>
      </c>
      <c r="Z821" t="s">
        <v>1280</v>
      </c>
      <c r="AA821" t="s">
        <v>1281</v>
      </c>
      <c r="AB821" t="s">
        <v>96</v>
      </c>
      <c r="AC821" t="s">
        <v>97</v>
      </c>
      <c r="AD821" t="s">
        <v>690</v>
      </c>
      <c r="AG821" t="s">
        <v>1282</v>
      </c>
      <c r="AH821">
        <v>0</v>
      </c>
      <c r="AI821">
        <v>444</v>
      </c>
      <c r="AJ821">
        <v>59</v>
      </c>
      <c r="AK821">
        <v>16</v>
      </c>
      <c r="AL821">
        <v>0.56999999999999995</v>
      </c>
    </row>
    <row r="822" spans="1:38" x14ac:dyDescent="0.3">
      <c r="A822" t="s">
        <v>685</v>
      </c>
      <c r="B822">
        <v>108262</v>
      </c>
      <c r="C822">
        <v>2</v>
      </c>
      <c r="D822" t="s">
        <v>1278</v>
      </c>
      <c r="E822" t="s">
        <v>1279</v>
      </c>
      <c r="F822">
        <v>28</v>
      </c>
      <c r="G822">
        <v>19.36</v>
      </c>
      <c r="H822">
        <v>64</v>
      </c>
      <c r="I822">
        <v>14.77</v>
      </c>
      <c r="J822">
        <v>48.83</v>
      </c>
      <c r="K822">
        <v>14</v>
      </c>
      <c r="T822">
        <v>1</v>
      </c>
      <c r="U822">
        <v>1</v>
      </c>
      <c r="V822" t="s">
        <v>93</v>
      </c>
      <c r="W822" t="s">
        <v>279</v>
      </c>
      <c r="X822">
        <v>8</v>
      </c>
      <c r="Y822">
        <v>8</v>
      </c>
      <c r="Z822" t="s">
        <v>1280</v>
      </c>
      <c r="AA822" t="s">
        <v>1281</v>
      </c>
      <c r="AB822" t="s">
        <v>96</v>
      </c>
      <c r="AC822" t="s">
        <v>97</v>
      </c>
      <c r="AD822" t="s">
        <v>690</v>
      </c>
      <c r="AG822" t="s">
        <v>1282</v>
      </c>
      <c r="AH822">
        <v>0</v>
      </c>
      <c r="AI822">
        <v>444</v>
      </c>
      <c r="AJ822">
        <v>59</v>
      </c>
      <c r="AK822">
        <v>16</v>
      </c>
      <c r="AL822">
        <v>0.56999999999999995</v>
      </c>
    </row>
    <row r="823" spans="1:38" x14ac:dyDescent="0.3">
      <c r="A823" t="s">
        <v>685</v>
      </c>
      <c r="B823">
        <v>14787</v>
      </c>
      <c r="C823">
        <v>1</v>
      </c>
      <c r="D823" t="s">
        <v>1283</v>
      </c>
      <c r="E823" t="s">
        <v>1284</v>
      </c>
      <c r="F823">
        <v>53</v>
      </c>
      <c r="G823">
        <v>16.5</v>
      </c>
      <c r="H823">
        <v>54.55</v>
      </c>
      <c r="I823">
        <v>16.5</v>
      </c>
      <c r="J823">
        <v>54.55</v>
      </c>
      <c r="K823">
        <v>1</v>
      </c>
      <c r="T823">
        <v>2</v>
      </c>
      <c r="U823">
        <v>1</v>
      </c>
      <c r="V823" t="s">
        <v>93</v>
      </c>
      <c r="W823">
        <v>54</v>
      </c>
      <c r="X823">
        <v>5</v>
      </c>
      <c r="Y823">
        <v>5</v>
      </c>
      <c r="Z823" t="s">
        <v>1285</v>
      </c>
      <c r="AA823" t="s">
        <v>1286</v>
      </c>
      <c r="AB823" t="s">
        <v>96</v>
      </c>
      <c r="AC823" t="s">
        <v>97</v>
      </c>
      <c r="AD823" t="s">
        <v>690</v>
      </c>
      <c r="AG823" t="s">
        <v>1287</v>
      </c>
      <c r="AH823">
        <v>0</v>
      </c>
      <c r="AI823">
        <v>0</v>
      </c>
      <c r="AJ823">
        <v>0</v>
      </c>
      <c r="AK823">
        <v>0</v>
      </c>
      <c r="AL823">
        <v>0</v>
      </c>
    </row>
    <row r="824" spans="1:38" x14ac:dyDescent="0.3">
      <c r="A824" t="s">
        <v>685</v>
      </c>
      <c r="B824">
        <v>14787</v>
      </c>
      <c r="C824">
        <v>2</v>
      </c>
      <c r="D824" t="s">
        <v>1283</v>
      </c>
      <c r="E824" t="s">
        <v>1284</v>
      </c>
      <c r="F824">
        <v>53</v>
      </c>
      <c r="G824">
        <v>22.92</v>
      </c>
      <c r="H824">
        <v>75.77</v>
      </c>
      <c r="I824">
        <v>21.91</v>
      </c>
      <c r="J824">
        <v>72.459999999999994</v>
      </c>
      <c r="K824">
        <v>3</v>
      </c>
      <c r="T824">
        <v>3</v>
      </c>
      <c r="U824">
        <v>1</v>
      </c>
      <c r="V824" t="s">
        <v>93</v>
      </c>
      <c r="W824" t="s">
        <v>882</v>
      </c>
      <c r="X824">
        <v>5</v>
      </c>
      <c r="Y824">
        <v>5</v>
      </c>
      <c r="Z824" t="s">
        <v>1285</v>
      </c>
      <c r="AA824" t="s">
        <v>1286</v>
      </c>
      <c r="AB824" t="s">
        <v>96</v>
      </c>
      <c r="AC824" t="s">
        <v>97</v>
      </c>
      <c r="AD824" t="s">
        <v>690</v>
      </c>
      <c r="AG824" t="s">
        <v>1287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38" x14ac:dyDescent="0.3">
      <c r="A825" t="s">
        <v>685</v>
      </c>
      <c r="B825">
        <v>14787</v>
      </c>
      <c r="C825">
        <v>3</v>
      </c>
      <c r="D825" t="s">
        <v>1283</v>
      </c>
      <c r="E825" t="s">
        <v>1284</v>
      </c>
      <c r="F825">
        <v>53</v>
      </c>
      <c r="G825">
        <v>22.78</v>
      </c>
      <c r="H825">
        <v>75.31</v>
      </c>
      <c r="I825">
        <v>22.78</v>
      </c>
      <c r="J825">
        <v>75.31</v>
      </c>
      <c r="K825">
        <v>1</v>
      </c>
      <c r="T825">
        <v>3</v>
      </c>
      <c r="U825">
        <v>1</v>
      </c>
      <c r="V825" t="s">
        <v>93</v>
      </c>
      <c r="W825" t="s">
        <v>881</v>
      </c>
      <c r="X825">
        <v>5</v>
      </c>
      <c r="Y825">
        <v>5</v>
      </c>
      <c r="Z825" t="s">
        <v>1285</v>
      </c>
      <c r="AA825" t="s">
        <v>1286</v>
      </c>
      <c r="AB825" t="s">
        <v>96</v>
      </c>
      <c r="AC825" t="s">
        <v>97</v>
      </c>
      <c r="AD825" t="s">
        <v>690</v>
      </c>
      <c r="AG825" t="s">
        <v>1287</v>
      </c>
      <c r="AH825">
        <v>0</v>
      </c>
      <c r="AI825">
        <v>0</v>
      </c>
      <c r="AJ825">
        <v>0</v>
      </c>
      <c r="AK825">
        <v>0</v>
      </c>
      <c r="AL825">
        <v>0</v>
      </c>
    </row>
    <row r="826" spans="1:38" x14ac:dyDescent="0.3">
      <c r="A826" t="s">
        <v>685</v>
      </c>
      <c r="B826">
        <v>14787</v>
      </c>
      <c r="C826">
        <v>4</v>
      </c>
      <c r="D826" t="s">
        <v>1283</v>
      </c>
      <c r="E826" t="s">
        <v>1284</v>
      </c>
      <c r="F826">
        <v>53</v>
      </c>
      <c r="G826">
        <v>23.07</v>
      </c>
      <c r="H826">
        <v>76.27</v>
      </c>
      <c r="I826">
        <v>22.07</v>
      </c>
      <c r="J826">
        <v>72.959999999999994</v>
      </c>
      <c r="K826">
        <v>33</v>
      </c>
      <c r="T826">
        <v>3</v>
      </c>
      <c r="U826">
        <v>1</v>
      </c>
      <c r="V826" t="s">
        <v>93</v>
      </c>
      <c r="W826" t="s">
        <v>1126</v>
      </c>
      <c r="X826">
        <v>5</v>
      </c>
      <c r="Y826">
        <v>5</v>
      </c>
      <c r="Z826" t="s">
        <v>1285</v>
      </c>
      <c r="AA826" t="s">
        <v>1286</v>
      </c>
      <c r="AB826" t="s">
        <v>96</v>
      </c>
      <c r="AC826" t="s">
        <v>97</v>
      </c>
      <c r="AD826" t="s">
        <v>690</v>
      </c>
      <c r="AG826" t="s">
        <v>1287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38" x14ac:dyDescent="0.3">
      <c r="A827" t="s">
        <v>685</v>
      </c>
      <c r="B827">
        <v>14787</v>
      </c>
      <c r="C827">
        <v>5</v>
      </c>
      <c r="D827" t="s">
        <v>1283</v>
      </c>
      <c r="E827" t="s">
        <v>1284</v>
      </c>
      <c r="F827">
        <v>53</v>
      </c>
      <c r="G827">
        <v>25.48</v>
      </c>
      <c r="H827">
        <v>84.24</v>
      </c>
      <c r="I827">
        <v>24.48</v>
      </c>
      <c r="J827">
        <v>80.930000000000007</v>
      </c>
      <c r="K827">
        <v>8</v>
      </c>
      <c r="T827">
        <v>3</v>
      </c>
      <c r="U827">
        <v>2</v>
      </c>
      <c r="V827" t="s">
        <v>93</v>
      </c>
      <c r="W827" t="s">
        <v>221</v>
      </c>
      <c r="X827">
        <v>5</v>
      </c>
      <c r="Y827">
        <v>5</v>
      </c>
      <c r="Z827" t="s">
        <v>1285</v>
      </c>
      <c r="AA827" t="s">
        <v>1286</v>
      </c>
      <c r="AB827" t="s">
        <v>96</v>
      </c>
      <c r="AC827" t="s">
        <v>97</v>
      </c>
      <c r="AD827" t="s">
        <v>690</v>
      </c>
      <c r="AG827" t="s">
        <v>1287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 x14ac:dyDescent="0.3">
      <c r="A828" t="s">
        <v>685</v>
      </c>
      <c r="B828">
        <v>14787</v>
      </c>
      <c r="C828">
        <v>6</v>
      </c>
      <c r="D828" t="s">
        <v>1283</v>
      </c>
      <c r="E828" t="s">
        <v>1284</v>
      </c>
      <c r="F828">
        <v>53</v>
      </c>
      <c r="G828">
        <v>25.47</v>
      </c>
      <c r="H828">
        <v>84.23</v>
      </c>
      <c r="I828">
        <v>24.47</v>
      </c>
      <c r="J828">
        <v>80.92</v>
      </c>
      <c r="K828">
        <v>2</v>
      </c>
      <c r="T828">
        <v>3</v>
      </c>
      <c r="U828">
        <v>2</v>
      </c>
      <c r="V828" t="s">
        <v>93</v>
      </c>
      <c r="W828" t="s">
        <v>383</v>
      </c>
      <c r="X828">
        <v>5</v>
      </c>
      <c r="Y828">
        <v>5</v>
      </c>
      <c r="Z828" t="s">
        <v>1285</v>
      </c>
      <c r="AA828" t="s">
        <v>1286</v>
      </c>
      <c r="AB828" t="s">
        <v>96</v>
      </c>
      <c r="AC828" t="s">
        <v>97</v>
      </c>
      <c r="AD828" t="s">
        <v>690</v>
      </c>
      <c r="AG828" t="s">
        <v>1287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 x14ac:dyDescent="0.3">
      <c r="A829" t="s">
        <v>685</v>
      </c>
      <c r="B829">
        <v>14787</v>
      </c>
      <c r="C829">
        <v>7</v>
      </c>
      <c r="D829" t="s">
        <v>1283</v>
      </c>
      <c r="E829" t="s">
        <v>1284</v>
      </c>
      <c r="F829">
        <v>53</v>
      </c>
      <c r="G829">
        <v>25.54</v>
      </c>
      <c r="H829">
        <v>84.46</v>
      </c>
      <c r="I829">
        <v>25.54</v>
      </c>
      <c r="J829">
        <v>84.46</v>
      </c>
      <c r="K829">
        <v>1</v>
      </c>
      <c r="T829">
        <v>3</v>
      </c>
      <c r="U829">
        <v>2</v>
      </c>
      <c r="V829" t="s">
        <v>93</v>
      </c>
      <c r="W829" t="s">
        <v>221</v>
      </c>
      <c r="X829">
        <v>5</v>
      </c>
      <c r="Y829">
        <v>5</v>
      </c>
      <c r="Z829" t="s">
        <v>1285</v>
      </c>
      <c r="AA829" t="s">
        <v>1286</v>
      </c>
      <c r="AB829" t="s">
        <v>96</v>
      </c>
      <c r="AC829" t="s">
        <v>97</v>
      </c>
      <c r="AD829" t="s">
        <v>690</v>
      </c>
      <c r="AG829" t="s">
        <v>1287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38" x14ac:dyDescent="0.3">
      <c r="A830" t="s">
        <v>685</v>
      </c>
      <c r="B830">
        <v>14787</v>
      </c>
      <c r="C830">
        <v>8</v>
      </c>
      <c r="D830" t="s">
        <v>1283</v>
      </c>
      <c r="E830" t="s">
        <v>1284</v>
      </c>
      <c r="F830">
        <v>53</v>
      </c>
      <c r="G830">
        <v>27.91</v>
      </c>
      <c r="H830">
        <v>92.27</v>
      </c>
      <c r="I830">
        <v>26.91</v>
      </c>
      <c r="J830">
        <v>88.96</v>
      </c>
      <c r="K830">
        <v>3</v>
      </c>
      <c r="T830">
        <v>3</v>
      </c>
      <c r="U830">
        <v>2</v>
      </c>
      <c r="V830" t="s">
        <v>93</v>
      </c>
      <c r="W830" t="s">
        <v>170</v>
      </c>
      <c r="X830">
        <v>5</v>
      </c>
      <c r="Y830">
        <v>5</v>
      </c>
      <c r="Z830" t="s">
        <v>1285</v>
      </c>
      <c r="AA830" t="s">
        <v>1286</v>
      </c>
      <c r="AB830" t="s">
        <v>96</v>
      </c>
      <c r="AC830" t="s">
        <v>97</v>
      </c>
      <c r="AD830" t="s">
        <v>690</v>
      </c>
      <c r="AG830" t="s">
        <v>1287</v>
      </c>
      <c r="AH830">
        <v>0</v>
      </c>
      <c r="AI830">
        <v>0</v>
      </c>
      <c r="AJ830">
        <v>0</v>
      </c>
      <c r="AK830">
        <v>0</v>
      </c>
      <c r="AL830">
        <v>0</v>
      </c>
    </row>
    <row r="831" spans="1:38" x14ac:dyDescent="0.3">
      <c r="A831" t="s">
        <v>685</v>
      </c>
      <c r="B831">
        <v>14787</v>
      </c>
      <c r="C831">
        <v>9</v>
      </c>
      <c r="D831" t="s">
        <v>1283</v>
      </c>
      <c r="E831" t="s">
        <v>1284</v>
      </c>
      <c r="F831">
        <v>53</v>
      </c>
      <c r="G831">
        <v>27.9</v>
      </c>
      <c r="H831">
        <v>92.26</v>
      </c>
      <c r="I831">
        <v>26.9</v>
      </c>
      <c r="J831">
        <v>88.95</v>
      </c>
      <c r="K831">
        <v>1</v>
      </c>
      <c r="T831">
        <v>3</v>
      </c>
      <c r="U831">
        <v>2</v>
      </c>
      <c r="V831" t="s">
        <v>93</v>
      </c>
      <c r="W831" t="s">
        <v>166</v>
      </c>
      <c r="X831">
        <v>5</v>
      </c>
      <c r="Y831">
        <v>5</v>
      </c>
      <c r="Z831" t="s">
        <v>1285</v>
      </c>
      <c r="AA831" t="s">
        <v>1286</v>
      </c>
      <c r="AB831" t="s">
        <v>96</v>
      </c>
      <c r="AC831" t="s">
        <v>97</v>
      </c>
      <c r="AD831" t="s">
        <v>690</v>
      </c>
      <c r="AG831" t="s">
        <v>1287</v>
      </c>
      <c r="AH831">
        <v>0</v>
      </c>
      <c r="AI831">
        <v>0</v>
      </c>
      <c r="AJ831">
        <v>0</v>
      </c>
      <c r="AK831">
        <v>0</v>
      </c>
      <c r="AL831">
        <v>0</v>
      </c>
    </row>
    <row r="832" spans="1:38" x14ac:dyDescent="0.3">
      <c r="A832" t="s">
        <v>685</v>
      </c>
      <c r="B832">
        <v>126129</v>
      </c>
      <c r="C832">
        <v>1</v>
      </c>
      <c r="D832" t="s">
        <v>1288</v>
      </c>
      <c r="E832" t="s">
        <v>497</v>
      </c>
      <c r="F832">
        <v>10</v>
      </c>
      <c r="G832">
        <v>14.65</v>
      </c>
      <c r="H832">
        <v>48.46</v>
      </c>
      <c r="I832">
        <v>12.84</v>
      </c>
      <c r="J832">
        <v>42.47</v>
      </c>
      <c r="K832">
        <v>4</v>
      </c>
      <c r="T832">
        <v>2</v>
      </c>
      <c r="U832">
        <v>1</v>
      </c>
      <c r="V832" t="s">
        <v>93</v>
      </c>
      <c r="W832">
        <v>48</v>
      </c>
      <c r="X832">
        <v>7</v>
      </c>
      <c r="Y832">
        <v>6</v>
      </c>
      <c r="Z832" t="s">
        <v>1289</v>
      </c>
      <c r="AA832" t="s">
        <v>1290</v>
      </c>
      <c r="AB832" t="s">
        <v>96</v>
      </c>
      <c r="AC832" t="s">
        <v>97</v>
      </c>
      <c r="AD832" t="s">
        <v>690</v>
      </c>
      <c r="AG832" t="s">
        <v>1291</v>
      </c>
      <c r="AH832">
        <v>0</v>
      </c>
      <c r="AI832">
        <v>340</v>
      </c>
      <c r="AJ832">
        <v>59</v>
      </c>
      <c r="AK832">
        <v>10</v>
      </c>
      <c r="AL832">
        <v>1</v>
      </c>
    </row>
    <row r="833" spans="1:38" x14ac:dyDescent="0.3">
      <c r="A833" t="s">
        <v>685</v>
      </c>
      <c r="B833">
        <v>126129</v>
      </c>
      <c r="C833">
        <v>2</v>
      </c>
      <c r="D833" t="s">
        <v>1288</v>
      </c>
      <c r="E833" t="s">
        <v>497</v>
      </c>
      <c r="F833">
        <v>10</v>
      </c>
      <c r="G833">
        <v>20.63</v>
      </c>
      <c r="H833">
        <v>68.209999999999994</v>
      </c>
      <c r="I833">
        <v>18.079999999999998</v>
      </c>
      <c r="J833">
        <v>59.78</v>
      </c>
      <c r="K833">
        <v>4</v>
      </c>
      <c r="T833">
        <v>3</v>
      </c>
      <c r="U833">
        <v>1</v>
      </c>
      <c r="V833" t="s">
        <v>93</v>
      </c>
      <c r="W833">
        <v>68</v>
      </c>
      <c r="X833">
        <v>7</v>
      </c>
      <c r="Y833">
        <v>6</v>
      </c>
      <c r="Z833" t="s">
        <v>1289</v>
      </c>
      <c r="AA833" t="s">
        <v>1290</v>
      </c>
      <c r="AB833" t="s">
        <v>96</v>
      </c>
      <c r="AC833" t="s">
        <v>97</v>
      </c>
      <c r="AD833" t="s">
        <v>690</v>
      </c>
      <c r="AG833" t="s">
        <v>1291</v>
      </c>
      <c r="AH833">
        <v>0</v>
      </c>
      <c r="AI833">
        <v>340</v>
      </c>
      <c r="AJ833">
        <v>59</v>
      </c>
      <c r="AK833">
        <v>10</v>
      </c>
      <c r="AL833">
        <v>1</v>
      </c>
    </row>
    <row r="834" spans="1:38" x14ac:dyDescent="0.3">
      <c r="A834" t="s">
        <v>685</v>
      </c>
      <c r="B834">
        <v>126129</v>
      </c>
      <c r="C834">
        <v>3</v>
      </c>
      <c r="D834" t="s">
        <v>1288</v>
      </c>
      <c r="E834" t="s">
        <v>497</v>
      </c>
      <c r="F834">
        <v>10</v>
      </c>
      <c r="G834">
        <v>23.17</v>
      </c>
      <c r="H834">
        <v>76.599999999999994</v>
      </c>
      <c r="I834">
        <v>20.3</v>
      </c>
      <c r="J834">
        <v>67.14</v>
      </c>
      <c r="K834">
        <v>2</v>
      </c>
      <c r="T834">
        <v>3</v>
      </c>
      <c r="U834">
        <v>1</v>
      </c>
      <c r="V834" t="s">
        <v>93</v>
      </c>
      <c r="W834">
        <v>76</v>
      </c>
      <c r="X834">
        <v>7</v>
      </c>
      <c r="Y834">
        <v>6</v>
      </c>
      <c r="Z834" t="s">
        <v>1289</v>
      </c>
      <c r="AA834" t="s">
        <v>1290</v>
      </c>
      <c r="AB834" t="s">
        <v>96</v>
      </c>
      <c r="AC834" t="s">
        <v>97</v>
      </c>
      <c r="AD834" t="s">
        <v>690</v>
      </c>
      <c r="AG834" t="s">
        <v>1291</v>
      </c>
      <c r="AH834">
        <v>0</v>
      </c>
      <c r="AI834">
        <v>340</v>
      </c>
      <c r="AJ834">
        <v>59</v>
      </c>
      <c r="AK834">
        <v>10</v>
      </c>
      <c r="AL834">
        <v>1</v>
      </c>
    </row>
    <row r="835" spans="1:38" x14ac:dyDescent="0.3">
      <c r="A835" t="s">
        <v>685</v>
      </c>
      <c r="B835">
        <v>145047</v>
      </c>
      <c r="C835">
        <v>1</v>
      </c>
      <c r="D835" t="s">
        <v>1292</v>
      </c>
      <c r="E835" t="s">
        <v>1293</v>
      </c>
      <c r="F835">
        <v>1115</v>
      </c>
      <c r="G835">
        <v>21.7</v>
      </c>
      <c r="H835">
        <v>71.760000000000005</v>
      </c>
      <c r="I835">
        <v>16.010000000000002</v>
      </c>
      <c r="J835">
        <v>52.93</v>
      </c>
      <c r="K835">
        <v>11</v>
      </c>
      <c r="T835">
        <v>2</v>
      </c>
      <c r="U835">
        <v>1</v>
      </c>
      <c r="V835" t="s">
        <v>93</v>
      </c>
      <c r="W835">
        <v>71</v>
      </c>
      <c r="X835">
        <v>35</v>
      </c>
      <c r="Y835">
        <v>10</v>
      </c>
      <c r="Z835" t="s">
        <v>1294</v>
      </c>
      <c r="AA835" t="s">
        <v>1295</v>
      </c>
      <c r="AB835" t="s">
        <v>96</v>
      </c>
      <c r="AC835" t="s">
        <v>97</v>
      </c>
      <c r="AD835" t="s">
        <v>690</v>
      </c>
      <c r="AG835" t="s">
        <v>1296</v>
      </c>
      <c r="AH835">
        <v>56</v>
      </c>
      <c r="AI835">
        <v>0</v>
      </c>
      <c r="AJ835">
        <v>0</v>
      </c>
      <c r="AK835">
        <v>1494</v>
      </c>
      <c r="AL835">
        <v>1.34</v>
      </c>
    </row>
    <row r="836" spans="1:38" x14ac:dyDescent="0.3">
      <c r="A836" t="s">
        <v>685</v>
      </c>
      <c r="B836">
        <v>145047</v>
      </c>
      <c r="C836">
        <v>2</v>
      </c>
      <c r="D836" t="s">
        <v>1292</v>
      </c>
      <c r="E836" t="s">
        <v>1293</v>
      </c>
      <c r="F836">
        <v>1115</v>
      </c>
      <c r="G836">
        <v>24.44</v>
      </c>
      <c r="H836">
        <v>80.81</v>
      </c>
      <c r="I836">
        <v>18.09</v>
      </c>
      <c r="J836">
        <v>59.81</v>
      </c>
      <c r="K836">
        <v>84</v>
      </c>
      <c r="T836">
        <v>3</v>
      </c>
      <c r="U836">
        <v>2</v>
      </c>
      <c r="V836" t="s">
        <v>93</v>
      </c>
      <c r="W836" t="s">
        <v>322</v>
      </c>
      <c r="X836">
        <v>35</v>
      </c>
      <c r="Y836">
        <v>10</v>
      </c>
      <c r="Z836" t="s">
        <v>1294</v>
      </c>
      <c r="AA836" t="s">
        <v>1295</v>
      </c>
      <c r="AB836" t="s">
        <v>96</v>
      </c>
      <c r="AC836" t="s">
        <v>97</v>
      </c>
      <c r="AD836" t="s">
        <v>690</v>
      </c>
      <c r="AG836" t="s">
        <v>1296</v>
      </c>
      <c r="AH836">
        <v>56</v>
      </c>
      <c r="AI836">
        <v>0</v>
      </c>
      <c r="AJ836">
        <v>0</v>
      </c>
      <c r="AK836">
        <v>1494</v>
      </c>
      <c r="AL836">
        <v>1.34</v>
      </c>
    </row>
    <row r="837" spans="1:38" x14ac:dyDescent="0.3">
      <c r="A837" t="s">
        <v>685</v>
      </c>
      <c r="B837">
        <v>145047</v>
      </c>
      <c r="C837">
        <v>3</v>
      </c>
      <c r="D837" t="s">
        <v>1292</v>
      </c>
      <c r="E837" t="s">
        <v>1293</v>
      </c>
      <c r="F837">
        <v>1115</v>
      </c>
      <c r="G837">
        <v>24.5</v>
      </c>
      <c r="H837">
        <v>81.010000000000005</v>
      </c>
      <c r="I837">
        <v>18.14</v>
      </c>
      <c r="J837">
        <v>59.97</v>
      </c>
      <c r="K837">
        <v>218</v>
      </c>
      <c r="T837">
        <v>3</v>
      </c>
      <c r="U837">
        <v>2</v>
      </c>
      <c r="V837" t="s">
        <v>93</v>
      </c>
      <c r="W837" t="s">
        <v>502</v>
      </c>
      <c r="X837">
        <v>35</v>
      </c>
      <c r="Y837">
        <v>10</v>
      </c>
      <c r="Z837" t="s">
        <v>1294</v>
      </c>
      <c r="AA837" t="s">
        <v>1295</v>
      </c>
      <c r="AB837" t="s">
        <v>96</v>
      </c>
      <c r="AC837" t="s">
        <v>97</v>
      </c>
      <c r="AD837" t="s">
        <v>690</v>
      </c>
      <c r="AG837" t="s">
        <v>1296</v>
      </c>
      <c r="AH837">
        <v>56</v>
      </c>
      <c r="AI837">
        <v>0</v>
      </c>
      <c r="AJ837">
        <v>0</v>
      </c>
      <c r="AK837">
        <v>1494</v>
      </c>
      <c r="AL837">
        <v>1.34</v>
      </c>
    </row>
    <row r="838" spans="1:38" x14ac:dyDescent="0.3">
      <c r="A838" t="s">
        <v>685</v>
      </c>
      <c r="B838">
        <v>145047</v>
      </c>
      <c r="C838">
        <v>4</v>
      </c>
      <c r="D838" t="s">
        <v>1292</v>
      </c>
      <c r="E838" t="s">
        <v>1293</v>
      </c>
      <c r="F838">
        <v>1115</v>
      </c>
      <c r="G838">
        <v>25.76</v>
      </c>
      <c r="H838">
        <v>85.18</v>
      </c>
      <c r="I838">
        <v>19.04</v>
      </c>
      <c r="J838">
        <v>62.97</v>
      </c>
      <c r="K838">
        <v>116</v>
      </c>
      <c r="T838">
        <v>3</v>
      </c>
      <c r="U838">
        <v>2</v>
      </c>
      <c r="V838" t="s">
        <v>93</v>
      </c>
      <c r="W838">
        <v>85</v>
      </c>
      <c r="X838">
        <v>35</v>
      </c>
      <c r="Y838">
        <v>10</v>
      </c>
      <c r="Z838" t="s">
        <v>1294</v>
      </c>
      <c r="AA838" t="s">
        <v>1295</v>
      </c>
      <c r="AB838" t="s">
        <v>96</v>
      </c>
      <c r="AC838" t="s">
        <v>97</v>
      </c>
      <c r="AD838" t="s">
        <v>690</v>
      </c>
      <c r="AG838" t="s">
        <v>1296</v>
      </c>
      <c r="AH838">
        <v>56</v>
      </c>
      <c r="AI838">
        <v>0</v>
      </c>
      <c r="AJ838">
        <v>0</v>
      </c>
      <c r="AK838">
        <v>1494</v>
      </c>
      <c r="AL838">
        <v>1.34</v>
      </c>
    </row>
    <row r="839" spans="1:38" x14ac:dyDescent="0.3">
      <c r="A839" t="s">
        <v>685</v>
      </c>
      <c r="B839">
        <v>145047</v>
      </c>
      <c r="C839">
        <v>5</v>
      </c>
      <c r="D839" t="s">
        <v>1292</v>
      </c>
      <c r="E839" t="s">
        <v>1293</v>
      </c>
      <c r="F839">
        <v>1115</v>
      </c>
      <c r="G839">
        <v>29.43</v>
      </c>
      <c r="H839">
        <v>97.3</v>
      </c>
      <c r="I839">
        <v>22.03</v>
      </c>
      <c r="J839">
        <v>72.83</v>
      </c>
      <c r="K839">
        <v>134</v>
      </c>
      <c r="T839">
        <v>3</v>
      </c>
      <c r="U839">
        <v>2</v>
      </c>
      <c r="V839" t="s">
        <v>93</v>
      </c>
      <c r="W839" t="s">
        <v>1297</v>
      </c>
      <c r="X839">
        <v>35</v>
      </c>
      <c r="Y839">
        <v>10</v>
      </c>
      <c r="Z839" t="s">
        <v>1294</v>
      </c>
      <c r="AA839" t="s">
        <v>1295</v>
      </c>
      <c r="AB839" t="s">
        <v>96</v>
      </c>
      <c r="AC839" t="s">
        <v>97</v>
      </c>
      <c r="AD839" t="s">
        <v>690</v>
      </c>
      <c r="AG839" t="s">
        <v>1296</v>
      </c>
      <c r="AH839">
        <v>56</v>
      </c>
      <c r="AI839">
        <v>0</v>
      </c>
      <c r="AJ839">
        <v>0</v>
      </c>
      <c r="AK839">
        <v>1494</v>
      </c>
      <c r="AL839">
        <v>1.34</v>
      </c>
    </row>
    <row r="840" spans="1:38" x14ac:dyDescent="0.3">
      <c r="A840" t="s">
        <v>685</v>
      </c>
      <c r="B840">
        <v>145047</v>
      </c>
      <c r="C840">
        <v>6</v>
      </c>
      <c r="D840" t="s">
        <v>1292</v>
      </c>
      <c r="E840" t="s">
        <v>1293</v>
      </c>
      <c r="F840">
        <v>1115</v>
      </c>
      <c r="G840">
        <v>29.34</v>
      </c>
      <c r="H840">
        <v>97.02</v>
      </c>
      <c r="I840">
        <v>21.96</v>
      </c>
      <c r="J840">
        <v>72.61</v>
      </c>
      <c r="K840">
        <v>70</v>
      </c>
      <c r="T840">
        <v>3</v>
      </c>
      <c r="U840">
        <v>2</v>
      </c>
      <c r="V840" t="s">
        <v>93</v>
      </c>
      <c r="W840" t="s">
        <v>1298</v>
      </c>
      <c r="X840">
        <v>35</v>
      </c>
      <c r="Y840">
        <v>10</v>
      </c>
      <c r="Z840" t="s">
        <v>1294</v>
      </c>
      <c r="AA840" t="s">
        <v>1295</v>
      </c>
      <c r="AB840" t="s">
        <v>96</v>
      </c>
      <c r="AC840" t="s">
        <v>97</v>
      </c>
      <c r="AD840" t="s">
        <v>690</v>
      </c>
      <c r="AG840" t="s">
        <v>1296</v>
      </c>
      <c r="AH840">
        <v>56</v>
      </c>
      <c r="AI840">
        <v>0</v>
      </c>
      <c r="AJ840">
        <v>0</v>
      </c>
      <c r="AK840">
        <v>1494</v>
      </c>
      <c r="AL840">
        <v>1.34</v>
      </c>
    </row>
    <row r="841" spans="1:38" x14ac:dyDescent="0.3">
      <c r="A841" t="s">
        <v>685</v>
      </c>
      <c r="B841">
        <v>145047</v>
      </c>
      <c r="C841">
        <v>7</v>
      </c>
      <c r="D841" t="s">
        <v>1292</v>
      </c>
      <c r="E841" t="s">
        <v>1293</v>
      </c>
      <c r="F841">
        <v>1115</v>
      </c>
      <c r="G841">
        <v>29.52</v>
      </c>
      <c r="H841">
        <v>97.6</v>
      </c>
      <c r="I841">
        <v>22.05</v>
      </c>
      <c r="J841">
        <v>72.92</v>
      </c>
      <c r="K841">
        <v>70</v>
      </c>
      <c r="T841">
        <v>3</v>
      </c>
      <c r="U841">
        <v>2</v>
      </c>
      <c r="V841" t="s">
        <v>93</v>
      </c>
      <c r="W841" t="s">
        <v>1299</v>
      </c>
      <c r="X841">
        <v>35</v>
      </c>
      <c r="Y841">
        <v>10</v>
      </c>
      <c r="Z841" t="s">
        <v>1294</v>
      </c>
      <c r="AA841" t="s">
        <v>1295</v>
      </c>
      <c r="AB841" t="s">
        <v>96</v>
      </c>
      <c r="AC841" t="s">
        <v>97</v>
      </c>
      <c r="AD841" t="s">
        <v>690</v>
      </c>
      <c r="AG841" t="s">
        <v>1296</v>
      </c>
      <c r="AH841">
        <v>56</v>
      </c>
      <c r="AI841">
        <v>0</v>
      </c>
      <c r="AJ841">
        <v>0</v>
      </c>
      <c r="AK841">
        <v>1494</v>
      </c>
      <c r="AL841">
        <v>1.34</v>
      </c>
    </row>
    <row r="842" spans="1:38" x14ac:dyDescent="0.3">
      <c r="A842" t="s">
        <v>685</v>
      </c>
      <c r="B842">
        <v>145047</v>
      </c>
      <c r="C842">
        <v>8</v>
      </c>
      <c r="D842" t="s">
        <v>1292</v>
      </c>
      <c r="E842" t="s">
        <v>1293</v>
      </c>
      <c r="F842">
        <v>1115</v>
      </c>
      <c r="G842">
        <v>34.14</v>
      </c>
      <c r="H842">
        <v>112.86</v>
      </c>
      <c r="I842">
        <v>25.7</v>
      </c>
      <c r="J842">
        <v>84.97</v>
      </c>
      <c r="K842">
        <v>146</v>
      </c>
      <c r="T842">
        <v>3</v>
      </c>
      <c r="U842">
        <v>2</v>
      </c>
      <c r="V842" t="s">
        <v>93</v>
      </c>
      <c r="W842" t="s">
        <v>729</v>
      </c>
      <c r="X842">
        <v>35</v>
      </c>
      <c r="Y842">
        <v>10</v>
      </c>
      <c r="Z842" t="s">
        <v>1294</v>
      </c>
      <c r="AA842" t="s">
        <v>1295</v>
      </c>
      <c r="AB842" t="s">
        <v>96</v>
      </c>
      <c r="AC842" t="s">
        <v>97</v>
      </c>
      <c r="AD842" t="s">
        <v>690</v>
      </c>
      <c r="AG842" t="s">
        <v>1296</v>
      </c>
      <c r="AH842">
        <v>56</v>
      </c>
      <c r="AI842">
        <v>0</v>
      </c>
      <c r="AJ842">
        <v>0</v>
      </c>
      <c r="AK842">
        <v>1494</v>
      </c>
      <c r="AL842">
        <v>1.34</v>
      </c>
    </row>
    <row r="843" spans="1:38" x14ac:dyDescent="0.3">
      <c r="A843" t="s">
        <v>685</v>
      </c>
      <c r="B843">
        <v>145047</v>
      </c>
      <c r="C843">
        <v>9</v>
      </c>
      <c r="D843" t="s">
        <v>1292</v>
      </c>
      <c r="E843" t="s">
        <v>1293</v>
      </c>
      <c r="F843">
        <v>1115</v>
      </c>
      <c r="G843">
        <v>34.06</v>
      </c>
      <c r="H843">
        <v>112.6</v>
      </c>
      <c r="I843">
        <v>25.63</v>
      </c>
      <c r="J843">
        <v>84.76</v>
      </c>
      <c r="K843">
        <v>65</v>
      </c>
      <c r="T843">
        <v>3</v>
      </c>
      <c r="U843">
        <v>2</v>
      </c>
      <c r="V843" t="s">
        <v>93</v>
      </c>
      <c r="W843" t="s">
        <v>1300</v>
      </c>
      <c r="X843">
        <v>35</v>
      </c>
      <c r="Y843">
        <v>10</v>
      </c>
      <c r="Z843" t="s">
        <v>1294</v>
      </c>
      <c r="AA843" t="s">
        <v>1295</v>
      </c>
      <c r="AB843" t="s">
        <v>96</v>
      </c>
      <c r="AC843" t="s">
        <v>97</v>
      </c>
      <c r="AD843" t="s">
        <v>690</v>
      </c>
      <c r="AG843" t="s">
        <v>1296</v>
      </c>
      <c r="AH843">
        <v>56</v>
      </c>
      <c r="AI843">
        <v>0</v>
      </c>
      <c r="AJ843">
        <v>0</v>
      </c>
      <c r="AK843">
        <v>1494</v>
      </c>
      <c r="AL843">
        <v>1.34</v>
      </c>
    </row>
    <row r="844" spans="1:38" x14ac:dyDescent="0.3">
      <c r="A844" t="s">
        <v>685</v>
      </c>
      <c r="B844">
        <v>145047</v>
      </c>
      <c r="C844">
        <v>10</v>
      </c>
      <c r="D844" t="s">
        <v>1292</v>
      </c>
      <c r="E844" t="s">
        <v>1293</v>
      </c>
      <c r="F844">
        <v>1115</v>
      </c>
      <c r="G844">
        <v>34.200000000000003</v>
      </c>
      <c r="H844">
        <v>113.09</v>
      </c>
      <c r="I844">
        <v>25.7</v>
      </c>
      <c r="J844">
        <v>84.98</v>
      </c>
      <c r="K844">
        <v>87</v>
      </c>
      <c r="T844">
        <v>3</v>
      </c>
      <c r="U844">
        <v>2</v>
      </c>
      <c r="V844" t="s">
        <v>93</v>
      </c>
      <c r="W844" t="s">
        <v>1301</v>
      </c>
      <c r="X844">
        <v>35</v>
      </c>
      <c r="Y844">
        <v>10</v>
      </c>
      <c r="Z844" t="s">
        <v>1294</v>
      </c>
      <c r="AA844" t="s">
        <v>1295</v>
      </c>
      <c r="AB844" t="s">
        <v>96</v>
      </c>
      <c r="AC844" t="s">
        <v>97</v>
      </c>
      <c r="AD844" t="s">
        <v>690</v>
      </c>
      <c r="AG844" t="s">
        <v>1296</v>
      </c>
      <c r="AH844">
        <v>56</v>
      </c>
      <c r="AI844">
        <v>0</v>
      </c>
      <c r="AJ844">
        <v>0</v>
      </c>
      <c r="AK844">
        <v>1494</v>
      </c>
      <c r="AL844">
        <v>1.34</v>
      </c>
    </row>
    <row r="845" spans="1:38" x14ac:dyDescent="0.3">
      <c r="A845" t="s">
        <v>685</v>
      </c>
      <c r="B845">
        <v>145047</v>
      </c>
      <c r="C845">
        <v>11</v>
      </c>
      <c r="D845" t="s">
        <v>1292</v>
      </c>
      <c r="E845" t="s">
        <v>1293</v>
      </c>
      <c r="F845">
        <v>1115</v>
      </c>
      <c r="G845">
        <v>43.9</v>
      </c>
      <c r="H845">
        <v>145.13</v>
      </c>
      <c r="I845">
        <v>33.07</v>
      </c>
      <c r="J845">
        <v>109.33</v>
      </c>
      <c r="K845">
        <v>58</v>
      </c>
      <c r="T845">
        <v>4</v>
      </c>
      <c r="U845">
        <v>2</v>
      </c>
      <c r="V845" t="s">
        <v>93</v>
      </c>
      <c r="W845">
        <v>145</v>
      </c>
      <c r="X845">
        <v>35</v>
      </c>
      <c r="Y845">
        <v>10</v>
      </c>
      <c r="Z845" t="s">
        <v>1294</v>
      </c>
      <c r="AA845" t="s">
        <v>1295</v>
      </c>
      <c r="AB845" t="s">
        <v>96</v>
      </c>
      <c r="AC845" t="s">
        <v>97</v>
      </c>
      <c r="AD845" t="s">
        <v>690</v>
      </c>
      <c r="AG845" t="s">
        <v>1296</v>
      </c>
      <c r="AH845">
        <v>56</v>
      </c>
      <c r="AI845">
        <v>0</v>
      </c>
      <c r="AJ845">
        <v>0</v>
      </c>
      <c r="AK845">
        <v>1494</v>
      </c>
      <c r="AL845">
        <v>1.34</v>
      </c>
    </row>
    <row r="846" spans="1:38" x14ac:dyDescent="0.3">
      <c r="A846" t="s">
        <v>685</v>
      </c>
      <c r="B846">
        <v>143694</v>
      </c>
      <c r="C846">
        <v>1</v>
      </c>
      <c r="D846" t="s">
        <v>1302</v>
      </c>
      <c r="E846" t="s">
        <v>1303</v>
      </c>
      <c r="F846">
        <v>12</v>
      </c>
      <c r="G846">
        <v>22.62</v>
      </c>
      <c r="H846">
        <v>74.78</v>
      </c>
      <c r="I846">
        <v>18.100000000000001</v>
      </c>
      <c r="J846">
        <v>59.84</v>
      </c>
      <c r="K846">
        <v>4</v>
      </c>
      <c r="T846">
        <v>3</v>
      </c>
      <c r="U846">
        <v>2</v>
      </c>
      <c r="V846" t="s">
        <v>93</v>
      </c>
      <c r="W846" t="s">
        <v>406</v>
      </c>
      <c r="X846">
        <v>10</v>
      </c>
      <c r="Y846">
        <v>10</v>
      </c>
      <c r="Z846" t="s">
        <v>1304</v>
      </c>
      <c r="AA846" t="s">
        <v>1305</v>
      </c>
      <c r="AB846" t="s">
        <v>96</v>
      </c>
      <c r="AC846" t="s">
        <v>97</v>
      </c>
      <c r="AD846" t="s">
        <v>690</v>
      </c>
      <c r="AG846" t="s">
        <v>1306</v>
      </c>
      <c r="AH846">
        <v>0</v>
      </c>
      <c r="AI846">
        <v>545</v>
      </c>
      <c r="AJ846">
        <v>67</v>
      </c>
      <c r="AK846">
        <v>10</v>
      </c>
      <c r="AL846">
        <v>0.83</v>
      </c>
    </row>
    <row r="847" spans="1:38" x14ac:dyDescent="0.3">
      <c r="A847" t="s">
        <v>685</v>
      </c>
      <c r="B847">
        <v>143694</v>
      </c>
      <c r="C847">
        <v>2</v>
      </c>
      <c r="D847" t="s">
        <v>1302</v>
      </c>
      <c r="E847" t="s">
        <v>1303</v>
      </c>
      <c r="F847">
        <v>12</v>
      </c>
      <c r="G847">
        <v>22.71</v>
      </c>
      <c r="H847">
        <v>75.08</v>
      </c>
      <c r="I847">
        <v>18.12</v>
      </c>
      <c r="J847">
        <v>59.93</v>
      </c>
      <c r="K847">
        <v>7</v>
      </c>
      <c r="T847">
        <v>3</v>
      </c>
      <c r="U847">
        <v>2</v>
      </c>
      <c r="V847" t="s">
        <v>93</v>
      </c>
      <c r="W847" t="s">
        <v>881</v>
      </c>
      <c r="X847">
        <v>10</v>
      </c>
      <c r="Y847">
        <v>10</v>
      </c>
      <c r="Z847" t="s">
        <v>1304</v>
      </c>
      <c r="AA847" t="s">
        <v>1305</v>
      </c>
      <c r="AB847" t="s">
        <v>96</v>
      </c>
      <c r="AC847" t="s">
        <v>97</v>
      </c>
      <c r="AD847" t="s">
        <v>690</v>
      </c>
      <c r="AG847" t="s">
        <v>1306</v>
      </c>
      <c r="AH847">
        <v>0</v>
      </c>
      <c r="AI847">
        <v>545</v>
      </c>
      <c r="AJ847">
        <v>67</v>
      </c>
      <c r="AK847">
        <v>10</v>
      </c>
      <c r="AL847">
        <v>0.83</v>
      </c>
    </row>
    <row r="848" spans="1:38" x14ac:dyDescent="0.3">
      <c r="A848" t="s">
        <v>685</v>
      </c>
      <c r="B848">
        <v>143694</v>
      </c>
      <c r="C848">
        <v>3</v>
      </c>
      <c r="D848" t="s">
        <v>1302</v>
      </c>
      <c r="E848" t="s">
        <v>1303</v>
      </c>
      <c r="F848">
        <v>12</v>
      </c>
      <c r="G848">
        <v>22.71</v>
      </c>
      <c r="H848">
        <v>75.09</v>
      </c>
      <c r="I848">
        <v>18.12</v>
      </c>
      <c r="J848">
        <v>59.93</v>
      </c>
      <c r="K848">
        <v>1</v>
      </c>
      <c r="T848">
        <v>3</v>
      </c>
      <c r="U848">
        <v>2</v>
      </c>
      <c r="V848" t="s">
        <v>93</v>
      </c>
      <c r="W848" t="s">
        <v>407</v>
      </c>
      <c r="X848">
        <v>10</v>
      </c>
      <c r="Y848">
        <v>10</v>
      </c>
      <c r="Z848" t="s">
        <v>1304</v>
      </c>
      <c r="AA848" t="s">
        <v>1305</v>
      </c>
      <c r="AB848" t="s">
        <v>96</v>
      </c>
      <c r="AC848" t="s">
        <v>97</v>
      </c>
      <c r="AD848" t="s">
        <v>690</v>
      </c>
      <c r="AG848" t="s">
        <v>1306</v>
      </c>
      <c r="AH848">
        <v>0</v>
      </c>
      <c r="AI848">
        <v>545</v>
      </c>
      <c r="AJ848">
        <v>67</v>
      </c>
      <c r="AK848">
        <v>10</v>
      </c>
      <c r="AL848">
        <v>0.83</v>
      </c>
    </row>
    <row r="849" spans="1:38" x14ac:dyDescent="0.3">
      <c r="A849" t="s">
        <v>685</v>
      </c>
      <c r="B849">
        <v>13495</v>
      </c>
      <c r="C849">
        <v>1</v>
      </c>
      <c r="D849" t="s">
        <v>1307</v>
      </c>
      <c r="E849" t="s">
        <v>1308</v>
      </c>
      <c r="F849">
        <v>19</v>
      </c>
      <c r="G849">
        <v>37.07</v>
      </c>
      <c r="H849">
        <v>122.57</v>
      </c>
      <c r="I849">
        <v>25.6</v>
      </c>
      <c r="J849">
        <v>84.64</v>
      </c>
      <c r="K849">
        <v>18</v>
      </c>
      <c r="T849">
        <v>3</v>
      </c>
      <c r="U849">
        <v>2</v>
      </c>
      <c r="V849" t="s">
        <v>93</v>
      </c>
      <c r="W849" t="s">
        <v>1309</v>
      </c>
      <c r="X849">
        <v>13</v>
      </c>
      <c r="Y849">
        <v>13</v>
      </c>
      <c r="Z849" t="s">
        <v>1310</v>
      </c>
      <c r="AA849" t="s">
        <v>1311</v>
      </c>
      <c r="AB849" t="s">
        <v>96</v>
      </c>
      <c r="AC849" t="s">
        <v>97</v>
      </c>
      <c r="AD849" t="s">
        <v>690</v>
      </c>
      <c r="AG849" t="s">
        <v>1312</v>
      </c>
      <c r="AH849">
        <v>0</v>
      </c>
      <c r="AI849">
        <v>353</v>
      </c>
      <c r="AJ849">
        <v>47</v>
      </c>
      <c r="AK849">
        <v>29</v>
      </c>
      <c r="AL849">
        <v>1.53</v>
      </c>
    </row>
    <row r="850" spans="1:38" x14ac:dyDescent="0.3">
      <c r="A850" t="s">
        <v>685</v>
      </c>
      <c r="B850">
        <v>13495</v>
      </c>
      <c r="C850">
        <v>2</v>
      </c>
      <c r="D850" t="s">
        <v>1307</v>
      </c>
      <c r="E850" t="s">
        <v>1308</v>
      </c>
      <c r="F850">
        <v>19</v>
      </c>
      <c r="G850">
        <v>37.07</v>
      </c>
      <c r="H850">
        <v>122.57</v>
      </c>
      <c r="I850">
        <v>25.6</v>
      </c>
      <c r="J850">
        <v>84.64</v>
      </c>
      <c r="K850">
        <v>1</v>
      </c>
      <c r="T850">
        <v>3</v>
      </c>
      <c r="U850">
        <v>2</v>
      </c>
      <c r="V850" t="s">
        <v>93</v>
      </c>
      <c r="W850" t="s">
        <v>1313</v>
      </c>
      <c r="X850">
        <v>13</v>
      </c>
      <c r="Y850">
        <v>13</v>
      </c>
      <c r="Z850" t="s">
        <v>1310</v>
      </c>
      <c r="AA850" t="s">
        <v>1311</v>
      </c>
      <c r="AB850" t="s">
        <v>96</v>
      </c>
      <c r="AC850" t="s">
        <v>97</v>
      </c>
      <c r="AD850" t="s">
        <v>690</v>
      </c>
      <c r="AG850" t="s">
        <v>1312</v>
      </c>
      <c r="AH850">
        <v>0</v>
      </c>
      <c r="AI850">
        <v>353</v>
      </c>
      <c r="AJ850">
        <v>47</v>
      </c>
      <c r="AK850">
        <v>29</v>
      </c>
      <c r="AL850">
        <v>1.53</v>
      </c>
    </row>
    <row r="851" spans="1:38" x14ac:dyDescent="0.3">
      <c r="A851" t="s">
        <v>685</v>
      </c>
      <c r="B851">
        <v>105754</v>
      </c>
      <c r="C851">
        <v>1</v>
      </c>
      <c r="D851" t="s">
        <v>1314</v>
      </c>
      <c r="E851" t="s">
        <v>1315</v>
      </c>
      <c r="F851">
        <v>17</v>
      </c>
      <c r="G851">
        <v>21.29</v>
      </c>
      <c r="H851">
        <v>70.39</v>
      </c>
      <c r="I851">
        <v>16.829999999999998</v>
      </c>
      <c r="J851">
        <v>55.65</v>
      </c>
      <c r="K851">
        <v>8</v>
      </c>
      <c r="T851">
        <v>2</v>
      </c>
      <c r="U851">
        <v>1</v>
      </c>
      <c r="V851" t="s">
        <v>93</v>
      </c>
      <c r="W851" t="s">
        <v>979</v>
      </c>
      <c r="X851">
        <v>14</v>
      </c>
      <c r="Y851">
        <v>14</v>
      </c>
      <c r="Z851" t="s">
        <v>1316</v>
      </c>
      <c r="AA851" t="s">
        <v>1317</v>
      </c>
      <c r="AB851" t="s">
        <v>96</v>
      </c>
      <c r="AC851" t="s">
        <v>97</v>
      </c>
      <c r="AD851" t="s">
        <v>690</v>
      </c>
      <c r="AG851" t="s">
        <v>1318</v>
      </c>
      <c r="AH851">
        <v>0</v>
      </c>
      <c r="AI851">
        <v>669</v>
      </c>
      <c r="AJ851">
        <v>64</v>
      </c>
      <c r="AK851">
        <v>17</v>
      </c>
      <c r="AL851">
        <v>1</v>
      </c>
    </row>
    <row r="852" spans="1:38" x14ac:dyDescent="0.3">
      <c r="A852" t="s">
        <v>685</v>
      </c>
      <c r="B852">
        <v>105754</v>
      </c>
      <c r="C852">
        <v>2</v>
      </c>
      <c r="D852" t="s">
        <v>1314</v>
      </c>
      <c r="E852" t="s">
        <v>1315</v>
      </c>
      <c r="F852">
        <v>17</v>
      </c>
      <c r="G852">
        <v>21.24</v>
      </c>
      <c r="H852">
        <v>70.22</v>
      </c>
      <c r="I852">
        <v>16.89</v>
      </c>
      <c r="J852">
        <v>55.86</v>
      </c>
      <c r="K852">
        <v>8</v>
      </c>
      <c r="T852">
        <v>2</v>
      </c>
      <c r="U852">
        <v>1</v>
      </c>
      <c r="V852" t="s">
        <v>93</v>
      </c>
      <c r="W852" t="s">
        <v>490</v>
      </c>
      <c r="X852">
        <v>14</v>
      </c>
      <c r="Y852">
        <v>14</v>
      </c>
      <c r="Z852" t="s">
        <v>1316</v>
      </c>
      <c r="AA852" t="s">
        <v>1317</v>
      </c>
      <c r="AB852" t="s">
        <v>96</v>
      </c>
      <c r="AC852" t="s">
        <v>97</v>
      </c>
      <c r="AD852" t="s">
        <v>690</v>
      </c>
      <c r="AG852" t="s">
        <v>1318</v>
      </c>
      <c r="AH852">
        <v>0</v>
      </c>
      <c r="AI852">
        <v>669</v>
      </c>
      <c r="AJ852">
        <v>64</v>
      </c>
      <c r="AK852">
        <v>17</v>
      </c>
      <c r="AL852">
        <v>1</v>
      </c>
    </row>
    <row r="853" spans="1:38" x14ac:dyDescent="0.3">
      <c r="A853" t="s">
        <v>685</v>
      </c>
      <c r="B853">
        <v>105754</v>
      </c>
      <c r="C853">
        <v>3</v>
      </c>
      <c r="D853" t="s">
        <v>1314</v>
      </c>
      <c r="E853" t="s">
        <v>1315</v>
      </c>
      <c r="F853">
        <v>17</v>
      </c>
      <c r="G853">
        <v>38.22</v>
      </c>
      <c r="H853">
        <v>126.37</v>
      </c>
      <c r="I853">
        <v>30.26</v>
      </c>
      <c r="J853">
        <v>100.05</v>
      </c>
      <c r="K853">
        <v>1</v>
      </c>
      <c r="T853">
        <v>3</v>
      </c>
      <c r="U853">
        <v>2</v>
      </c>
      <c r="V853" t="s">
        <v>211</v>
      </c>
      <c r="W853">
        <v>126</v>
      </c>
      <c r="X853">
        <v>14</v>
      </c>
      <c r="Y853">
        <v>14</v>
      </c>
      <c r="Z853" t="s">
        <v>1316</v>
      </c>
      <c r="AA853" t="s">
        <v>1317</v>
      </c>
      <c r="AB853" t="s">
        <v>96</v>
      </c>
      <c r="AC853" t="s">
        <v>97</v>
      </c>
      <c r="AD853" t="s">
        <v>690</v>
      </c>
      <c r="AG853" t="s">
        <v>1318</v>
      </c>
      <c r="AH853">
        <v>0</v>
      </c>
      <c r="AI853">
        <v>669</v>
      </c>
      <c r="AJ853">
        <v>64</v>
      </c>
      <c r="AK853">
        <v>17</v>
      </c>
      <c r="AL853">
        <v>1</v>
      </c>
    </row>
    <row r="854" spans="1:38" x14ac:dyDescent="0.3">
      <c r="A854" t="s">
        <v>685</v>
      </c>
      <c r="B854">
        <v>117243</v>
      </c>
      <c r="C854">
        <v>1</v>
      </c>
      <c r="D854" t="s">
        <v>1319</v>
      </c>
      <c r="E854" t="s">
        <v>950</v>
      </c>
      <c r="F854">
        <v>26</v>
      </c>
      <c r="G854">
        <v>22.31</v>
      </c>
      <c r="H854">
        <v>73.760000000000005</v>
      </c>
      <c r="I854">
        <v>18.100000000000001</v>
      </c>
      <c r="J854">
        <v>59.84</v>
      </c>
      <c r="K854">
        <v>13</v>
      </c>
      <c r="T854">
        <v>3</v>
      </c>
      <c r="U854">
        <v>1</v>
      </c>
      <c r="V854" t="s">
        <v>132</v>
      </c>
      <c r="W854">
        <v>73</v>
      </c>
      <c r="X854">
        <v>14</v>
      </c>
      <c r="Y854">
        <v>14</v>
      </c>
      <c r="Z854" t="s">
        <v>1320</v>
      </c>
      <c r="AA854" t="s">
        <v>1321</v>
      </c>
      <c r="AB854" t="s">
        <v>96</v>
      </c>
      <c r="AC854" t="s">
        <v>97</v>
      </c>
      <c r="AD854" t="s">
        <v>690</v>
      </c>
      <c r="AG854" t="s">
        <v>1322</v>
      </c>
      <c r="AH854">
        <v>0</v>
      </c>
      <c r="AI854">
        <v>876</v>
      </c>
      <c r="AJ854">
        <v>79</v>
      </c>
      <c r="AK854">
        <v>25</v>
      </c>
      <c r="AL854">
        <v>0.96</v>
      </c>
    </row>
    <row r="855" spans="1:38" x14ac:dyDescent="0.3">
      <c r="A855" t="s">
        <v>685</v>
      </c>
      <c r="B855">
        <v>117243</v>
      </c>
      <c r="C855">
        <v>2</v>
      </c>
      <c r="D855" t="s">
        <v>1319</v>
      </c>
      <c r="E855" t="s">
        <v>950</v>
      </c>
      <c r="F855">
        <v>26</v>
      </c>
      <c r="G855">
        <v>27.96</v>
      </c>
      <c r="H855">
        <v>92.45</v>
      </c>
      <c r="I855">
        <v>22.96</v>
      </c>
      <c r="J855">
        <v>75.92</v>
      </c>
      <c r="K855">
        <v>13</v>
      </c>
      <c r="T855">
        <v>3</v>
      </c>
      <c r="U855">
        <v>2</v>
      </c>
      <c r="V855" t="s">
        <v>132</v>
      </c>
      <c r="W855">
        <v>92</v>
      </c>
      <c r="X855">
        <v>14</v>
      </c>
      <c r="Y855">
        <v>14</v>
      </c>
      <c r="Z855" t="s">
        <v>1320</v>
      </c>
      <c r="AA855" t="s">
        <v>1321</v>
      </c>
      <c r="AB855" t="s">
        <v>96</v>
      </c>
      <c r="AC855" t="s">
        <v>97</v>
      </c>
      <c r="AD855" t="s">
        <v>690</v>
      </c>
      <c r="AG855" t="s">
        <v>1322</v>
      </c>
      <c r="AH855">
        <v>0</v>
      </c>
      <c r="AI855">
        <v>876</v>
      </c>
      <c r="AJ855">
        <v>79</v>
      </c>
      <c r="AK855">
        <v>25</v>
      </c>
      <c r="AL855">
        <v>0.96</v>
      </c>
    </row>
    <row r="856" spans="1:38" x14ac:dyDescent="0.3">
      <c r="A856" t="s">
        <v>685</v>
      </c>
      <c r="B856">
        <v>130962</v>
      </c>
      <c r="C856">
        <v>1</v>
      </c>
      <c r="D856" t="s">
        <v>1323</v>
      </c>
      <c r="E856" t="s">
        <v>1324</v>
      </c>
      <c r="F856">
        <v>22</v>
      </c>
      <c r="G856">
        <v>11.15</v>
      </c>
      <c r="H856">
        <v>36.869999999999997</v>
      </c>
      <c r="I856">
        <v>8.11</v>
      </c>
      <c r="J856">
        <v>26.83</v>
      </c>
      <c r="K856">
        <v>2</v>
      </c>
      <c r="T856">
        <v>1</v>
      </c>
      <c r="U856">
        <v>1</v>
      </c>
      <c r="V856" t="s">
        <v>93</v>
      </c>
      <c r="W856">
        <v>36</v>
      </c>
      <c r="X856">
        <v>20</v>
      </c>
      <c r="Y856">
        <v>20</v>
      </c>
      <c r="Z856" t="s">
        <v>1325</v>
      </c>
      <c r="AA856" t="s">
        <v>1326</v>
      </c>
      <c r="AB856" t="s">
        <v>96</v>
      </c>
      <c r="AC856" t="s">
        <v>97</v>
      </c>
      <c r="AD856" t="s">
        <v>690</v>
      </c>
      <c r="AG856" t="s">
        <v>1327</v>
      </c>
      <c r="AH856">
        <v>0</v>
      </c>
      <c r="AI856">
        <v>999</v>
      </c>
      <c r="AJ856">
        <v>79</v>
      </c>
      <c r="AK856">
        <v>20</v>
      </c>
      <c r="AL856">
        <v>0.91</v>
      </c>
    </row>
    <row r="857" spans="1:38" x14ac:dyDescent="0.3">
      <c r="A857" t="s">
        <v>685</v>
      </c>
      <c r="B857">
        <v>130962</v>
      </c>
      <c r="C857">
        <v>2</v>
      </c>
      <c r="D857" t="s">
        <v>1323</v>
      </c>
      <c r="E857" t="s">
        <v>1324</v>
      </c>
      <c r="F857">
        <v>22</v>
      </c>
      <c r="G857">
        <v>11.58</v>
      </c>
      <c r="H857">
        <v>38.299999999999997</v>
      </c>
      <c r="I857">
        <v>8.5399999999999991</v>
      </c>
      <c r="J857">
        <v>28.24</v>
      </c>
      <c r="K857">
        <v>4</v>
      </c>
      <c r="T857">
        <v>1</v>
      </c>
      <c r="U857">
        <v>1</v>
      </c>
      <c r="V857" t="s">
        <v>93</v>
      </c>
      <c r="W857" t="s">
        <v>782</v>
      </c>
      <c r="X857">
        <v>20</v>
      </c>
      <c r="Y857">
        <v>20</v>
      </c>
      <c r="Z857" t="s">
        <v>1325</v>
      </c>
      <c r="AA857" t="s">
        <v>1326</v>
      </c>
      <c r="AB857" t="s">
        <v>96</v>
      </c>
      <c r="AC857" t="s">
        <v>97</v>
      </c>
      <c r="AD857" t="s">
        <v>690</v>
      </c>
      <c r="AG857" t="s">
        <v>1327</v>
      </c>
      <c r="AH857">
        <v>0</v>
      </c>
      <c r="AI857">
        <v>999</v>
      </c>
      <c r="AJ857">
        <v>79</v>
      </c>
      <c r="AK857">
        <v>20</v>
      </c>
      <c r="AL857">
        <v>0.91</v>
      </c>
    </row>
    <row r="858" spans="1:38" x14ac:dyDescent="0.3">
      <c r="A858" t="s">
        <v>685</v>
      </c>
      <c r="B858">
        <v>130962</v>
      </c>
      <c r="C858">
        <v>3</v>
      </c>
      <c r="D858" t="s">
        <v>1323</v>
      </c>
      <c r="E858" t="s">
        <v>1324</v>
      </c>
      <c r="F858">
        <v>22</v>
      </c>
      <c r="G858">
        <v>11.62</v>
      </c>
      <c r="H858">
        <v>38.43</v>
      </c>
      <c r="I858">
        <v>8.6999999999999993</v>
      </c>
      <c r="J858">
        <v>28.79</v>
      </c>
      <c r="K858">
        <v>2</v>
      </c>
      <c r="T858">
        <v>1</v>
      </c>
      <c r="U858">
        <v>1</v>
      </c>
      <c r="V858" t="s">
        <v>93</v>
      </c>
      <c r="W858" t="s">
        <v>1328</v>
      </c>
      <c r="X858">
        <v>20</v>
      </c>
      <c r="Y858">
        <v>20</v>
      </c>
      <c r="Z858" t="s">
        <v>1325</v>
      </c>
      <c r="AA858" t="s">
        <v>1326</v>
      </c>
      <c r="AB858" t="s">
        <v>96</v>
      </c>
      <c r="AC858" t="s">
        <v>97</v>
      </c>
      <c r="AD858" t="s">
        <v>690</v>
      </c>
      <c r="AG858" t="s">
        <v>1327</v>
      </c>
      <c r="AH858">
        <v>0</v>
      </c>
      <c r="AI858">
        <v>999</v>
      </c>
      <c r="AJ858">
        <v>79</v>
      </c>
      <c r="AK858">
        <v>20</v>
      </c>
      <c r="AL858">
        <v>0.91</v>
      </c>
    </row>
    <row r="859" spans="1:38" x14ac:dyDescent="0.3">
      <c r="A859" t="s">
        <v>685</v>
      </c>
      <c r="B859">
        <v>130962</v>
      </c>
      <c r="C859">
        <v>4</v>
      </c>
      <c r="D859" t="s">
        <v>1323</v>
      </c>
      <c r="E859" t="s">
        <v>1324</v>
      </c>
      <c r="F859">
        <v>22</v>
      </c>
      <c r="G859">
        <v>11.89</v>
      </c>
      <c r="H859">
        <v>39.33</v>
      </c>
      <c r="I859">
        <v>8.69</v>
      </c>
      <c r="J859">
        <v>28.76</v>
      </c>
      <c r="K859">
        <v>2</v>
      </c>
      <c r="T859">
        <v>1</v>
      </c>
      <c r="U859">
        <v>1</v>
      </c>
      <c r="V859" t="s">
        <v>93</v>
      </c>
      <c r="W859" t="s">
        <v>1329</v>
      </c>
      <c r="X859">
        <v>20</v>
      </c>
      <c r="Y859">
        <v>20</v>
      </c>
      <c r="Z859" t="s">
        <v>1325</v>
      </c>
      <c r="AA859" t="s">
        <v>1326</v>
      </c>
      <c r="AB859" t="s">
        <v>96</v>
      </c>
      <c r="AC859" t="s">
        <v>97</v>
      </c>
      <c r="AD859" t="s">
        <v>690</v>
      </c>
      <c r="AG859" t="s">
        <v>1327</v>
      </c>
      <c r="AH859">
        <v>0</v>
      </c>
      <c r="AI859">
        <v>999</v>
      </c>
      <c r="AJ859">
        <v>79</v>
      </c>
      <c r="AK859">
        <v>20</v>
      </c>
      <c r="AL859">
        <v>0.91</v>
      </c>
    </row>
    <row r="860" spans="1:38" x14ac:dyDescent="0.3">
      <c r="A860" t="s">
        <v>685</v>
      </c>
      <c r="B860">
        <v>130962</v>
      </c>
      <c r="C860">
        <v>5</v>
      </c>
      <c r="D860" t="s">
        <v>1323</v>
      </c>
      <c r="E860" t="s">
        <v>1324</v>
      </c>
      <c r="F860">
        <v>22</v>
      </c>
      <c r="G860">
        <v>25.05</v>
      </c>
      <c r="H860">
        <v>82.82</v>
      </c>
      <c r="I860">
        <v>18.82</v>
      </c>
      <c r="J860">
        <v>62.24</v>
      </c>
      <c r="K860">
        <v>2</v>
      </c>
      <c r="T860">
        <v>3</v>
      </c>
      <c r="U860">
        <v>2</v>
      </c>
      <c r="V860" t="s">
        <v>93</v>
      </c>
      <c r="W860">
        <v>82</v>
      </c>
      <c r="X860">
        <v>20</v>
      </c>
      <c r="Y860">
        <v>20</v>
      </c>
      <c r="Z860" t="s">
        <v>1325</v>
      </c>
      <c r="AA860" t="s">
        <v>1326</v>
      </c>
      <c r="AB860" t="s">
        <v>96</v>
      </c>
      <c r="AC860" t="s">
        <v>97</v>
      </c>
      <c r="AD860" t="s">
        <v>690</v>
      </c>
      <c r="AG860" t="s">
        <v>1327</v>
      </c>
      <c r="AH860">
        <v>0</v>
      </c>
      <c r="AI860">
        <v>999</v>
      </c>
      <c r="AJ860">
        <v>79</v>
      </c>
      <c r="AK860">
        <v>20</v>
      </c>
      <c r="AL860">
        <v>0.91</v>
      </c>
    </row>
    <row r="861" spans="1:38" x14ac:dyDescent="0.3">
      <c r="A861" t="s">
        <v>685</v>
      </c>
      <c r="B861">
        <v>130962</v>
      </c>
      <c r="C861">
        <v>6</v>
      </c>
      <c r="D861" t="s">
        <v>1323</v>
      </c>
      <c r="E861" t="s">
        <v>1324</v>
      </c>
      <c r="F861">
        <v>22</v>
      </c>
      <c r="G861">
        <v>26.31</v>
      </c>
      <c r="H861">
        <v>86.99</v>
      </c>
      <c r="I861">
        <v>20.149999999999999</v>
      </c>
      <c r="J861">
        <v>66.63</v>
      </c>
      <c r="K861">
        <v>4</v>
      </c>
      <c r="T861">
        <v>3</v>
      </c>
      <c r="U861">
        <v>2</v>
      </c>
      <c r="V861" t="s">
        <v>93</v>
      </c>
      <c r="W861" t="s">
        <v>991</v>
      </c>
      <c r="X861">
        <v>20</v>
      </c>
      <c r="Y861">
        <v>20</v>
      </c>
      <c r="Z861" t="s">
        <v>1325</v>
      </c>
      <c r="AA861" t="s">
        <v>1326</v>
      </c>
      <c r="AB861" t="s">
        <v>96</v>
      </c>
      <c r="AC861" t="s">
        <v>97</v>
      </c>
      <c r="AD861" t="s">
        <v>690</v>
      </c>
      <c r="AG861" t="s">
        <v>1327</v>
      </c>
      <c r="AH861">
        <v>0</v>
      </c>
      <c r="AI861">
        <v>999</v>
      </c>
      <c r="AJ861">
        <v>79</v>
      </c>
      <c r="AK861">
        <v>20</v>
      </c>
      <c r="AL861">
        <v>0.91</v>
      </c>
    </row>
    <row r="862" spans="1:38" x14ac:dyDescent="0.3">
      <c r="A862" t="s">
        <v>685</v>
      </c>
      <c r="B862">
        <v>130962</v>
      </c>
      <c r="C862">
        <v>7</v>
      </c>
      <c r="D862" t="s">
        <v>1323</v>
      </c>
      <c r="E862" t="s">
        <v>1324</v>
      </c>
      <c r="F862">
        <v>22</v>
      </c>
      <c r="G862">
        <v>26.01</v>
      </c>
      <c r="H862">
        <v>86.01</v>
      </c>
      <c r="I862">
        <v>19.579999999999998</v>
      </c>
      <c r="J862">
        <v>64.73</v>
      </c>
      <c r="K862">
        <v>1</v>
      </c>
      <c r="T862">
        <v>3</v>
      </c>
      <c r="U862">
        <v>2</v>
      </c>
      <c r="V862" t="s">
        <v>93</v>
      </c>
      <c r="W862" t="s">
        <v>384</v>
      </c>
      <c r="X862">
        <v>20</v>
      </c>
      <c r="Y862">
        <v>20</v>
      </c>
      <c r="Z862" t="s">
        <v>1325</v>
      </c>
      <c r="AA862" t="s">
        <v>1326</v>
      </c>
      <c r="AB862" t="s">
        <v>96</v>
      </c>
      <c r="AC862" t="s">
        <v>97</v>
      </c>
      <c r="AD862" t="s">
        <v>690</v>
      </c>
      <c r="AG862" t="s">
        <v>1327</v>
      </c>
      <c r="AH862">
        <v>0</v>
      </c>
      <c r="AI862">
        <v>999</v>
      </c>
      <c r="AJ862">
        <v>79</v>
      </c>
      <c r="AK862">
        <v>20</v>
      </c>
      <c r="AL862">
        <v>0.91</v>
      </c>
    </row>
    <row r="863" spans="1:38" x14ac:dyDescent="0.3">
      <c r="A863" t="s">
        <v>685</v>
      </c>
      <c r="B863">
        <v>130962</v>
      </c>
      <c r="C863">
        <v>8</v>
      </c>
      <c r="D863" t="s">
        <v>1323</v>
      </c>
      <c r="E863" t="s">
        <v>1324</v>
      </c>
      <c r="F863">
        <v>22</v>
      </c>
      <c r="G863">
        <v>26.51</v>
      </c>
      <c r="H863">
        <v>87.65</v>
      </c>
      <c r="I863">
        <v>20.3</v>
      </c>
      <c r="J863">
        <v>67.11</v>
      </c>
      <c r="K863">
        <v>2</v>
      </c>
      <c r="T863">
        <v>3</v>
      </c>
      <c r="U863">
        <v>2</v>
      </c>
      <c r="V863" t="s">
        <v>93</v>
      </c>
      <c r="W863" t="s">
        <v>725</v>
      </c>
      <c r="X863">
        <v>20</v>
      </c>
      <c r="Y863">
        <v>20</v>
      </c>
      <c r="Z863" t="s">
        <v>1325</v>
      </c>
      <c r="AA863" t="s">
        <v>1326</v>
      </c>
      <c r="AB863" t="s">
        <v>96</v>
      </c>
      <c r="AC863" t="s">
        <v>97</v>
      </c>
      <c r="AD863" t="s">
        <v>690</v>
      </c>
      <c r="AG863" t="s">
        <v>1327</v>
      </c>
      <c r="AH863">
        <v>0</v>
      </c>
      <c r="AI863">
        <v>999</v>
      </c>
      <c r="AJ863">
        <v>79</v>
      </c>
      <c r="AK863">
        <v>20</v>
      </c>
      <c r="AL863">
        <v>0.91</v>
      </c>
    </row>
    <row r="864" spans="1:38" x14ac:dyDescent="0.3">
      <c r="A864" t="s">
        <v>685</v>
      </c>
      <c r="B864">
        <v>130962</v>
      </c>
      <c r="C864">
        <v>9</v>
      </c>
      <c r="D864" t="s">
        <v>1323</v>
      </c>
      <c r="E864" t="s">
        <v>1324</v>
      </c>
      <c r="F864">
        <v>22</v>
      </c>
      <c r="G864">
        <v>26.51</v>
      </c>
      <c r="H864">
        <v>87.65</v>
      </c>
      <c r="I864">
        <v>20.3</v>
      </c>
      <c r="J864">
        <v>67.11</v>
      </c>
      <c r="K864">
        <v>2</v>
      </c>
      <c r="T864">
        <v>3</v>
      </c>
      <c r="U864">
        <v>2</v>
      </c>
      <c r="V864" t="s">
        <v>93</v>
      </c>
      <c r="W864" t="s">
        <v>223</v>
      </c>
      <c r="X864">
        <v>20</v>
      </c>
      <c r="Y864">
        <v>20</v>
      </c>
      <c r="Z864" t="s">
        <v>1325</v>
      </c>
      <c r="AA864" t="s">
        <v>1326</v>
      </c>
      <c r="AB864" t="s">
        <v>96</v>
      </c>
      <c r="AC864" t="s">
        <v>97</v>
      </c>
      <c r="AD864" t="s">
        <v>690</v>
      </c>
      <c r="AG864" t="s">
        <v>1327</v>
      </c>
      <c r="AH864">
        <v>0</v>
      </c>
      <c r="AI864">
        <v>999</v>
      </c>
      <c r="AJ864">
        <v>79</v>
      </c>
      <c r="AK864">
        <v>20</v>
      </c>
      <c r="AL864">
        <v>0.91</v>
      </c>
    </row>
    <row r="865" spans="1:38" x14ac:dyDescent="0.3">
      <c r="A865" t="s">
        <v>685</v>
      </c>
      <c r="B865">
        <v>130962</v>
      </c>
      <c r="C865">
        <v>10</v>
      </c>
      <c r="D865" t="s">
        <v>1323</v>
      </c>
      <c r="E865" t="s">
        <v>1324</v>
      </c>
      <c r="F865">
        <v>22</v>
      </c>
      <c r="G865">
        <v>26.47</v>
      </c>
      <c r="H865">
        <v>87.53</v>
      </c>
      <c r="I865">
        <v>19.87</v>
      </c>
      <c r="J865">
        <v>65.709999999999994</v>
      </c>
      <c r="K865">
        <v>1</v>
      </c>
      <c r="T865">
        <v>3</v>
      </c>
      <c r="U865">
        <v>2</v>
      </c>
      <c r="V865" t="s">
        <v>93</v>
      </c>
      <c r="W865" t="s">
        <v>532</v>
      </c>
      <c r="X865">
        <v>20</v>
      </c>
      <c r="Y865">
        <v>20</v>
      </c>
      <c r="Z865" t="s">
        <v>1325</v>
      </c>
      <c r="AA865" t="s">
        <v>1326</v>
      </c>
      <c r="AB865" t="s">
        <v>96</v>
      </c>
      <c r="AC865" t="s">
        <v>97</v>
      </c>
      <c r="AD865" t="s">
        <v>690</v>
      </c>
      <c r="AG865" t="s">
        <v>1327</v>
      </c>
      <c r="AH865">
        <v>0</v>
      </c>
      <c r="AI865">
        <v>999</v>
      </c>
      <c r="AJ865">
        <v>79</v>
      </c>
      <c r="AK865">
        <v>20</v>
      </c>
      <c r="AL865">
        <v>0.91</v>
      </c>
    </row>
    <row r="866" spans="1:38" x14ac:dyDescent="0.3">
      <c r="A866" t="s">
        <v>685</v>
      </c>
      <c r="B866">
        <v>123678</v>
      </c>
      <c r="C866">
        <v>1</v>
      </c>
      <c r="D866" t="s">
        <v>1330</v>
      </c>
      <c r="E866" t="s">
        <v>1331</v>
      </c>
      <c r="F866">
        <v>6</v>
      </c>
      <c r="G866">
        <v>9.89</v>
      </c>
      <c r="H866">
        <v>32.700000000000003</v>
      </c>
      <c r="I866">
        <v>8.2100000000000009</v>
      </c>
      <c r="J866">
        <v>27.17</v>
      </c>
      <c r="K866">
        <v>1</v>
      </c>
      <c r="T866">
        <v>1</v>
      </c>
      <c r="U866">
        <v>1</v>
      </c>
      <c r="V866" t="s">
        <v>132</v>
      </c>
      <c r="W866">
        <v>32</v>
      </c>
      <c r="X866">
        <v>8</v>
      </c>
      <c r="Y866">
        <v>8</v>
      </c>
      <c r="Z866" t="s">
        <v>1332</v>
      </c>
      <c r="AA866" t="s">
        <v>1333</v>
      </c>
      <c r="AB866" t="s">
        <v>96</v>
      </c>
      <c r="AC866" t="s">
        <v>97</v>
      </c>
      <c r="AD866" t="s">
        <v>690</v>
      </c>
      <c r="AG866" t="s">
        <v>1334</v>
      </c>
      <c r="AH866">
        <v>0</v>
      </c>
      <c r="AI866">
        <v>431</v>
      </c>
      <c r="AJ866">
        <v>62</v>
      </c>
      <c r="AK866">
        <v>1</v>
      </c>
      <c r="AL866">
        <v>0.17</v>
      </c>
    </row>
    <row r="867" spans="1:38" x14ac:dyDescent="0.3">
      <c r="A867" t="s">
        <v>685</v>
      </c>
      <c r="B867">
        <v>123678</v>
      </c>
      <c r="C867">
        <v>2</v>
      </c>
      <c r="D867" t="s">
        <v>1330</v>
      </c>
      <c r="E867" t="s">
        <v>1331</v>
      </c>
      <c r="F867">
        <v>6</v>
      </c>
      <c r="G867">
        <v>20.440000000000001</v>
      </c>
      <c r="H867">
        <v>67.59</v>
      </c>
      <c r="I867">
        <v>16.98</v>
      </c>
      <c r="J867">
        <v>56.16</v>
      </c>
      <c r="K867">
        <v>1</v>
      </c>
      <c r="T867">
        <v>1</v>
      </c>
      <c r="U867">
        <v>1</v>
      </c>
      <c r="V867" t="s">
        <v>132</v>
      </c>
      <c r="W867">
        <v>67</v>
      </c>
      <c r="X867">
        <v>8</v>
      </c>
      <c r="Y867">
        <v>8</v>
      </c>
      <c r="Z867" t="s">
        <v>1332</v>
      </c>
      <c r="AA867" t="s">
        <v>1333</v>
      </c>
      <c r="AB867" t="s">
        <v>96</v>
      </c>
      <c r="AC867" t="s">
        <v>97</v>
      </c>
      <c r="AD867" t="s">
        <v>690</v>
      </c>
      <c r="AG867" t="s">
        <v>1334</v>
      </c>
      <c r="AH867">
        <v>0</v>
      </c>
      <c r="AI867">
        <v>431</v>
      </c>
      <c r="AJ867">
        <v>62</v>
      </c>
      <c r="AK867">
        <v>1</v>
      </c>
      <c r="AL867">
        <v>0.17</v>
      </c>
    </row>
    <row r="868" spans="1:38" x14ac:dyDescent="0.3">
      <c r="A868" t="s">
        <v>685</v>
      </c>
      <c r="B868">
        <v>123678</v>
      </c>
      <c r="C868">
        <v>3</v>
      </c>
      <c r="D868" t="s">
        <v>1330</v>
      </c>
      <c r="E868" t="s">
        <v>1331</v>
      </c>
      <c r="F868">
        <v>6</v>
      </c>
      <c r="G868">
        <v>20.9</v>
      </c>
      <c r="H868">
        <v>69.11</v>
      </c>
      <c r="I868">
        <v>17.36</v>
      </c>
      <c r="J868">
        <v>57.42</v>
      </c>
      <c r="K868">
        <v>1</v>
      </c>
      <c r="T868">
        <v>1</v>
      </c>
      <c r="U868">
        <v>1</v>
      </c>
      <c r="V868" t="s">
        <v>132</v>
      </c>
      <c r="W868">
        <v>69</v>
      </c>
      <c r="X868">
        <v>8</v>
      </c>
      <c r="Y868">
        <v>8</v>
      </c>
      <c r="Z868" t="s">
        <v>1332</v>
      </c>
      <c r="AA868" t="s">
        <v>1333</v>
      </c>
      <c r="AB868" t="s">
        <v>96</v>
      </c>
      <c r="AC868" t="s">
        <v>97</v>
      </c>
      <c r="AD868" t="s">
        <v>690</v>
      </c>
      <c r="AG868" t="s">
        <v>1334</v>
      </c>
      <c r="AH868">
        <v>0</v>
      </c>
      <c r="AI868">
        <v>431</v>
      </c>
      <c r="AJ868">
        <v>62</v>
      </c>
      <c r="AK868">
        <v>1</v>
      </c>
      <c r="AL868">
        <v>0.17</v>
      </c>
    </row>
    <row r="869" spans="1:38" x14ac:dyDescent="0.3">
      <c r="A869" t="s">
        <v>685</v>
      </c>
      <c r="B869">
        <v>123678</v>
      </c>
      <c r="C869">
        <v>4</v>
      </c>
      <c r="D869" t="s">
        <v>1330</v>
      </c>
      <c r="E869" t="s">
        <v>1331</v>
      </c>
      <c r="F869">
        <v>6</v>
      </c>
      <c r="G869">
        <v>23.19</v>
      </c>
      <c r="H869">
        <v>76.69</v>
      </c>
      <c r="I869">
        <v>19.27</v>
      </c>
      <c r="J869">
        <v>63.72</v>
      </c>
      <c r="K869">
        <v>1</v>
      </c>
      <c r="T869">
        <v>1</v>
      </c>
      <c r="U869">
        <v>1</v>
      </c>
      <c r="V869" t="s">
        <v>132</v>
      </c>
      <c r="W869">
        <v>76</v>
      </c>
      <c r="X869">
        <v>8</v>
      </c>
      <c r="Y869">
        <v>8</v>
      </c>
      <c r="Z869" t="s">
        <v>1332</v>
      </c>
      <c r="AA869" t="s">
        <v>1333</v>
      </c>
      <c r="AB869" t="s">
        <v>96</v>
      </c>
      <c r="AC869" t="s">
        <v>97</v>
      </c>
      <c r="AD869" t="s">
        <v>690</v>
      </c>
      <c r="AG869" t="s">
        <v>1334</v>
      </c>
      <c r="AH869">
        <v>0</v>
      </c>
      <c r="AI869">
        <v>431</v>
      </c>
      <c r="AJ869">
        <v>62</v>
      </c>
      <c r="AK869">
        <v>1</v>
      </c>
      <c r="AL869">
        <v>0.17</v>
      </c>
    </row>
    <row r="870" spans="1:38" x14ac:dyDescent="0.3">
      <c r="A870" t="s">
        <v>685</v>
      </c>
      <c r="B870">
        <v>123678</v>
      </c>
      <c r="C870">
        <v>5</v>
      </c>
      <c r="D870" t="s">
        <v>1330</v>
      </c>
      <c r="E870" t="s">
        <v>1331</v>
      </c>
      <c r="F870">
        <v>6</v>
      </c>
      <c r="G870">
        <v>26.61</v>
      </c>
      <c r="H870">
        <v>87.99</v>
      </c>
      <c r="I870">
        <v>22.11</v>
      </c>
      <c r="J870">
        <v>73.11</v>
      </c>
      <c r="K870">
        <v>1</v>
      </c>
      <c r="T870">
        <v>1</v>
      </c>
      <c r="U870">
        <v>1</v>
      </c>
      <c r="V870" t="s">
        <v>132</v>
      </c>
      <c r="W870">
        <v>87</v>
      </c>
      <c r="X870">
        <v>8</v>
      </c>
      <c r="Y870">
        <v>8</v>
      </c>
      <c r="Z870" t="s">
        <v>1332</v>
      </c>
      <c r="AA870" t="s">
        <v>1333</v>
      </c>
      <c r="AB870" t="s">
        <v>96</v>
      </c>
      <c r="AC870" t="s">
        <v>97</v>
      </c>
      <c r="AD870" t="s">
        <v>690</v>
      </c>
      <c r="AG870" t="s">
        <v>1334</v>
      </c>
      <c r="AH870">
        <v>0</v>
      </c>
      <c r="AI870">
        <v>431</v>
      </c>
      <c r="AJ870">
        <v>62</v>
      </c>
      <c r="AK870">
        <v>1</v>
      </c>
      <c r="AL870">
        <v>0.17</v>
      </c>
    </row>
    <row r="871" spans="1:38" x14ac:dyDescent="0.3">
      <c r="A871" t="s">
        <v>685</v>
      </c>
      <c r="B871">
        <v>123678</v>
      </c>
      <c r="C871">
        <v>6</v>
      </c>
      <c r="D871" t="s">
        <v>1330</v>
      </c>
      <c r="E871" t="s">
        <v>1331</v>
      </c>
      <c r="F871">
        <v>6</v>
      </c>
      <c r="G871">
        <v>33.549999999999997</v>
      </c>
      <c r="H871">
        <v>110.93</v>
      </c>
      <c r="I871">
        <v>27.88</v>
      </c>
      <c r="J871">
        <v>92.17</v>
      </c>
      <c r="K871">
        <v>1</v>
      </c>
      <c r="T871">
        <v>1</v>
      </c>
      <c r="U871">
        <v>1</v>
      </c>
      <c r="V871" t="s">
        <v>132</v>
      </c>
      <c r="W871">
        <v>110</v>
      </c>
      <c r="X871">
        <v>8</v>
      </c>
      <c r="Y871">
        <v>8</v>
      </c>
      <c r="Z871" t="s">
        <v>1332</v>
      </c>
      <c r="AA871" t="s">
        <v>1333</v>
      </c>
      <c r="AB871" t="s">
        <v>96</v>
      </c>
      <c r="AC871" t="s">
        <v>97</v>
      </c>
      <c r="AD871" t="s">
        <v>690</v>
      </c>
      <c r="AG871" t="s">
        <v>1334</v>
      </c>
      <c r="AH871">
        <v>0</v>
      </c>
      <c r="AI871">
        <v>431</v>
      </c>
      <c r="AJ871">
        <v>62</v>
      </c>
      <c r="AK871">
        <v>1</v>
      </c>
      <c r="AL871">
        <v>0.17</v>
      </c>
    </row>
    <row r="872" spans="1:38" x14ac:dyDescent="0.3">
      <c r="A872" t="s">
        <v>685</v>
      </c>
      <c r="B872">
        <v>125279</v>
      </c>
      <c r="C872">
        <v>1</v>
      </c>
      <c r="D872" t="s">
        <v>1335</v>
      </c>
      <c r="E872" t="s">
        <v>955</v>
      </c>
      <c r="F872">
        <v>11</v>
      </c>
      <c r="G872">
        <v>20.14</v>
      </c>
      <c r="H872">
        <v>66.59</v>
      </c>
      <c r="I872">
        <v>17.34</v>
      </c>
      <c r="J872">
        <v>57.35</v>
      </c>
      <c r="K872">
        <v>1</v>
      </c>
      <c r="T872">
        <v>3</v>
      </c>
      <c r="U872">
        <v>1</v>
      </c>
      <c r="V872" t="s">
        <v>93</v>
      </c>
      <c r="W872">
        <v>66</v>
      </c>
      <c r="X872">
        <v>7</v>
      </c>
      <c r="Y872">
        <v>6</v>
      </c>
      <c r="Z872" t="s">
        <v>1336</v>
      </c>
      <c r="AA872" t="s">
        <v>1337</v>
      </c>
      <c r="AB872" t="s">
        <v>96</v>
      </c>
      <c r="AC872" t="s">
        <v>97</v>
      </c>
      <c r="AD872" t="s">
        <v>690</v>
      </c>
      <c r="AG872" t="s">
        <v>1338</v>
      </c>
      <c r="AH872">
        <v>0</v>
      </c>
      <c r="AI872">
        <v>333</v>
      </c>
      <c r="AJ872">
        <v>69</v>
      </c>
      <c r="AK872">
        <v>9</v>
      </c>
      <c r="AL872">
        <v>0.82</v>
      </c>
    </row>
    <row r="873" spans="1:38" x14ac:dyDescent="0.3">
      <c r="A873" t="s">
        <v>685</v>
      </c>
      <c r="B873">
        <v>125279</v>
      </c>
      <c r="C873">
        <v>2</v>
      </c>
      <c r="D873" t="s">
        <v>1335</v>
      </c>
      <c r="E873" t="s">
        <v>955</v>
      </c>
      <c r="F873">
        <v>11</v>
      </c>
      <c r="G873">
        <v>20.68</v>
      </c>
      <c r="H873">
        <v>68.37</v>
      </c>
      <c r="I873">
        <v>17.809999999999999</v>
      </c>
      <c r="J873">
        <v>58.89</v>
      </c>
      <c r="K873">
        <v>1</v>
      </c>
      <c r="T873">
        <v>3</v>
      </c>
      <c r="U873">
        <v>1</v>
      </c>
      <c r="V873" t="s">
        <v>93</v>
      </c>
      <c r="W873">
        <v>68</v>
      </c>
      <c r="X873">
        <v>7</v>
      </c>
      <c r="Y873">
        <v>6</v>
      </c>
      <c r="Z873" t="s">
        <v>1336</v>
      </c>
      <c r="AA873" t="s">
        <v>1337</v>
      </c>
      <c r="AB873" t="s">
        <v>96</v>
      </c>
      <c r="AC873" t="s">
        <v>97</v>
      </c>
      <c r="AD873" t="s">
        <v>690</v>
      </c>
      <c r="AG873" t="s">
        <v>1338</v>
      </c>
      <c r="AH873">
        <v>0</v>
      </c>
      <c r="AI873">
        <v>333</v>
      </c>
      <c r="AJ873">
        <v>69</v>
      </c>
      <c r="AK873">
        <v>9</v>
      </c>
      <c r="AL873">
        <v>0.82</v>
      </c>
    </row>
    <row r="874" spans="1:38" x14ac:dyDescent="0.3">
      <c r="A874" t="s">
        <v>685</v>
      </c>
      <c r="B874">
        <v>125279</v>
      </c>
      <c r="C874">
        <v>3</v>
      </c>
      <c r="D874" t="s">
        <v>1335</v>
      </c>
      <c r="E874" t="s">
        <v>955</v>
      </c>
      <c r="F874">
        <v>11</v>
      </c>
      <c r="G874">
        <v>22.33</v>
      </c>
      <c r="H874">
        <v>73.819999999999993</v>
      </c>
      <c r="I874">
        <v>19.23</v>
      </c>
      <c r="J874">
        <v>63.58</v>
      </c>
      <c r="K874">
        <v>2</v>
      </c>
      <c r="T874">
        <v>3</v>
      </c>
      <c r="U874">
        <v>1</v>
      </c>
      <c r="V874" t="s">
        <v>93</v>
      </c>
      <c r="W874">
        <v>73</v>
      </c>
      <c r="X874">
        <v>7</v>
      </c>
      <c r="Y874">
        <v>6</v>
      </c>
      <c r="Z874" t="s">
        <v>1336</v>
      </c>
      <c r="AA874" t="s">
        <v>1337</v>
      </c>
      <c r="AB874" t="s">
        <v>96</v>
      </c>
      <c r="AC874" t="s">
        <v>97</v>
      </c>
      <c r="AD874" t="s">
        <v>690</v>
      </c>
      <c r="AG874" t="s">
        <v>1338</v>
      </c>
      <c r="AH874">
        <v>0</v>
      </c>
      <c r="AI874">
        <v>333</v>
      </c>
      <c r="AJ874">
        <v>69</v>
      </c>
      <c r="AK874">
        <v>9</v>
      </c>
      <c r="AL874">
        <v>0.82</v>
      </c>
    </row>
    <row r="875" spans="1:38" x14ac:dyDescent="0.3">
      <c r="A875" t="s">
        <v>685</v>
      </c>
      <c r="B875">
        <v>125279</v>
      </c>
      <c r="C875">
        <v>4</v>
      </c>
      <c r="D875" t="s">
        <v>1335</v>
      </c>
      <c r="E875" t="s">
        <v>955</v>
      </c>
      <c r="F875">
        <v>11</v>
      </c>
      <c r="G875">
        <v>23.41</v>
      </c>
      <c r="H875">
        <v>77.41</v>
      </c>
      <c r="I875">
        <v>20.16</v>
      </c>
      <c r="J875">
        <v>66.67</v>
      </c>
      <c r="K875">
        <v>1</v>
      </c>
      <c r="T875">
        <v>3</v>
      </c>
      <c r="U875">
        <v>1</v>
      </c>
      <c r="V875" t="s">
        <v>93</v>
      </c>
      <c r="W875">
        <v>77</v>
      </c>
      <c r="X875">
        <v>7</v>
      </c>
      <c r="Y875">
        <v>6</v>
      </c>
      <c r="Z875" t="s">
        <v>1336</v>
      </c>
      <c r="AA875" t="s">
        <v>1337</v>
      </c>
      <c r="AB875" t="s">
        <v>96</v>
      </c>
      <c r="AC875" t="s">
        <v>97</v>
      </c>
      <c r="AD875" t="s">
        <v>690</v>
      </c>
      <c r="AG875" t="s">
        <v>1338</v>
      </c>
      <c r="AH875">
        <v>0</v>
      </c>
      <c r="AI875">
        <v>333</v>
      </c>
      <c r="AJ875">
        <v>69</v>
      </c>
      <c r="AK875">
        <v>9</v>
      </c>
      <c r="AL875">
        <v>0.82</v>
      </c>
    </row>
    <row r="876" spans="1:38" x14ac:dyDescent="0.3">
      <c r="A876" t="s">
        <v>685</v>
      </c>
      <c r="B876">
        <v>125279</v>
      </c>
      <c r="C876">
        <v>5</v>
      </c>
      <c r="D876" t="s">
        <v>1335</v>
      </c>
      <c r="E876" t="s">
        <v>955</v>
      </c>
      <c r="F876">
        <v>11</v>
      </c>
      <c r="G876">
        <v>23.9</v>
      </c>
      <c r="H876">
        <v>79.040000000000006</v>
      </c>
      <c r="I876">
        <v>20.59</v>
      </c>
      <c r="J876">
        <v>68.069999999999993</v>
      </c>
      <c r="K876">
        <v>3</v>
      </c>
      <c r="T876">
        <v>3</v>
      </c>
      <c r="U876">
        <v>1</v>
      </c>
      <c r="V876" t="s">
        <v>93</v>
      </c>
      <c r="W876" t="s">
        <v>474</v>
      </c>
      <c r="X876">
        <v>7</v>
      </c>
      <c r="Y876">
        <v>6</v>
      </c>
      <c r="Z876" t="s">
        <v>1336</v>
      </c>
      <c r="AA876" t="s">
        <v>1337</v>
      </c>
      <c r="AB876" t="s">
        <v>96</v>
      </c>
      <c r="AC876" t="s">
        <v>97</v>
      </c>
      <c r="AD876" t="s">
        <v>690</v>
      </c>
      <c r="AG876" t="s">
        <v>1338</v>
      </c>
      <c r="AH876">
        <v>0</v>
      </c>
      <c r="AI876">
        <v>333</v>
      </c>
      <c r="AJ876">
        <v>69</v>
      </c>
      <c r="AK876">
        <v>9</v>
      </c>
      <c r="AL876">
        <v>0.82</v>
      </c>
    </row>
    <row r="877" spans="1:38" x14ac:dyDescent="0.3">
      <c r="A877" t="s">
        <v>685</v>
      </c>
      <c r="B877">
        <v>125279</v>
      </c>
      <c r="C877">
        <v>6</v>
      </c>
      <c r="D877" t="s">
        <v>1335</v>
      </c>
      <c r="E877" t="s">
        <v>955</v>
      </c>
      <c r="F877">
        <v>11</v>
      </c>
      <c r="G877">
        <v>24.48</v>
      </c>
      <c r="H877">
        <v>80.930000000000007</v>
      </c>
      <c r="I877">
        <v>21.08</v>
      </c>
      <c r="J877">
        <v>69.7</v>
      </c>
      <c r="K877">
        <v>2</v>
      </c>
      <c r="T877">
        <v>3</v>
      </c>
      <c r="U877">
        <v>1</v>
      </c>
      <c r="V877" t="s">
        <v>93</v>
      </c>
      <c r="W877" t="s">
        <v>322</v>
      </c>
      <c r="X877">
        <v>7</v>
      </c>
      <c r="Y877">
        <v>6</v>
      </c>
      <c r="Z877" t="s">
        <v>1336</v>
      </c>
      <c r="AA877" t="s">
        <v>1337</v>
      </c>
      <c r="AB877" t="s">
        <v>96</v>
      </c>
      <c r="AC877" t="s">
        <v>97</v>
      </c>
      <c r="AD877" t="s">
        <v>690</v>
      </c>
      <c r="AG877" t="s">
        <v>1338</v>
      </c>
      <c r="AH877">
        <v>0</v>
      </c>
      <c r="AI877">
        <v>333</v>
      </c>
      <c r="AJ877">
        <v>69</v>
      </c>
      <c r="AK877">
        <v>9</v>
      </c>
      <c r="AL877">
        <v>0.82</v>
      </c>
    </row>
    <row r="878" spans="1:38" x14ac:dyDescent="0.3">
      <c r="A878" t="s">
        <v>685</v>
      </c>
      <c r="B878">
        <v>125279</v>
      </c>
      <c r="C878">
        <v>7</v>
      </c>
      <c r="D878" t="s">
        <v>1335</v>
      </c>
      <c r="E878" t="s">
        <v>955</v>
      </c>
      <c r="F878">
        <v>11</v>
      </c>
      <c r="G878">
        <v>36.729999999999997</v>
      </c>
      <c r="H878">
        <v>121.44</v>
      </c>
      <c r="I878">
        <v>31.63</v>
      </c>
      <c r="J878">
        <v>104.59</v>
      </c>
      <c r="K878">
        <v>1</v>
      </c>
      <c r="T878">
        <v>3</v>
      </c>
      <c r="U878">
        <v>2</v>
      </c>
      <c r="V878" t="s">
        <v>93</v>
      </c>
      <c r="W878">
        <v>121</v>
      </c>
      <c r="X878">
        <v>7</v>
      </c>
      <c r="Y878">
        <v>6</v>
      </c>
      <c r="Z878" t="s">
        <v>1336</v>
      </c>
      <c r="AA878" t="s">
        <v>1337</v>
      </c>
      <c r="AB878" t="s">
        <v>96</v>
      </c>
      <c r="AC878" t="s">
        <v>97</v>
      </c>
      <c r="AD878" t="s">
        <v>690</v>
      </c>
      <c r="AG878" t="s">
        <v>1338</v>
      </c>
      <c r="AH878">
        <v>0</v>
      </c>
      <c r="AI878">
        <v>333</v>
      </c>
      <c r="AJ878">
        <v>69</v>
      </c>
      <c r="AK878">
        <v>9</v>
      </c>
      <c r="AL878">
        <v>0.82</v>
      </c>
    </row>
    <row r="879" spans="1:38" x14ac:dyDescent="0.3">
      <c r="A879" t="s">
        <v>685</v>
      </c>
      <c r="B879">
        <v>120161</v>
      </c>
      <c r="C879">
        <v>1</v>
      </c>
      <c r="D879" t="s">
        <v>1339</v>
      </c>
      <c r="E879" t="s">
        <v>1340</v>
      </c>
      <c r="F879">
        <v>11</v>
      </c>
      <c r="G879">
        <v>21.44</v>
      </c>
      <c r="H879">
        <v>70.88</v>
      </c>
      <c r="I879">
        <v>18.39</v>
      </c>
      <c r="J879">
        <v>60.82</v>
      </c>
      <c r="K879">
        <v>1</v>
      </c>
      <c r="T879">
        <v>3</v>
      </c>
      <c r="U879">
        <v>2</v>
      </c>
      <c r="V879" t="s">
        <v>93</v>
      </c>
      <c r="W879">
        <v>70</v>
      </c>
      <c r="X879">
        <v>9</v>
      </c>
      <c r="Y879">
        <v>8</v>
      </c>
      <c r="Z879" t="s">
        <v>1341</v>
      </c>
      <c r="AA879" t="s">
        <v>1342</v>
      </c>
      <c r="AB879" t="s">
        <v>96</v>
      </c>
      <c r="AC879" t="s">
        <v>97</v>
      </c>
      <c r="AD879" t="s">
        <v>690</v>
      </c>
      <c r="AG879" t="s">
        <v>1343</v>
      </c>
      <c r="AH879">
        <v>0</v>
      </c>
      <c r="AI879">
        <v>377</v>
      </c>
      <c r="AJ879">
        <v>56</v>
      </c>
      <c r="AK879">
        <v>9</v>
      </c>
      <c r="AL879">
        <v>0.82</v>
      </c>
    </row>
    <row r="880" spans="1:38" x14ac:dyDescent="0.3">
      <c r="A880" t="s">
        <v>685</v>
      </c>
      <c r="B880">
        <v>120161</v>
      </c>
      <c r="C880">
        <v>2</v>
      </c>
      <c r="D880" t="s">
        <v>1339</v>
      </c>
      <c r="E880" t="s">
        <v>1340</v>
      </c>
      <c r="F880">
        <v>11</v>
      </c>
      <c r="G880">
        <v>24.51</v>
      </c>
      <c r="H880">
        <v>81.05</v>
      </c>
      <c r="I880">
        <v>21.03</v>
      </c>
      <c r="J880">
        <v>69.55</v>
      </c>
      <c r="K880">
        <v>8</v>
      </c>
      <c r="T880">
        <v>3</v>
      </c>
      <c r="U880">
        <v>2</v>
      </c>
      <c r="V880" t="s">
        <v>93</v>
      </c>
      <c r="W880">
        <v>81</v>
      </c>
      <c r="X880">
        <v>9</v>
      </c>
      <c r="Y880">
        <v>8</v>
      </c>
      <c r="Z880" t="s">
        <v>1341</v>
      </c>
      <c r="AA880" t="s">
        <v>1342</v>
      </c>
      <c r="AB880" t="s">
        <v>96</v>
      </c>
      <c r="AC880" t="s">
        <v>97</v>
      </c>
      <c r="AD880" t="s">
        <v>690</v>
      </c>
      <c r="AG880" t="s">
        <v>1343</v>
      </c>
      <c r="AH880">
        <v>0</v>
      </c>
      <c r="AI880">
        <v>377</v>
      </c>
      <c r="AJ880">
        <v>56</v>
      </c>
      <c r="AK880">
        <v>9</v>
      </c>
      <c r="AL880">
        <v>0.82</v>
      </c>
    </row>
    <row r="881" spans="1:38" x14ac:dyDescent="0.3">
      <c r="A881" t="s">
        <v>685</v>
      </c>
      <c r="B881">
        <v>120161</v>
      </c>
      <c r="C881">
        <v>3</v>
      </c>
      <c r="D881" t="s">
        <v>1339</v>
      </c>
      <c r="E881" t="s">
        <v>1340</v>
      </c>
      <c r="F881">
        <v>11</v>
      </c>
      <c r="G881">
        <v>26.15</v>
      </c>
      <c r="H881">
        <v>86.46</v>
      </c>
      <c r="I881">
        <v>22.44</v>
      </c>
      <c r="J881">
        <v>74.19</v>
      </c>
      <c r="K881">
        <v>1</v>
      </c>
      <c r="T881">
        <v>3</v>
      </c>
      <c r="U881">
        <v>2</v>
      </c>
      <c r="V881" t="s">
        <v>93</v>
      </c>
      <c r="W881">
        <v>86</v>
      </c>
      <c r="X881">
        <v>9</v>
      </c>
      <c r="Y881">
        <v>8</v>
      </c>
      <c r="Z881" t="s">
        <v>1341</v>
      </c>
      <c r="AA881" t="s">
        <v>1342</v>
      </c>
      <c r="AB881" t="s">
        <v>96</v>
      </c>
      <c r="AC881" t="s">
        <v>97</v>
      </c>
      <c r="AD881" t="s">
        <v>690</v>
      </c>
      <c r="AG881" t="s">
        <v>1343</v>
      </c>
      <c r="AH881">
        <v>0</v>
      </c>
      <c r="AI881">
        <v>377</v>
      </c>
      <c r="AJ881">
        <v>56</v>
      </c>
      <c r="AK881">
        <v>9</v>
      </c>
      <c r="AL881">
        <v>0.82</v>
      </c>
    </row>
    <row r="882" spans="1:38" x14ac:dyDescent="0.3">
      <c r="A882" t="s">
        <v>685</v>
      </c>
      <c r="B882">
        <v>120161</v>
      </c>
      <c r="C882">
        <v>4</v>
      </c>
      <c r="D882" t="s">
        <v>1339</v>
      </c>
      <c r="E882" t="s">
        <v>1340</v>
      </c>
      <c r="F882">
        <v>11</v>
      </c>
      <c r="G882">
        <v>27.37</v>
      </c>
      <c r="H882">
        <v>90.5</v>
      </c>
      <c r="I882">
        <v>23.49</v>
      </c>
      <c r="J882">
        <v>77.67</v>
      </c>
      <c r="K882">
        <v>1</v>
      </c>
      <c r="T882">
        <v>3</v>
      </c>
      <c r="U882">
        <v>2</v>
      </c>
      <c r="V882" t="s">
        <v>93</v>
      </c>
      <c r="W882">
        <v>90</v>
      </c>
      <c r="X882">
        <v>9</v>
      </c>
      <c r="Y882">
        <v>8</v>
      </c>
      <c r="Z882" t="s">
        <v>1341</v>
      </c>
      <c r="AA882" t="s">
        <v>1342</v>
      </c>
      <c r="AB882" t="s">
        <v>96</v>
      </c>
      <c r="AC882" t="s">
        <v>97</v>
      </c>
      <c r="AD882" t="s">
        <v>690</v>
      </c>
      <c r="AG882" t="s">
        <v>1343</v>
      </c>
      <c r="AH882">
        <v>0</v>
      </c>
      <c r="AI882">
        <v>377</v>
      </c>
      <c r="AJ882">
        <v>56</v>
      </c>
      <c r="AK882">
        <v>9</v>
      </c>
      <c r="AL882">
        <v>0.82</v>
      </c>
    </row>
    <row r="883" spans="1:38" x14ac:dyDescent="0.3">
      <c r="A883" t="s">
        <v>685</v>
      </c>
      <c r="B883">
        <v>116571</v>
      </c>
      <c r="C883">
        <v>1</v>
      </c>
      <c r="D883" t="s">
        <v>1344</v>
      </c>
      <c r="E883" t="s">
        <v>292</v>
      </c>
      <c r="F883">
        <v>35</v>
      </c>
      <c r="G883">
        <v>22.5</v>
      </c>
      <c r="H883">
        <v>74.400000000000006</v>
      </c>
      <c r="I883">
        <v>18.03</v>
      </c>
      <c r="J883">
        <v>59.63</v>
      </c>
      <c r="K883">
        <v>11</v>
      </c>
      <c r="T883">
        <v>3</v>
      </c>
      <c r="U883">
        <v>1</v>
      </c>
      <c r="V883" t="s">
        <v>93</v>
      </c>
      <c r="W883" t="s">
        <v>406</v>
      </c>
      <c r="X883">
        <v>13</v>
      </c>
      <c r="Y883">
        <v>13</v>
      </c>
      <c r="Z883" t="s">
        <v>1345</v>
      </c>
      <c r="AA883" t="s">
        <v>1346</v>
      </c>
      <c r="AB883" t="s">
        <v>96</v>
      </c>
      <c r="AC883" t="s">
        <v>97</v>
      </c>
      <c r="AD883" t="s">
        <v>690</v>
      </c>
      <c r="AG883" t="s">
        <v>1347</v>
      </c>
      <c r="AH883">
        <v>0</v>
      </c>
      <c r="AI883">
        <v>788</v>
      </c>
      <c r="AJ883">
        <v>76</v>
      </c>
      <c r="AK883">
        <v>29</v>
      </c>
      <c r="AL883">
        <v>0.83</v>
      </c>
    </row>
    <row r="884" spans="1:38" x14ac:dyDescent="0.3">
      <c r="A884" t="s">
        <v>685</v>
      </c>
      <c r="B884">
        <v>116571</v>
      </c>
      <c r="C884">
        <v>2</v>
      </c>
      <c r="D884" t="s">
        <v>1344</v>
      </c>
      <c r="E884" t="s">
        <v>292</v>
      </c>
      <c r="F884">
        <v>35</v>
      </c>
      <c r="G884">
        <v>22.94</v>
      </c>
      <c r="H884">
        <v>75.86</v>
      </c>
      <c r="I884">
        <v>18.03</v>
      </c>
      <c r="J884">
        <v>59.63</v>
      </c>
      <c r="K884">
        <v>12</v>
      </c>
      <c r="T884">
        <v>3</v>
      </c>
      <c r="U884">
        <v>1</v>
      </c>
      <c r="V884" t="s">
        <v>93</v>
      </c>
      <c r="W884" t="s">
        <v>407</v>
      </c>
      <c r="X884">
        <v>13</v>
      </c>
      <c r="Y884">
        <v>13</v>
      </c>
      <c r="Z884" t="s">
        <v>1345</v>
      </c>
      <c r="AA884" t="s">
        <v>1346</v>
      </c>
      <c r="AB884" t="s">
        <v>96</v>
      </c>
      <c r="AC884" t="s">
        <v>97</v>
      </c>
      <c r="AD884" t="s">
        <v>690</v>
      </c>
      <c r="AG884" t="s">
        <v>1347</v>
      </c>
      <c r="AH884">
        <v>0</v>
      </c>
      <c r="AI884">
        <v>788</v>
      </c>
      <c r="AJ884">
        <v>76</v>
      </c>
      <c r="AK884">
        <v>29</v>
      </c>
      <c r="AL884">
        <v>0.83</v>
      </c>
    </row>
    <row r="885" spans="1:38" x14ac:dyDescent="0.3">
      <c r="A885" t="s">
        <v>685</v>
      </c>
      <c r="B885">
        <v>116571</v>
      </c>
      <c r="C885">
        <v>3</v>
      </c>
      <c r="D885" t="s">
        <v>1344</v>
      </c>
      <c r="E885" t="s">
        <v>292</v>
      </c>
      <c r="F885">
        <v>35</v>
      </c>
      <c r="G885">
        <v>22.8</v>
      </c>
      <c r="H885">
        <v>75.39</v>
      </c>
      <c r="I885">
        <v>18.11</v>
      </c>
      <c r="J885">
        <v>59.88</v>
      </c>
      <c r="K885">
        <v>12</v>
      </c>
      <c r="T885">
        <v>3</v>
      </c>
      <c r="U885">
        <v>1</v>
      </c>
      <c r="V885" t="s">
        <v>93</v>
      </c>
      <c r="W885" t="s">
        <v>881</v>
      </c>
      <c r="X885">
        <v>13</v>
      </c>
      <c r="Y885">
        <v>13</v>
      </c>
      <c r="Z885" t="s">
        <v>1345</v>
      </c>
      <c r="AA885" t="s">
        <v>1346</v>
      </c>
      <c r="AB885" t="s">
        <v>96</v>
      </c>
      <c r="AC885" t="s">
        <v>97</v>
      </c>
      <c r="AD885" t="s">
        <v>690</v>
      </c>
      <c r="AG885" t="s">
        <v>1347</v>
      </c>
      <c r="AH885">
        <v>0</v>
      </c>
      <c r="AI885">
        <v>788</v>
      </c>
      <c r="AJ885">
        <v>76</v>
      </c>
      <c r="AK885">
        <v>29</v>
      </c>
      <c r="AL885">
        <v>0.83</v>
      </c>
    </row>
    <row r="886" spans="1:38" x14ac:dyDescent="0.3">
      <c r="A886" t="s">
        <v>685</v>
      </c>
      <c r="B886">
        <v>122862</v>
      </c>
      <c r="C886">
        <v>1</v>
      </c>
      <c r="D886" t="s">
        <v>1348</v>
      </c>
      <c r="E886" t="s">
        <v>935</v>
      </c>
      <c r="F886">
        <v>26</v>
      </c>
      <c r="G886">
        <v>23.58</v>
      </c>
      <c r="H886">
        <v>77.97</v>
      </c>
      <c r="I886">
        <v>18.11</v>
      </c>
      <c r="J886">
        <v>59.9</v>
      </c>
      <c r="K886">
        <v>13</v>
      </c>
      <c r="T886">
        <v>3</v>
      </c>
      <c r="U886">
        <v>2</v>
      </c>
      <c r="V886" t="s">
        <v>93</v>
      </c>
      <c r="W886" t="s">
        <v>1127</v>
      </c>
      <c r="X886">
        <v>14</v>
      </c>
      <c r="Y886">
        <v>14</v>
      </c>
      <c r="Z886" t="s">
        <v>1349</v>
      </c>
      <c r="AA886" t="s">
        <v>1350</v>
      </c>
      <c r="AB886" t="s">
        <v>96</v>
      </c>
      <c r="AC886" t="s">
        <v>97</v>
      </c>
      <c r="AD886" t="s">
        <v>690</v>
      </c>
      <c r="AG886" t="s">
        <v>1351</v>
      </c>
      <c r="AH886">
        <v>0</v>
      </c>
      <c r="AI886">
        <v>744</v>
      </c>
      <c r="AJ886">
        <v>71</v>
      </c>
      <c r="AK886">
        <v>22</v>
      </c>
      <c r="AL886">
        <v>0.85</v>
      </c>
    </row>
    <row r="887" spans="1:38" x14ac:dyDescent="0.3">
      <c r="A887" t="s">
        <v>685</v>
      </c>
      <c r="B887">
        <v>122862</v>
      </c>
      <c r="C887">
        <v>2</v>
      </c>
      <c r="D887" t="s">
        <v>1348</v>
      </c>
      <c r="E887" t="s">
        <v>935</v>
      </c>
      <c r="F887">
        <v>26</v>
      </c>
      <c r="G887">
        <v>24.03</v>
      </c>
      <c r="H887">
        <v>79.45</v>
      </c>
      <c r="I887">
        <v>18.11</v>
      </c>
      <c r="J887">
        <v>59.89</v>
      </c>
      <c r="K887">
        <v>12</v>
      </c>
      <c r="T887">
        <v>3</v>
      </c>
      <c r="U887">
        <v>2</v>
      </c>
      <c r="V887" t="s">
        <v>93</v>
      </c>
      <c r="W887" t="s">
        <v>474</v>
      </c>
      <c r="X887">
        <v>14</v>
      </c>
      <c r="Y887">
        <v>14</v>
      </c>
      <c r="Z887" t="s">
        <v>1349</v>
      </c>
      <c r="AA887" t="s">
        <v>1350</v>
      </c>
      <c r="AB887" t="s">
        <v>96</v>
      </c>
      <c r="AC887" t="s">
        <v>97</v>
      </c>
      <c r="AD887" t="s">
        <v>690</v>
      </c>
      <c r="AG887" t="s">
        <v>1351</v>
      </c>
      <c r="AH887">
        <v>0</v>
      </c>
      <c r="AI887">
        <v>744</v>
      </c>
      <c r="AJ887">
        <v>71</v>
      </c>
      <c r="AK887">
        <v>22</v>
      </c>
      <c r="AL887">
        <v>0.85</v>
      </c>
    </row>
    <row r="888" spans="1:38" x14ac:dyDescent="0.3">
      <c r="A888" t="s">
        <v>685</v>
      </c>
      <c r="B888">
        <v>122862</v>
      </c>
      <c r="C888">
        <v>3</v>
      </c>
      <c r="D888" t="s">
        <v>1348</v>
      </c>
      <c r="E888" t="s">
        <v>935</v>
      </c>
      <c r="F888">
        <v>26</v>
      </c>
      <c r="G888">
        <v>24.02</v>
      </c>
      <c r="H888">
        <v>79.42</v>
      </c>
      <c r="I888">
        <v>18.11</v>
      </c>
      <c r="J888">
        <v>59.89</v>
      </c>
      <c r="K888">
        <v>1</v>
      </c>
      <c r="T888">
        <v>3</v>
      </c>
      <c r="U888">
        <v>2</v>
      </c>
      <c r="V888" t="s">
        <v>93</v>
      </c>
      <c r="W888" t="s">
        <v>475</v>
      </c>
      <c r="X888">
        <v>14</v>
      </c>
      <c r="Y888">
        <v>14</v>
      </c>
      <c r="Z888" t="s">
        <v>1349</v>
      </c>
      <c r="AA888" t="s">
        <v>1350</v>
      </c>
      <c r="AB888" t="s">
        <v>96</v>
      </c>
      <c r="AC888" t="s">
        <v>97</v>
      </c>
      <c r="AD888" t="s">
        <v>690</v>
      </c>
      <c r="AG888" t="s">
        <v>1351</v>
      </c>
      <c r="AH888">
        <v>0</v>
      </c>
      <c r="AI888">
        <v>744</v>
      </c>
      <c r="AJ888">
        <v>71</v>
      </c>
      <c r="AK888">
        <v>22</v>
      </c>
      <c r="AL888">
        <v>0.85</v>
      </c>
    </row>
    <row r="889" spans="1:38" x14ac:dyDescent="0.3">
      <c r="A889" t="s">
        <v>685</v>
      </c>
      <c r="B889">
        <v>119287</v>
      </c>
      <c r="C889">
        <v>1</v>
      </c>
      <c r="D889" t="s">
        <v>1352</v>
      </c>
      <c r="E889" t="s">
        <v>1353</v>
      </c>
      <c r="F889">
        <v>42</v>
      </c>
      <c r="G889">
        <v>20.13</v>
      </c>
      <c r="H889">
        <v>66.55</v>
      </c>
      <c r="I889">
        <v>15.03</v>
      </c>
      <c r="J889">
        <v>49.69</v>
      </c>
      <c r="K889">
        <v>28</v>
      </c>
      <c r="T889">
        <v>2</v>
      </c>
      <c r="U889">
        <v>1</v>
      </c>
      <c r="V889" t="s">
        <v>93</v>
      </c>
      <c r="W889" t="s">
        <v>257</v>
      </c>
      <c r="X889">
        <v>15</v>
      </c>
      <c r="Y889">
        <v>15</v>
      </c>
      <c r="Z889" t="s">
        <v>1354</v>
      </c>
      <c r="AA889" t="s">
        <v>1355</v>
      </c>
      <c r="AB889" t="s">
        <v>96</v>
      </c>
      <c r="AC889" t="s">
        <v>97</v>
      </c>
      <c r="AD889" t="s">
        <v>690</v>
      </c>
      <c r="AG889" t="s">
        <v>1356</v>
      </c>
      <c r="AH889">
        <v>0</v>
      </c>
      <c r="AI889">
        <v>742</v>
      </c>
      <c r="AJ889">
        <v>68</v>
      </c>
      <c r="AK889">
        <v>32</v>
      </c>
      <c r="AL889">
        <v>0.76</v>
      </c>
    </row>
    <row r="890" spans="1:38" x14ac:dyDescent="0.3">
      <c r="A890" t="s">
        <v>685</v>
      </c>
      <c r="B890">
        <v>119287</v>
      </c>
      <c r="C890">
        <v>2</v>
      </c>
      <c r="D890" t="s">
        <v>1352</v>
      </c>
      <c r="E890" t="s">
        <v>1353</v>
      </c>
      <c r="F890">
        <v>42</v>
      </c>
      <c r="G890">
        <v>20.190000000000001</v>
      </c>
      <c r="H890">
        <v>66.760000000000005</v>
      </c>
      <c r="I890">
        <v>15.05</v>
      </c>
      <c r="J890">
        <v>49.76</v>
      </c>
      <c r="K890">
        <v>14</v>
      </c>
      <c r="T890">
        <v>2</v>
      </c>
      <c r="U890">
        <v>1</v>
      </c>
      <c r="V890" t="s">
        <v>93</v>
      </c>
      <c r="W890" t="s">
        <v>256</v>
      </c>
      <c r="X890">
        <v>15</v>
      </c>
      <c r="Y890">
        <v>15</v>
      </c>
      <c r="Z890" t="s">
        <v>1354</v>
      </c>
      <c r="AA890" t="s">
        <v>1355</v>
      </c>
      <c r="AB890" t="s">
        <v>96</v>
      </c>
      <c r="AC890" t="s">
        <v>97</v>
      </c>
      <c r="AD890" t="s">
        <v>690</v>
      </c>
      <c r="AG890" t="s">
        <v>1356</v>
      </c>
      <c r="AH890">
        <v>0</v>
      </c>
      <c r="AI890">
        <v>742</v>
      </c>
      <c r="AJ890">
        <v>68</v>
      </c>
      <c r="AK890">
        <v>32</v>
      </c>
      <c r="AL890">
        <v>0.76</v>
      </c>
    </row>
    <row r="891" spans="1:38" x14ac:dyDescent="0.3">
      <c r="A891" t="s">
        <v>685</v>
      </c>
      <c r="B891">
        <v>122695</v>
      </c>
      <c r="C891">
        <v>1</v>
      </c>
      <c r="D891" t="s">
        <v>1357</v>
      </c>
      <c r="E891" t="s">
        <v>216</v>
      </c>
      <c r="F891">
        <v>42</v>
      </c>
      <c r="G891">
        <v>23.71</v>
      </c>
      <c r="H891">
        <v>78.39</v>
      </c>
      <c r="I891">
        <v>17.93</v>
      </c>
      <c r="J891">
        <v>59.28</v>
      </c>
      <c r="K891">
        <v>14</v>
      </c>
      <c r="T891">
        <v>3</v>
      </c>
      <c r="U891">
        <v>1</v>
      </c>
      <c r="V891" t="s">
        <v>93</v>
      </c>
      <c r="W891" t="s">
        <v>318</v>
      </c>
      <c r="X891">
        <v>15</v>
      </c>
      <c r="Y891">
        <v>15</v>
      </c>
      <c r="Z891" t="s">
        <v>1358</v>
      </c>
      <c r="AA891" t="s">
        <v>1359</v>
      </c>
      <c r="AB891" t="s">
        <v>96</v>
      </c>
      <c r="AC891" t="s">
        <v>97</v>
      </c>
      <c r="AD891" t="s">
        <v>690</v>
      </c>
      <c r="AG891" t="s">
        <v>1360</v>
      </c>
      <c r="AH891">
        <v>0</v>
      </c>
      <c r="AI891">
        <v>899</v>
      </c>
      <c r="AJ891">
        <v>76</v>
      </c>
      <c r="AK891">
        <v>38</v>
      </c>
      <c r="AL891">
        <v>0.9</v>
      </c>
    </row>
    <row r="892" spans="1:38" x14ac:dyDescent="0.3">
      <c r="A892" t="s">
        <v>685</v>
      </c>
      <c r="B892">
        <v>122695</v>
      </c>
      <c r="C892">
        <v>2</v>
      </c>
      <c r="D892" t="s">
        <v>1357</v>
      </c>
      <c r="E892" t="s">
        <v>216</v>
      </c>
      <c r="F892">
        <v>42</v>
      </c>
      <c r="G892">
        <v>23.78</v>
      </c>
      <c r="H892">
        <v>78.62</v>
      </c>
      <c r="I892">
        <v>18.11</v>
      </c>
      <c r="J892">
        <v>59.88</v>
      </c>
      <c r="K892">
        <v>14</v>
      </c>
      <c r="T892">
        <v>3</v>
      </c>
      <c r="U892">
        <v>1</v>
      </c>
      <c r="V892" t="s">
        <v>93</v>
      </c>
      <c r="W892" t="s">
        <v>599</v>
      </c>
      <c r="X892">
        <v>15</v>
      </c>
      <c r="Y892">
        <v>15</v>
      </c>
      <c r="Z892" t="s">
        <v>1358</v>
      </c>
      <c r="AA892" t="s">
        <v>1359</v>
      </c>
      <c r="AB892" t="s">
        <v>96</v>
      </c>
      <c r="AC892" t="s">
        <v>97</v>
      </c>
      <c r="AD892" t="s">
        <v>690</v>
      </c>
      <c r="AG892" t="s">
        <v>1360</v>
      </c>
      <c r="AH892">
        <v>0</v>
      </c>
      <c r="AI892">
        <v>899</v>
      </c>
      <c r="AJ892">
        <v>76</v>
      </c>
      <c r="AK892">
        <v>38</v>
      </c>
      <c r="AL892">
        <v>0.9</v>
      </c>
    </row>
    <row r="893" spans="1:38" x14ac:dyDescent="0.3">
      <c r="A893" t="s">
        <v>685</v>
      </c>
      <c r="B893">
        <v>122695</v>
      </c>
      <c r="C893">
        <v>3</v>
      </c>
      <c r="D893" t="s">
        <v>1357</v>
      </c>
      <c r="E893" t="s">
        <v>216</v>
      </c>
      <c r="F893">
        <v>42</v>
      </c>
      <c r="G893">
        <v>23.93</v>
      </c>
      <c r="H893">
        <v>79.11</v>
      </c>
      <c r="I893">
        <v>17.940000000000001</v>
      </c>
      <c r="J893">
        <v>59.31</v>
      </c>
      <c r="K893">
        <v>14</v>
      </c>
      <c r="T893">
        <v>3</v>
      </c>
      <c r="U893">
        <v>1</v>
      </c>
      <c r="V893" t="s">
        <v>93</v>
      </c>
      <c r="W893" t="s">
        <v>475</v>
      </c>
      <c r="X893">
        <v>15</v>
      </c>
      <c r="Y893">
        <v>15</v>
      </c>
      <c r="Z893" t="s">
        <v>1358</v>
      </c>
      <c r="AA893" t="s">
        <v>1359</v>
      </c>
      <c r="AB893" t="s">
        <v>96</v>
      </c>
      <c r="AC893" t="s">
        <v>97</v>
      </c>
      <c r="AD893" t="s">
        <v>690</v>
      </c>
      <c r="AG893" t="s">
        <v>1360</v>
      </c>
      <c r="AH893">
        <v>0</v>
      </c>
      <c r="AI893">
        <v>899</v>
      </c>
      <c r="AJ893">
        <v>76</v>
      </c>
      <c r="AK893">
        <v>38</v>
      </c>
      <c r="AL893">
        <v>0.9</v>
      </c>
    </row>
    <row r="894" spans="1:38" x14ac:dyDescent="0.3">
      <c r="A894" t="s">
        <v>685</v>
      </c>
      <c r="B894">
        <v>10503</v>
      </c>
      <c r="C894">
        <v>1</v>
      </c>
      <c r="D894" t="s">
        <v>1361</v>
      </c>
      <c r="E894" t="s">
        <v>1362</v>
      </c>
      <c r="F894">
        <v>36</v>
      </c>
      <c r="G894">
        <v>26.18</v>
      </c>
      <c r="H894">
        <v>86.56</v>
      </c>
      <c r="I894">
        <v>25.82</v>
      </c>
      <c r="J894">
        <v>85.36</v>
      </c>
      <c r="K894">
        <v>20</v>
      </c>
      <c r="T894">
        <v>3</v>
      </c>
      <c r="U894">
        <v>2</v>
      </c>
      <c r="V894" t="s">
        <v>93</v>
      </c>
      <c r="W894">
        <v>86</v>
      </c>
      <c r="X894">
        <v>5</v>
      </c>
      <c r="Y894">
        <v>5</v>
      </c>
      <c r="Z894" t="s">
        <v>1363</v>
      </c>
      <c r="AA894" t="s">
        <v>1364</v>
      </c>
      <c r="AB894" t="s">
        <v>96</v>
      </c>
      <c r="AC894" t="s">
        <v>97</v>
      </c>
      <c r="AD894" t="s">
        <v>690</v>
      </c>
      <c r="AG894" t="s">
        <v>1365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38" x14ac:dyDescent="0.3">
      <c r="A895" t="s">
        <v>685</v>
      </c>
      <c r="B895">
        <v>10503</v>
      </c>
      <c r="C895">
        <v>2</v>
      </c>
      <c r="D895" t="s">
        <v>1361</v>
      </c>
      <c r="E895" t="s">
        <v>1362</v>
      </c>
      <c r="F895">
        <v>36</v>
      </c>
      <c r="G895">
        <v>33.35</v>
      </c>
      <c r="H895">
        <v>110.27</v>
      </c>
      <c r="I895">
        <v>32.94</v>
      </c>
      <c r="J895">
        <v>108.9</v>
      </c>
      <c r="K895">
        <v>16</v>
      </c>
      <c r="T895">
        <v>3</v>
      </c>
      <c r="U895">
        <v>2</v>
      </c>
      <c r="V895" t="s">
        <v>93</v>
      </c>
      <c r="W895">
        <v>110</v>
      </c>
      <c r="X895">
        <v>5</v>
      </c>
      <c r="Y895">
        <v>5</v>
      </c>
      <c r="Z895" t="s">
        <v>1363</v>
      </c>
      <c r="AA895" t="s">
        <v>1364</v>
      </c>
      <c r="AB895" t="s">
        <v>96</v>
      </c>
      <c r="AC895" t="s">
        <v>97</v>
      </c>
      <c r="AD895" t="s">
        <v>690</v>
      </c>
      <c r="AG895" t="s">
        <v>1365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38" x14ac:dyDescent="0.3">
      <c r="A896" t="s">
        <v>685</v>
      </c>
      <c r="B896">
        <v>134386</v>
      </c>
      <c r="C896">
        <v>1</v>
      </c>
      <c r="D896" t="s">
        <v>1366</v>
      </c>
      <c r="E896" t="s">
        <v>414</v>
      </c>
      <c r="F896">
        <v>4</v>
      </c>
      <c r="G896">
        <v>26.48</v>
      </c>
      <c r="H896">
        <v>87.57</v>
      </c>
      <c r="I896">
        <v>21.54</v>
      </c>
      <c r="J896">
        <v>71.22</v>
      </c>
      <c r="K896">
        <v>4</v>
      </c>
      <c r="T896">
        <v>3</v>
      </c>
      <c r="U896">
        <v>2</v>
      </c>
      <c r="V896" t="s">
        <v>93</v>
      </c>
      <c r="W896">
        <v>87</v>
      </c>
      <c r="X896">
        <v>3</v>
      </c>
      <c r="Y896">
        <v>3</v>
      </c>
      <c r="Z896" t="s">
        <v>1367</v>
      </c>
      <c r="AA896" t="s">
        <v>1368</v>
      </c>
      <c r="AB896" t="s">
        <v>96</v>
      </c>
      <c r="AC896" t="s">
        <v>97</v>
      </c>
      <c r="AD896" t="s">
        <v>690</v>
      </c>
      <c r="AG896" t="s">
        <v>1369</v>
      </c>
      <c r="AH896">
        <v>0</v>
      </c>
      <c r="AI896">
        <v>663</v>
      </c>
      <c r="AJ896">
        <v>65</v>
      </c>
      <c r="AK896">
        <v>4</v>
      </c>
      <c r="AL896">
        <v>1</v>
      </c>
    </row>
    <row r="897" spans="1:38" x14ac:dyDescent="0.3">
      <c r="A897" t="s">
        <v>685</v>
      </c>
      <c r="B897">
        <v>112756</v>
      </c>
      <c r="C897">
        <v>1</v>
      </c>
      <c r="D897" t="s">
        <v>1370</v>
      </c>
      <c r="E897" t="s">
        <v>759</v>
      </c>
      <c r="F897">
        <v>28</v>
      </c>
      <c r="G897">
        <v>22.5</v>
      </c>
      <c r="H897">
        <v>74.41</v>
      </c>
      <c r="I897">
        <v>18.98</v>
      </c>
      <c r="J897">
        <v>62.77</v>
      </c>
      <c r="K897">
        <v>7</v>
      </c>
      <c r="T897">
        <v>3</v>
      </c>
      <c r="U897">
        <v>2</v>
      </c>
      <c r="V897" t="s">
        <v>93</v>
      </c>
      <c r="W897" t="s">
        <v>406</v>
      </c>
      <c r="X897">
        <v>8</v>
      </c>
      <c r="Y897">
        <v>8</v>
      </c>
      <c r="Z897" t="s">
        <v>1371</v>
      </c>
      <c r="AA897" t="s">
        <v>1372</v>
      </c>
      <c r="AB897" t="s">
        <v>96</v>
      </c>
      <c r="AC897" t="s">
        <v>97</v>
      </c>
      <c r="AD897" t="s">
        <v>690</v>
      </c>
      <c r="AG897" t="s">
        <v>1373</v>
      </c>
      <c r="AH897">
        <v>0</v>
      </c>
      <c r="AI897">
        <v>509</v>
      </c>
      <c r="AJ897">
        <v>65</v>
      </c>
      <c r="AK897">
        <v>28</v>
      </c>
      <c r="AL897">
        <v>1</v>
      </c>
    </row>
    <row r="898" spans="1:38" x14ac:dyDescent="0.3">
      <c r="A898" t="s">
        <v>685</v>
      </c>
      <c r="B898">
        <v>112756</v>
      </c>
      <c r="C898">
        <v>2</v>
      </c>
      <c r="D898" t="s">
        <v>1370</v>
      </c>
      <c r="E898" t="s">
        <v>759</v>
      </c>
      <c r="F898">
        <v>28</v>
      </c>
      <c r="G898">
        <v>22.8</v>
      </c>
      <c r="H898">
        <v>75.38</v>
      </c>
      <c r="I898">
        <v>19.23</v>
      </c>
      <c r="J898">
        <v>63.59</v>
      </c>
      <c r="K898">
        <v>14</v>
      </c>
      <c r="T898">
        <v>3</v>
      </c>
      <c r="U898">
        <v>2</v>
      </c>
      <c r="V898" t="s">
        <v>93</v>
      </c>
      <c r="W898" t="s">
        <v>407</v>
      </c>
      <c r="X898">
        <v>8</v>
      </c>
      <c r="Y898">
        <v>8</v>
      </c>
      <c r="Z898" t="s">
        <v>1371</v>
      </c>
      <c r="AA898" t="s">
        <v>1372</v>
      </c>
      <c r="AB898" t="s">
        <v>96</v>
      </c>
      <c r="AC898" t="s">
        <v>97</v>
      </c>
      <c r="AD898" t="s">
        <v>690</v>
      </c>
      <c r="AG898" t="s">
        <v>1373</v>
      </c>
      <c r="AH898">
        <v>0</v>
      </c>
      <c r="AI898">
        <v>509</v>
      </c>
      <c r="AJ898">
        <v>65</v>
      </c>
      <c r="AK898">
        <v>28</v>
      </c>
      <c r="AL898">
        <v>1</v>
      </c>
    </row>
    <row r="899" spans="1:38" x14ac:dyDescent="0.3">
      <c r="A899" t="s">
        <v>685</v>
      </c>
      <c r="B899">
        <v>112756</v>
      </c>
      <c r="C899">
        <v>3</v>
      </c>
      <c r="D899" t="s">
        <v>1370</v>
      </c>
      <c r="E899" t="s">
        <v>759</v>
      </c>
      <c r="F899">
        <v>28</v>
      </c>
      <c r="G899">
        <v>22.8</v>
      </c>
      <c r="H899">
        <v>75.400000000000006</v>
      </c>
      <c r="I899">
        <v>19.29</v>
      </c>
      <c r="J899">
        <v>63.77</v>
      </c>
      <c r="K899">
        <v>7</v>
      </c>
      <c r="T899">
        <v>3</v>
      </c>
      <c r="U899">
        <v>2</v>
      </c>
      <c r="V899" t="s">
        <v>93</v>
      </c>
      <c r="W899" t="s">
        <v>881</v>
      </c>
      <c r="X899">
        <v>8</v>
      </c>
      <c r="Y899">
        <v>8</v>
      </c>
      <c r="Z899" t="s">
        <v>1371</v>
      </c>
      <c r="AA899" t="s">
        <v>1372</v>
      </c>
      <c r="AB899" t="s">
        <v>96</v>
      </c>
      <c r="AC899" t="s">
        <v>97</v>
      </c>
      <c r="AD899" t="s">
        <v>690</v>
      </c>
      <c r="AG899" t="s">
        <v>1373</v>
      </c>
      <c r="AH899">
        <v>0</v>
      </c>
      <c r="AI899">
        <v>509</v>
      </c>
      <c r="AJ899">
        <v>65</v>
      </c>
      <c r="AK899">
        <v>28</v>
      </c>
      <c r="AL899">
        <v>1</v>
      </c>
    </row>
    <row r="900" spans="1:38" x14ac:dyDescent="0.3">
      <c r="A900" t="s">
        <v>685</v>
      </c>
      <c r="B900">
        <v>118150</v>
      </c>
      <c r="C900">
        <v>1</v>
      </c>
      <c r="D900" t="s">
        <v>1374</v>
      </c>
      <c r="E900" t="s">
        <v>950</v>
      </c>
      <c r="F900">
        <v>24</v>
      </c>
      <c r="G900">
        <v>20.22</v>
      </c>
      <c r="H900">
        <v>66.849999999999994</v>
      </c>
      <c r="I900">
        <v>16.760000000000002</v>
      </c>
      <c r="J900">
        <v>55.43</v>
      </c>
      <c r="K900">
        <v>23</v>
      </c>
      <c r="T900">
        <v>3</v>
      </c>
      <c r="U900">
        <v>1</v>
      </c>
      <c r="V900" t="s">
        <v>93</v>
      </c>
      <c r="W900" t="s">
        <v>256</v>
      </c>
      <c r="X900">
        <v>13</v>
      </c>
      <c r="Y900">
        <v>13</v>
      </c>
      <c r="Z900" t="s">
        <v>1375</v>
      </c>
      <c r="AA900" t="s">
        <v>1376</v>
      </c>
      <c r="AB900" t="s">
        <v>96</v>
      </c>
      <c r="AC900" t="s">
        <v>97</v>
      </c>
      <c r="AD900" t="s">
        <v>690</v>
      </c>
      <c r="AG900" t="s">
        <v>1377</v>
      </c>
      <c r="AH900">
        <v>0</v>
      </c>
      <c r="AI900">
        <v>795</v>
      </c>
      <c r="AJ900">
        <v>77</v>
      </c>
      <c r="AK900">
        <v>21</v>
      </c>
      <c r="AL900">
        <v>0.88</v>
      </c>
    </row>
    <row r="901" spans="1:38" x14ac:dyDescent="0.3">
      <c r="A901" t="s">
        <v>685</v>
      </c>
      <c r="B901">
        <v>118150</v>
      </c>
      <c r="C901">
        <v>2</v>
      </c>
      <c r="D901" t="s">
        <v>1374</v>
      </c>
      <c r="E901" t="s">
        <v>950</v>
      </c>
      <c r="F901">
        <v>24</v>
      </c>
      <c r="G901">
        <v>20.22</v>
      </c>
      <c r="H901">
        <v>66.849999999999994</v>
      </c>
      <c r="I901">
        <v>16.760000000000002</v>
      </c>
      <c r="J901">
        <v>55.43</v>
      </c>
      <c r="K901">
        <v>1</v>
      </c>
      <c r="T901">
        <v>3</v>
      </c>
      <c r="U901">
        <v>1</v>
      </c>
      <c r="V901" t="s">
        <v>93</v>
      </c>
      <c r="W901" t="s">
        <v>257</v>
      </c>
      <c r="X901">
        <v>13</v>
      </c>
      <c r="Y901">
        <v>13</v>
      </c>
      <c r="Z901" t="s">
        <v>1375</v>
      </c>
      <c r="AA901" t="s">
        <v>1376</v>
      </c>
      <c r="AB901" t="s">
        <v>96</v>
      </c>
      <c r="AC901" t="s">
        <v>97</v>
      </c>
      <c r="AD901" t="s">
        <v>690</v>
      </c>
      <c r="AG901" t="s">
        <v>1377</v>
      </c>
      <c r="AH901">
        <v>0</v>
      </c>
      <c r="AI901">
        <v>795</v>
      </c>
      <c r="AJ901">
        <v>77</v>
      </c>
      <c r="AK901">
        <v>21</v>
      </c>
      <c r="AL901">
        <v>0.88</v>
      </c>
    </row>
    <row r="902" spans="1:38" x14ac:dyDescent="0.3">
      <c r="A902" t="s">
        <v>685</v>
      </c>
      <c r="B902">
        <v>114658</v>
      </c>
      <c r="C902">
        <v>1</v>
      </c>
      <c r="D902" t="s">
        <v>1378</v>
      </c>
      <c r="E902" t="s">
        <v>935</v>
      </c>
      <c r="F902">
        <v>26</v>
      </c>
      <c r="G902">
        <v>21.1</v>
      </c>
      <c r="H902">
        <v>69.760000000000005</v>
      </c>
      <c r="I902">
        <v>16.690000000000001</v>
      </c>
      <c r="J902">
        <v>55.2</v>
      </c>
      <c r="K902">
        <v>7</v>
      </c>
      <c r="T902">
        <v>3</v>
      </c>
      <c r="U902">
        <v>2</v>
      </c>
      <c r="V902" t="s">
        <v>132</v>
      </c>
      <c r="W902" t="s">
        <v>381</v>
      </c>
      <c r="X902">
        <v>15</v>
      </c>
      <c r="Y902">
        <v>15</v>
      </c>
      <c r="Z902" t="s">
        <v>1379</v>
      </c>
      <c r="AA902" t="s">
        <v>1380</v>
      </c>
      <c r="AB902" t="s">
        <v>96</v>
      </c>
      <c r="AC902" t="s">
        <v>97</v>
      </c>
      <c r="AD902" t="s">
        <v>690</v>
      </c>
      <c r="AG902" t="s">
        <v>1381</v>
      </c>
      <c r="AH902">
        <v>0</v>
      </c>
      <c r="AI902">
        <v>949</v>
      </c>
      <c r="AJ902">
        <v>73</v>
      </c>
      <c r="AK902">
        <v>24</v>
      </c>
      <c r="AL902">
        <v>0.92</v>
      </c>
    </row>
    <row r="903" spans="1:38" x14ac:dyDescent="0.3">
      <c r="A903" t="s">
        <v>685</v>
      </c>
      <c r="B903">
        <v>114658</v>
      </c>
      <c r="C903">
        <v>2</v>
      </c>
      <c r="D903" t="s">
        <v>1378</v>
      </c>
      <c r="E903" t="s">
        <v>935</v>
      </c>
      <c r="F903">
        <v>26</v>
      </c>
      <c r="G903">
        <v>21.09</v>
      </c>
      <c r="H903">
        <v>69.73</v>
      </c>
      <c r="I903">
        <v>16.79</v>
      </c>
      <c r="J903">
        <v>55.53</v>
      </c>
      <c r="K903">
        <v>7</v>
      </c>
      <c r="T903">
        <v>3</v>
      </c>
      <c r="U903">
        <v>2</v>
      </c>
      <c r="V903" t="s">
        <v>132</v>
      </c>
      <c r="W903" t="s">
        <v>453</v>
      </c>
      <c r="X903">
        <v>15</v>
      </c>
      <c r="Y903">
        <v>15</v>
      </c>
      <c r="Z903" t="s">
        <v>1379</v>
      </c>
      <c r="AA903" t="s">
        <v>1380</v>
      </c>
      <c r="AB903" t="s">
        <v>96</v>
      </c>
      <c r="AC903" t="s">
        <v>97</v>
      </c>
      <c r="AD903" t="s">
        <v>690</v>
      </c>
      <c r="AG903" t="s">
        <v>1381</v>
      </c>
      <c r="AH903">
        <v>0</v>
      </c>
      <c r="AI903">
        <v>949</v>
      </c>
      <c r="AJ903">
        <v>73</v>
      </c>
      <c r="AK903">
        <v>24</v>
      </c>
      <c r="AL903">
        <v>0.92</v>
      </c>
    </row>
    <row r="904" spans="1:38" x14ac:dyDescent="0.3">
      <c r="A904" t="s">
        <v>685</v>
      </c>
      <c r="B904">
        <v>114658</v>
      </c>
      <c r="C904">
        <v>3</v>
      </c>
      <c r="D904" t="s">
        <v>1378</v>
      </c>
      <c r="E904" t="s">
        <v>935</v>
      </c>
      <c r="F904">
        <v>26</v>
      </c>
      <c r="G904">
        <v>20.96</v>
      </c>
      <c r="H904">
        <v>69.31</v>
      </c>
      <c r="I904">
        <v>16.57</v>
      </c>
      <c r="J904">
        <v>54.8</v>
      </c>
      <c r="K904">
        <v>6</v>
      </c>
      <c r="T904">
        <v>3</v>
      </c>
      <c r="U904">
        <v>2</v>
      </c>
      <c r="V904" t="s">
        <v>132</v>
      </c>
      <c r="W904" t="s">
        <v>382</v>
      </c>
      <c r="X904">
        <v>15</v>
      </c>
      <c r="Y904">
        <v>15</v>
      </c>
      <c r="Z904" t="s">
        <v>1379</v>
      </c>
      <c r="AA904" t="s">
        <v>1380</v>
      </c>
      <c r="AB904" t="s">
        <v>96</v>
      </c>
      <c r="AC904" t="s">
        <v>97</v>
      </c>
      <c r="AD904" t="s">
        <v>690</v>
      </c>
      <c r="AG904" t="s">
        <v>1381</v>
      </c>
      <c r="AH904">
        <v>0</v>
      </c>
      <c r="AI904">
        <v>949</v>
      </c>
      <c r="AJ904">
        <v>73</v>
      </c>
      <c r="AK904">
        <v>24</v>
      </c>
      <c r="AL904">
        <v>0.92</v>
      </c>
    </row>
    <row r="905" spans="1:38" x14ac:dyDescent="0.3">
      <c r="A905" t="s">
        <v>685</v>
      </c>
      <c r="B905">
        <v>114658</v>
      </c>
      <c r="C905">
        <v>4</v>
      </c>
      <c r="D905" t="s">
        <v>1378</v>
      </c>
      <c r="E905" t="s">
        <v>935</v>
      </c>
      <c r="F905">
        <v>26</v>
      </c>
      <c r="G905">
        <v>21.17</v>
      </c>
      <c r="H905">
        <v>70.010000000000005</v>
      </c>
      <c r="I905">
        <v>16.86</v>
      </c>
      <c r="J905">
        <v>55.76</v>
      </c>
      <c r="K905">
        <v>6</v>
      </c>
      <c r="T905">
        <v>3</v>
      </c>
      <c r="U905">
        <v>2</v>
      </c>
      <c r="V905" t="s">
        <v>132</v>
      </c>
      <c r="W905" t="s">
        <v>501</v>
      </c>
      <c r="X905">
        <v>15</v>
      </c>
      <c r="Y905">
        <v>15</v>
      </c>
      <c r="Z905" t="s">
        <v>1379</v>
      </c>
      <c r="AA905" t="s">
        <v>1380</v>
      </c>
      <c r="AB905" t="s">
        <v>96</v>
      </c>
      <c r="AC905" t="s">
        <v>97</v>
      </c>
      <c r="AD905" t="s">
        <v>690</v>
      </c>
      <c r="AG905" t="s">
        <v>1381</v>
      </c>
      <c r="AH905">
        <v>0</v>
      </c>
      <c r="AI905">
        <v>949</v>
      </c>
      <c r="AJ905">
        <v>73</v>
      </c>
      <c r="AK905">
        <v>24</v>
      </c>
      <c r="AL905">
        <v>0.92</v>
      </c>
    </row>
    <row r="906" spans="1:38" x14ac:dyDescent="0.3">
      <c r="A906" t="s">
        <v>685</v>
      </c>
      <c r="B906">
        <v>121056</v>
      </c>
      <c r="C906">
        <v>1</v>
      </c>
      <c r="D906" t="s">
        <v>342</v>
      </c>
      <c r="E906" t="s">
        <v>307</v>
      </c>
      <c r="F906">
        <v>14</v>
      </c>
      <c r="G906">
        <v>16.68</v>
      </c>
      <c r="H906">
        <v>55.17</v>
      </c>
      <c r="I906">
        <v>14.55</v>
      </c>
      <c r="J906">
        <v>48.12</v>
      </c>
      <c r="K906">
        <v>7</v>
      </c>
      <c r="T906">
        <v>2</v>
      </c>
      <c r="U906">
        <v>1</v>
      </c>
      <c r="V906" t="s">
        <v>93</v>
      </c>
      <c r="W906">
        <v>55</v>
      </c>
      <c r="X906">
        <v>5</v>
      </c>
      <c r="Y906">
        <v>5</v>
      </c>
      <c r="Z906" t="s">
        <v>1382</v>
      </c>
      <c r="AA906" t="s">
        <v>1383</v>
      </c>
      <c r="AB906" t="s">
        <v>96</v>
      </c>
      <c r="AC906" t="s">
        <v>97</v>
      </c>
      <c r="AD906" t="s">
        <v>690</v>
      </c>
      <c r="AG906" t="s">
        <v>1384</v>
      </c>
      <c r="AH906">
        <v>0</v>
      </c>
      <c r="AI906">
        <v>0</v>
      </c>
      <c r="AJ906">
        <v>0</v>
      </c>
      <c r="AK906">
        <v>13</v>
      </c>
      <c r="AL906">
        <v>0.93</v>
      </c>
    </row>
    <row r="907" spans="1:38" x14ac:dyDescent="0.3">
      <c r="A907" t="s">
        <v>685</v>
      </c>
      <c r="B907">
        <v>121056</v>
      </c>
      <c r="C907">
        <v>2</v>
      </c>
      <c r="D907" t="s">
        <v>342</v>
      </c>
      <c r="E907" t="s">
        <v>307</v>
      </c>
      <c r="F907">
        <v>14</v>
      </c>
      <c r="G907">
        <v>19.91</v>
      </c>
      <c r="H907">
        <v>65.83</v>
      </c>
      <c r="I907">
        <v>17.98</v>
      </c>
      <c r="J907">
        <v>59.47</v>
      </c>
      <c r="K907">
        <v>4</v>
      </c>
      <c r="T907">
        <v>3</v>
      </c>
      <c r="U907">
        <v>2</v>
      </c>
      <c r="V907" t="s">
        <v>93</v>
      </c>
      <c r="W907" t="s">
        <v>196</v>
      </c>
      <c r="X907">
        <v>5</v>
      </c>
      <c r="Y907">
        <v>5</v>
      </c>
      <c r="Z907" t="s">
        <v>1382</v>
      </c>
      <c r="AA907" t="s">
        <v>1383</v>
      </c>
      <c r="AB907" t="s">
        <v>96</v>
      </c>
      <c r="AC907" t="s">
        <v>97</v>
      </c>
      <c r="AD907" t="s">
        <v>690</v>
      </c>
      <c r="AG907" t="s">
        <v>1384</v>
      </c>
      <c r="AH907">
        <v>0</v>
      </c>
      <c r="AI907">
        <v>0</v>
      </c>
      <c r="AJ907">
        <v>0</v>
      </c>
      <c r="AK907">
        <v>13</v>
      </c>
      <c r="AL907">
        <v>0.93</v>
      </c>
    </row>
    <row r="908" spans="1:38" x14ac:dyDescent="0.3">
      <c r="A908" t="s">
        <v>685</v>
      </c>
      <c r="B908">
        <v>121056</v>
      </c>
      <c r="C908">
        <v>3</v>
      </c>
      <c r="D908" t="s">
        <v>342</v>
      </c>
      <c r="E908" t="s">
        <v>307</v>
      </c>
      <c r="F908">
        <v>14</v>
      </c>
      <c r="G908">
        <v>19.71</v>
      </c>
      <c r="H908">
        <v>65.19</v>
      </c>
      <c r="I908">
        <v>17.809999999999999</v>
      </c>
      <c r="J908">
        <v>58.89</v>
      </c>
      <c r="K908">
        <v>3</v>
      </c>
      <c r="T908">
        <v>3</v>
      </c>
      <c r="U908">
        <v>2</v>
      </c>
      <c r="V908" t="s">
        <v>93</v>
      </c>
      <c r="W908" t="s">
        <v>197</v>
      </c>
      <c r="X908">
        <v>5</v>
      </c>
      <c r="Y908">
        <v>5</v>
      </c>
      <c r="Z908" t="s">
        <v>1382</v>
      </c>
      <c r="AA908" t="s">
        <v>1383</v>
      </c>
      <c r="AB908" t="s">
        <v>96</v>
      </c>
      <c r="AC908" t="s">
        <v>97</v>
      </c>
      <c r="AD908" t="s">
        <v>690</v>
      </c>
      <c r="AG908" t="s">
        <v>1384</v>
      </c>
      <c r="AH908">
        <v>0</v>
      </c>
      <c r="AI908">
        <v>0</v>
      </c>
      <c r="AJ908">
        <v>0</v>
      </c>
      <c r="AK908">
        <v>13</v>
      </c>
      <c r="AL908">
        <v>0.93</v>
      </c>
    </row>
    <row r="909" spans="1:38" x14ac:dyDescent="0.3">
      <c r="A909" t="s">
        <v>685</v>
      </c>
      <c r="B909">
        <v>125953</v>
      </c>
      <c r="C909">
        <v>1</v>
      </c>
      <c r="D909" t="s">
        <v>332</v>
      </c>
      <c r="E909" t="s">
        <v>1385</v>
      </c>
      <c r="F909">
        <v>9</v>
      </c>
      <c r="G909">
        <v>20.86</v>
      </c>
      <c r="H909">
        <v>68.989999999999995</v>
      </c>
      <c r="I909">
        <v>17.649999999999999</v>
      </c>
      <c r="J909">
        <v>58.35</v>
      </c>
      <c r="K909">
        <v>3</v>
      </c>
      <c r="T909">
        <v>3</v>
      </c>
      <c r="U909">
        <v>1</v>
      </c>
      <c r="V909" t="s">
        <v>93</v>
      </c>
      <c r="W909" t="s">
        <v>226</v>
      </c>
      <c r="X909">
        <v>7</v>
      </c>
      <c r="Y909">
        <v>7</v>
      </c>
      <c r="Z909" t="s">
        <v>1386</v>
      </c>
      <c r="AA909" t="s">
        <v>1387</v>
      </c>
      <c r="AB909" t="s">
        <v>96</v>
      </c>
      <c r="AC909" t="s">
        <v>97</v>
      </c>
      <c r="AD909" t="s">
        <v>690</v>
      </c>
      <c r="AG909" t="s">
        <v>1388</v>
      </c>
      <c r="AH909">
        <v>0</v>
      </c>
      <c r="AI909">
        <v>573</v>
      </c>
      <c r="AJ909">
        <v>67</v>
      </c>
      <c r="AK909">
        <v>6</v>
      </c>
      <c r="AL909">
        <v>0.67</v>
      </c>
    </row>
    <row r="910" spans="1:38" x14ac:dyDescent="0.3">
      <c r="A910" t="s">
        <v>685</v>
      </c>
      <c r="B910">
        <v>125953</v>
      </c>
      <c r="C910">
        <v>2</v>
      </c>
      <c r="D910" t="s">
        <v>332</v>
      </c>
      <c r="E910" t="s">
        <v>1385</v>
      </c>
      <c r="F910">
        <v>9</v>
      </c>
      <c r="G910">
        <v>20.99</v>
      </c>
      <c r="H910">
        <v>69.42</v>
      </c>
      <c r="I910">
        <v>17.75</v>
      </c>
      <c r="J910">
        <v>58.71</v>
      </c>
      <c r="K910">
        <v>1</v>
      </c>
      <c r="T910">
        <v>3</v>
      </c>
      <c r="U910">
        <v>1</v>
      </c>
      <c r="V910" t="s">
        <v>93</v>
      </c>
      <c r="W910" t="s">
        <v>381</v>
      </c>
      <c r="X910">
        <v>7</v>
      </c>
      <c r="Y910">
        <v>7</v>
      </c>
      <c r="Z910" t="s">
        <v>1386</v>
      </c>
      <c r="AA910" t="s">
        <v>1387</v>
      </c>
      <c r="AB910" t="s">
        <v>96</v>
      </c>
      <c r="AC910" t="s">
        <v>97</v>
      </c>
      <c r="AD910" t="s">
        <v>690</v>
      </c>
      <c r="AG910" t="s">
        <v>1388</v>
      </c>
      <c r="AH910">
        <v>0</v>
      </c>
      <c r="AI910">
        <v>573</v>
      </c>
      <c r="AJ910">
        <v>67</v>
      </c>
      <c r="AK910">
        <v>6</v>
      </c>
      <c r="AL910">
        <v>0.67</v>
      </c>
    </row>
    <row r="911" spans="1:38" x14ac:dyDescent="0.3">
      <c r="A911" t="s">
        <v>685</v>
      </c>
      <c r="B911">
        <v>125953</v>
      </c>
      <c r="C911">
        <v>3</v>
      </c>
      <c r="D911" t="s">
        <v>332</v>
      </c>
      <c r="E911" t="s">
        <v>1385</v>
      </c>
      <c r="F911">
        <v>9</v>
      </c>
      <c r="G911">
        <v>21.41</v>
      </c>
      <c r="H911">
        <v>70.8</v>
      </c>
      <c r="I911">
        <v>18.11</v>
      </c>
      <c r="J911">
        <v>59.88</v>
      </c>
      <c r="K911">
        <v>3</v>
      </c>
      <c r="T911">
        <v>3</v>
      </c>
      <c r="U911">
        <v>1</v>
      </c>
      <c r="V911" t="s">
        <v>93</v>
      </c>
      <c r="W911" t="s">
        <v>501</v>
      </c>
      <c r="X911">
        <v>7</v>
      </c>
      <c r="Y911">
        <v>7</v>
      </c>
      <c r="Z911" t="s">
        <v>1386</v>
      </c>
      <c r="AA911" t="s">
        <v>1387</v>
      </c>
      <c r="AB911" t="s">
        <v>96</v>
      </c>
      <c r="AC911" t="s">
        <v>97</v>
      </c>
      <c r="AD911" t="s">
        <v>690</v>
      </c>
      <c r="AG911" t="s">
        <v>1388</v>
      </c>
      <c r="AH911">
        <v>0</v>
      </c>
      <c r="AI911">
        <v>573</v>
      </c>
      <c r="AJ911">
        <v>67</v>
      </c>
      <c r="AK911">
        <v>6</v>
      </c>
      <c r="AL911">
        <v>0.67</v>
      </c>
    </row>
    <row r="912" spans="1:38" x14ac:dyDescent="0.3">
      <c r="A912" t="s">
        <v>685</v>
      </c>
      <c r="B912">
        <v>125953</v>
      </c>
      <c r="C912">
        <v>4</v>
      </c>
      <c r="D912" t="s">
        <v>332</v>
      </c>
      <c r="E912" t="s">
        <v>1385</v>
      </c>
      <c r="F912">
        <v>9</v>
      </c>
      <c r="G912">
        <v>21.26</v>
      </c>
      <c r="H912">
        <v>70.290000000000006</v>
      </c>
      <c r="I912">
        <v>17.98</v>
      </c>
      <c r="J912">
        <v>59.45</v>
      </c>
      <c r="K912">
        <v>2</v>
      </c>
      <c r="T912">
        <v>3</v>
      </c>
      <c r="U912">
        <v>1</v>
      </c>
      <c r="V912" t="s">
        <v>93</v>
      </c>
      <c r="W912" t="s">
        <v>1194</v>
      </c>
      <c r="X912">
        <v>7</v>
      </c>
      <c r="Y912">
        <v>7</v>
      </c>
      <c r="Z912" t="s">
        <v>1386</v>
      </c>
      <c r="AA912" t="s">
        <v>1387</v>
      </c>
      <c r="AB912" t="s">
        <v>96</v>
      </c>
      <c r="AC912" t="s">
        <v>97</v>
      </c>
      <c r="AD912" t="s">
        <v>690</v>
      </c>
      <c r="AG912" t="s">
        <v>1388</v>
      </c>
      <c r="AH912">
        <v>0</v>
      </c>
      <c r="AI912">
        <v>573</v>
      </c>
      <c r="AJ912">
        <v>67</v>
      </c>
      <c r="AK912">
        <v>6</v>
      </c>
      <c r="AL912">
        <v>0.67</v>
      </c>
    </row>
    <row r="913" spans="1:38" x14ac:dyDescent="0.3">
      <c r="A913" t="s">
        <v>685</v>
      </c>
      <c r="B913">
        <v>135008</v>
      </c>
      <c r="C913">
        <v>1</v>
      </c>
      <c r="D913" t="s">
        <v>1389</v>
      </c>
      <c r="E913" t="s">
        <v>1057</v>
      </c>
      <c r="F913">
        <v>12</v>
      </c>
      <c r="G913">
        <v>22.46</v>
      </c>
      <c r="H913">
        <v>74.28</v>
      </c>
      <c r="I913">
        <v>17.739999999999998</v>
      </c>
      <c r="J913">
        <v>58.65</v>
      </c>
      <c r="K913">
        <v>4</v>
      </c>
      <c r="T913">
        <v>3</v>
      </c>
      <c r="U913">
        <v>1</v>
      </c>
      <c r="V913" t="s">
        <v>93</v>
      </c>
      <c r="W913">
        <v>74</v>
      </c>
      <c r="X913">
        <v>13</v>
      </c>
      <c r="Y913">
        <v>13</v>
      </c>
      <c r="Z913" t="s">
        <v>1390</v>
      </c>
      <c r="AA913" t="s">
        <v>1391</v>
      </c>
      <c r="AB913" t="s">
        <v>96</v>
      </c>
      <c r="AC913" t="s">
        <v>97</v>
      </c>
      <c r="AD913" t="s">
        <v>690</v>
      </c>
      <c r="AG913" t="s">
        <v>1392</v>
      </c>
      <c r="AH913">
        <v>0</v>
      </c>
      <c r="AI913">
        <v>724</v>
      </c>
      <c r="AJ913">
        <v>74</v>
      </c>
      <c r="AK913">
        <v>10</v>
      </c>
      <c r="AL913">
        <v>0.83</v>
      </c>
    </row>
    <row r="914" spans="1:38" x14ac:dyDescent="0.3">
      <c r="A914" t="s">
        <v>685</v>
      </c>
      <c r="B914">
        <v>135008</v>
      </c>
      <c r="C914">
        <v>2</v>
      </c>
      <c r="D914" t="s">
        <v>1389</v>
      </c>
      <c r="E914" t="s">
        <v>1057</v>
      </c>
      <c r="F914">
        <v>12</v>
      </c>
      <c r="G914">
        <v>22.66</v>
      </c>
      <c r="H914">
        <v>74.930000000000007</v>
      </c>
      <c r="I914">
        <v>18.09</v>
      </c>
      <c r="J914">
        <v>59.81</v>
      </c>
      <c r="K914">
        <v>4</v>
      </c>
      <c r="T914">
        <v>3</v>
      </c>
      <c r="U914">
        <v>1</v>
      </c>
      <c r="V914" t="s">
        <v>93</v>
      </c>
      <c r="W914" t="s">
        <v>876</v>
      </c>
      <c r="X914">
        <v>13</v>
      </c>
      <c r="Y914">
        <v>13</v>
      </c>
      <c r="Z914" t="s">
        <v>1390</v>
      </c>
      <c r="AA914" t="s">
        <v>1391</v>
      </c>
      <c r="AB914" t="s">
        <v>96</v>
      </c>
      <c r="AC914" t="s">
        <v>97</v>
      </c>
      <c r="AD914" t="s">
        <v>690</v>
      </c>
      <c r="AG914" t="s">
        <v>1392</v>
      </c>
      <c r="AH914">
        <v>0</v>
      </c>
      <c r="AI914">
        <v>724</v>
      </c>
      <c r="AJ914">
        <v>74</v>
      </c>
      <c r="AK914">
        <v>10</v>
      </c>
      <c r="AL914">
        <v>0.83</v>
      </c>
    </row>
    <row r="915" spans="1:38" x14ac:dyDescent="0.3">
      <c r="A915" t="s">
        <v>685</v>
      </c>
      <c r="B915">
        <v>135008</v>
      </c>
      <c r="C915">
        <v>3</v>
      </c>
      <c r="D915" t="s">
        <v>1389</v>
      </c>
      <c r="E915" t="s">
        <v>1057</v>
      </c>
      <c r="F915">
        <v>12</v>
      </c>
      <c r="G915">
        <v>22.78</v>
      </c>
      <c r="H915">
        <v>75.31</v>
      </c>
      <c r="I915">
        <v>18.05</v>
      </c>
      <c r="J915">
        <v>59.68</v>
      </c>
      <c r="K915">
        <v>4</v>
      </c>
      <c r="T915">
        <v>3</v>
      </c>
      <c r="U915">
        <v>1</v>
      </c>
      <c r="V915" t="s">
        <v>93</v>
      </c>
      <c r="W915" t="s">
        <v>882</v>
      </c>
      <c r="X915">
        <v>13</v>
      </c>
      <c r="Y915">
        <v>13</v>
      </c>
      <c r="Z915" t="s">
        <v>1390</v>
      </c>
      <c r="AA915" t="s">
        <v>1391</v>
      </c>
      <c r="AB915" t="s">
        <v>96</v>
      </c>
      <c r="AC915" t="s">
        <v>97</v>
      </c>
      <c r="AD915" t="s">
        <v>690</v>
      </c>
      <c r="AG915" t="s">
        <v>1392</v>
      </c>
      <c r="AH915">
        <v>0</v>
      </c>
      <c r="AI915">
        <v>724</v>
      </c>
      <c r="AJ915">
        <v>74</v>
      </c>
      <c r="AK915">
        <v>10</v>
      </c>
      <c r="AL915">
        <v>0.83</v>
      </c>
    </row>
    <row r="916" spans="1:38" x14ac:dyDescent="0.3">
      <c r="A916" t="s">
        <v>685</v>
      </c>
      <c r="B916">
        <v>115554</v>
      </c>
      <c r="C916">
        <v>1</v>
      </c>
      <c r="D916" t="s">
        <v>1393</v>
      </c>
      <c r="E916" t="s">
        <v>391</v>
      </c>
      <c r="F916">
        <v>90</v>
      </c>
      <c r="G916">
        <v>21.12</v>
      </c>
      <c r="H916">
        <v>69.83</v>
      </c>
      <c r="I916">
        <v>15.03</v>
      </c>
      <c r="J916">
        <v>49.7</v>
      </c>
      <c r="K916">
        <v>36</v>
      </c>
      <c r="T916">
        <v>3</v>
      </c>
      <c r="U916">
        <v>2</v>
      </c>
      <c r="V916" t="s">
        <v>93</v>
      </c>
      <c r="W916" t="s">
        <v>382</v>
      </c>
      <c r="X916">
        <v>15</v>
      </c>
      <c r="Y916">
        <v>15</v>
      </c>
      <c r="Z916" t="s">
        <v>1394</v>
      </c>
      <c r="AA916" t="s">
        <v>1395</v>
      </c>
      <c r="AB916" t="s">
        <v>96</v>
      </c>
      <c r="AC916" t="s">
        <v>97</v>
      </c>
      <c r="AD916" t="s">
        <v>690</v>
      </c>
      <c r="AG916" t="s">
        <v>1396</v>
      </c>
      <c r="AH916">
        <v>0</v>
      </c>
      <c r="AI916">
        <v>741</v>
      </c>
      <c r="AJ916">
        <v>70</v>
      </c>
      <c r="AK916">
        <v>74</v>
      </c>
      <c r="AL916">
        <v>0.82</v>
      </c>
    </row>
    <row r="917" spans="1:38" x14ac:dyDescent="0.3">
      <c r="A917" t="s">
        <v>685</v>
      </c>
      <c r="B917">
        <v>115554</v>
      </c>
      <c r="C917">
        <v>2</v>
      </c>
      <c r="D917" t="s">
        <v>1393</v>
      </c>
      <c r="E917" t="s">
        <v>391</v>
      </c>
      <c r="F917">
        <v>90</v>
      </c>
      <c r="G917">
        <v>21.15</v>
      </c>
      <c r="H917">
        <v>69.92</v>
      </c>
      <c r="I917">
        <v>15.06</v>
      </c>
      <c r="J917">
        <v>49.8</v>
      </c>
      <c r="K917">
        <v>36</v>
      </c>
      <c r="T917">
        <v>3</v>
      </c>
      <c r="U917">
        <v>2</v>
      </c>
      <c r="V917" t="s">
        <v>93</v>
      </c>
      <c r="W917" t="s">
        <v>381</v>
      </c>
      <c r="X917">
        <v>15</v>
      </c>
      <c r="Y917">
        <v>15</v>
      </c>
      <c r="Z917" t="s">
        <v>1394</v>
      </c>
      <c r="AA917" t="s">
        <v>1395</v>
      </c>
      <c r="AB917" t="s">
        <v>96</v>
      </c>
      <c r="AC917" t="s">
        <v>97</v>
      </c>
      <c r="AD917" t="s">
        <v>690</v>
      </c>
      <c r="AG917" t="s">
        <v>1396</v>
      </c>
      <c r="AH917">
        <v>0</v>
      </c>
      <c r="AI917">
        <v>741</v>
      </c>
      <c r="AJ917">
        <v>70</v>
      </c>
      <c r="AK917">
        <v>74</v>
      </c>
      <c r="AL917">
        <v>0.82</v>
      </c>
    </row>
    <row r="918" spans="1:38" x14ac:dyDescent="0.3">
      <c r="A918" t="s">
        <v>685</v>
      </c>
      <c r="B918">
        <v>115554</v>
      </c>
      <c r="C918">
        <v>3</v>
      </c>
      <c r="D918" t="s">
        <v>1393</v>
      </c>
      <c r="E918" t="s">
        <v>391</v>
      </c>
      <c r="F918">
        <v>90</v>
      </c>
      <c r="G918">
        <v>21.76</v>
      </c>
      <c r="H918">
        <v>71.94</v>
      </c>
      <c r="I918">
        <v>15.1</v>
      </c>
      <c r="J918">
        <v>49.92</v>
      </c>
      <c r="K918">
        <v>18</v>
      </c>
      <c r="T918">
        <v>3</v>
      </c>
      <c r="U918">
        <v>2</v>
      </c>
      <c r="V918" t="s">
        <v>93</v>
      </c>
      <c r="W918">
        <v>71</v>
      </c>
      <c r="X918">
        <v>15</v>
      </c>
      <c r="Y918">
        <v>15</v>
      </c>
      <c r="Z918" t="s">
        <v>1394</v>
      </c>
      <c r="AA918" t="s">
        <v>1395</v>
      </c>
      <c r="AB918" t="s">
        <v>96</v>
      </c>
      <c r="AC918" t="s">
        <v>97</v>
      </c>
      <c r="AD918" t="s">
        <v>690</v>
      </c>
      <c r="AG918" t="s">
        <v>1396</v>
      </c>
      <c r="AH918">
        <v>0</v>
      </c>
      <c r="AI918">
        <v>741</v>
      </c>
      <c r="AJ918">
        <v>70</v>
      </c>
      <c r="AK918">
        <v>74</v>
      </c>
      <c r="AL918">
        <v>0.82</v>
      </c>
    </row>
    <row r="919" spans="1:38" x14ac:dyDescent="0.3">
      <c r="A919" t="s">
        <v>685</v>
      </c>
      <c r="B919">
        <v>132863</v>
      </c>
      <c r="C919">
        <v>1</v>
      </c>
      <c r="D919" t="s">
        <v>1397</v>
      </c>
      <c r="E919" t="s">
        <v>151</v>
      </c>
      <c r="F919">
        <v>8</v>
      </c>
      <c r="G919">
        <v>20.14</v>
      </c>
      <c r="H919">
        <v>66.58</v>
      </c>
      <c r="I919">
        <v>16.850000000000001</v>
      </c>
      <c r="J919">
        <v>55.71</v>
      </c>
      <c r="K919">
        <v>3</v>
      </c>
      <c r="T919">
        <v>3</v>
      </c>
      <c r="U919">
        <v>1</v>
      </c>
      <c r="V919" t="s">
        <v>211</v>
      </c>
      <c r="W919">
        <v>66</v>
      </c>
      <c r="X919">
        <v>14</v>
      </c>
      <c r="Y919">
        <v>13</v>
      </c>
      <c r="Z919" t="s">
        <v>1398</v>
      </c>
      <c r="AA919" t="s">
        <v>1399</v>
      </c>
      <c r="AB919" t="s">
        <v>96</v>
      </c>
      <c r="AC919" t="s">
        <v>97</v>
      </c>
      <c r="AD919" t="s">
        <v>690</v>
      </c>
      <c r="AG919" t="s">
        <v>1400</v>
      </c>
      <c r="AH919">
        <v>0</v>
      </c>
      <c r="AI919">
        <v>771</v>
      </c>
      <c r="AJ919">
        <v>74</v>
      </c>
      <c r="AK919">
        <v>8</v>
      </c>
      <c r="AL919">
        <v>1</v>
      </c>
    </row>
    <row r="920" spans="1:38" x14ac:dyDescent="0.3">
      <c r="A920" t="s">
        <v>685</v>
      </c>
      <c r="B920">
        <v>132863</v>
      </c>
      <c r="C920">
        <v>2</v>
      </c>
      <c r="D920" t="s">
        <v>1397</v>
      </c>
      <c r="E920" t="s">
        <v>151</v>
      </c>
      <c r="F920">
        <v>8</v>
      </c>
      <c r="G920">
        <v>23.03</v>
      </c>
      <c r="H920">
        <v>76.14</v>
      </c>
      <c r="I920">
        <v>18.96</v>
      </c>
      <c r="J920">
        <v>62.7</v>
      </c>
      <c r="K920">
        <v>3</v>
      </c>
      <c r="T920">
        <v>3</v>
      </c>
      <c r="U920">
        <v>1</v>
      </c>
      <c r="V920" t="s">
        <v>93</v>
      </c>
      <c r="W920">
        <v>76</v>
      </c>
      <c r="X920">
        <v>14</v>
      </c>
      <c r="Y920">
        <v>13</v>
      </c>
      <c r="Z920" t="s">
        <v>1398</v>
      </c>
      <c r="AA920" t="s">
        <v>1399</v>
      </c>
      <c r="AB920" t="s">
        <v>96</v>
      </c>
      <c r="AC920" t="s">
        <v>97</v>
      </c>
      <c r="AD920" t="s">
        <v>690</v>
      </c>
      <c r="AG920" t="s">
        <v>1400</v>
      </c>
      <c r="AH920">
        <v>0</v>
      </c>
      <c r="AI920">
        <v>771</v>
      </c>
      <c r="AJ920">
        <v>74</v>
      </c>
      <c r="AK920">
        <v>8</v>
      </c>
      <c r="AL920">
        <v>1</v>
      </c>
    </row>
    <row r="921" spans="1:38" x14ac:dyDescent="0.3">
      <c r="A921" t="s">
        <v>685</v>
      </c>
      <c r="B921">
        <v>132863</v>
      </c>
      <c r="C921">
        <v>3</v>
      </c>
      <c r="D921" t="s">
        <v>1397</v>
      </c>
      <c r="E921" t="s">
        <v>151</v>
      </c>
      <c r="F921">
        <v>8</v>
      </c>
      <c r="G921">
        <v>27.15</v>
      </c>
      <c r="H921">
        <v>89.76</v>
      </c>
      <c r="I921">
        <v>22.25</v>
      </c>
      <c r="J921">
        <v>73.56</v>
      </c>
      <c r="K921">
        <v>2</v>
      </c>
      <c r="T921">
        <v>3</v>
      </c>
      <c r="U921">
        <v>2</v>
      </c>
      <c r="V921" t="s">
        <v>211</v>
      </c>
      <c r="W921">
        <v>89</v>
      </c>
      <c r="X921">
        <v>14</v>
      </c>
      <c r="Y921">
        <v>13</v>
      </c>
      <c r="Z921" t="s">
        <v>1398</v>
      </c>
      <c r="AA921" t="s">
        <v>1399</v>
      </c>
      <c r="AB921" t="s">
        <v>96</v>
      </c>
      <c r="AC921" t="s">
        <v>97</v>
      </c>
      <c r="AD921" t="s">
        <v>690</v>
      </c>
      <c r="AG921" t="s">
        <v>1400</v>
      </c>
      <c r="AH921">
        <v>0</v>
      </c>
      <c r="AI921">
        <v>771</v>
      </c>
      <c r="AJ921">
        <v>74</v>
      </c>
      <c r="AK921">
        <v>8</v>
      </c>
      <c r="AL921">
        <v>1</v>
      </c>
    </row>
    <row r="922" spans="1:38" x14ac:dyDescent="0.3">
      <c r="A922" t="s">
        <v>685</v>
      </c>
      <c r="B922">
        <v>127603</v>
      </c>
      <c r="C922">
        <v>1</v>
      </c>
      <c r="D922" t="s">
        <v>1401</v>
      </c>
      <c r="E922" t="s">
        <v>568</v>
      </c>
      <c r="F922">
        <v>14</v>
      </c>
      <c r="G922">
        <v>29.56</v>
      </c>
      <c r="H922">
        <v>97.74</v>
      </c>
      <c r="I922">
        <v>25.53</v>
      </c>
      <c r="J922">
        <v>84.42</v>
      </c>
      <c r="K922">
        <v>7</v>
      </c>
      <c r="T922">
        <v>3</v>
      </c>
      <c r="U922">
        <v>2</v>
      </c>
      <c r="V922" t="s">
        <v>93</v>
      </c>
      <c r="W922" t="s">
        <v>1297</v>
      </c>
      <c r="X922">
        <v>9</v>
      </c>
      <c r="Y922">
        <v>9</v>
      </c>
      <c r="Z922" t="s">
        <v>1402</v>
      </c>
      <c r="AA922" t="s">
        <v>1403</v>
      </c>
      <c r="AB922" t="s">
        <v>96</v>
      </c>
      <c r="AC922" t="s">
        <v>97</v>
      </c>
      <c r="AD922" t="s">
        <v>690</v>
      </c>
      <c r="AG922" t="s">
        <v>1404</v>
      </c>
      <c r="AH922">
        <v>0</v>
      </c>
      <c r="AI922">
        <v>402</v>
      </c>
      <c r="AJ922">
        <v>76</v>
      </c>
      <c r="AK922">
        <v>15</v>
      </c>
      <c r="AL922">
        <v>1.07</v>
      </c>
    </row>
    <row r="923" spans="1:38" x14ac:dyDescent="0.3">
      <c r="A923" t="s">
        <v>685</v>
      </c>
      <c r="B923">
        <v>127603</v>
      </c>
      <c r="C923">
        <v>2</v>
      </c>
      <c r="D923" t="s">
        <v>1401</v>
      </c>
      <c r="E923" t="s">
        <v>568</v>
      </c>
      <c r="F923">
        <v>14</v>
      </c>
      <c r="G923">
        <v>29.67</v>
      </c>
      <c r="H923">
        <v>98.09</v>
      </c>
      <c r="I923">
        <v>25.62</v>
      </c>
      <c r="J923">
        <v>84.72</v>
      </c>
      <c r="K923">
        <v>7</v>
      </c>
      <c r="T923">
        <v>3</v>
      </c>
      <c r="U923">
        <v>2</v>
      </c>
      <c r="V923" t="s">
        <v>93</v>
      </c>
      <c r="W923" t="s">
        <v>356</v>
      </c>
      <c r="X923">
        <v>9</v>
      </c>
      <c r="Y923">
        <v>9</v>
      </c>
      <c r="Z923" t="s">
        <v>1402</v>
      </c>
      <c r="AA923" t="s">
        <v>1403</v>
      </c>
      <c r="AB923" t="s">
        <v>96</v>
      </c>
      <c r="AC923" t="s">
        <v>97</v>
      </c>
      <c r="AD923" t="s">
        <v>690</v>
      </c>
      <c r="AG923" t="s">
        <v>1404</v>
      </c>
      <c r="AH923">
        <v>0</v>
      </c>
      <c r="AI923">
        <v>402</v>
      </c>
      <c r="AJ923">
        <v>76</v>
      </c>
      <c r="AK923">
        <v>15</v>
      </c>
      <c r="AL923">
        <v>1.07</v>
      </c>
    </row>
    <row r="924" spans="1:38" x14ac:dyDescent="0.3">
      <c r="A924" t="s">
        <v>685</v>
      </c>
      <c r="B924">
        <v>122689</v>
      </c>
      <c r="C924">
        <v>1</v>
      </c>
      <c r="D924" t="s">
        <v>1405</v>
      </c>
      <c r="E924" t="s">
        <v>619</v>
      </c>
      <c r="F924">
        <v>33</v>
      </c>
      <c r="G924">
        <v>19.850000000000001</v>
      </c>
      <c r="H924">
        <v>65.64</v>
      </c>
      <c r="I924">
        <v>15.01</v>
      </c>
      <c r="J924">
        <v>49.64</v>
      </c>
      <c r="K924">
        <v>8</v>
      </c>
      <c r="T924">
        <v>3</v>
      </c>
      <c r="U924">
        <v>1</v>
      </c>
      <c r="V924" t="s">
        <v>93</v>
      </c>
      <c r="W924" t="s">
        <v>197</v>
      </c>
      <c r="X924">
        <v>9</v>
      </c>
      <c r="Y924">
        <v>9</v>
      </c>
      <c r="Z924" t="s">
        <v>1406</v>
      </c>
      <c r="AA924" t="s">
        <v>1407</v>
      </c>
      <c r="AB924" t="s">
        <v>96</v>
      </c>
      <c r="AC924" t="s">
        <v>97</v>
      </c>
      <c r="AD924" t="s">
        <v>690</v>
      </c>
      <c r="AG924" t="s">
        <v>1408</v>
      </c>
      <c r="AH924">
        <v>0</v>
      </c>
      <c r="AI924">
        <v>696</v>
      </c>
      <c r="AJ924">
        <v>69</v>
      </c>
      <c r="AK924">
        <v>24</v>
      </c>
      <c r="AL924">
        <v>0.73</v>
      </c>
    </row>
    <row r="925" spans="1:38" x14ac:dyDescent="0.3">
      <c r="A925" t="s">
        <v>685</v>
      </c>
      <c r="B925">
        <v>122689</v>
      </c>
      <c r="C925">
        <v>2</v>
      </c>
      <c r="D925" t="s">
        <v>1405</v>
      </c>
      <c r="E925" t="s">
        <v>619</v>
      </c>
      <c r="F925">
        <v>33</v>
      </c>
      <c r="G925">
        <v>19.86</v>
      </c>
      <c r="H925">
        <v>65.67</v>
      </c>
      <c r="I925">
        <v>15.05</v>
      </c>
      <c r="J925">
        <v>49.76</v>
      </c>
      <c r="K925">
        <v>8</v>
      </c>
      <c r="T925">
        <v>3</v>
      </c>
      <c r="U925">
        <v>1</v>
      </c>
      <c r="V925" t="s">
        <v>93</v>
      </c>
      <c r="W925" t="s">
        <v>196</v>
      </c>
      <c r="X925">
        <v>9</v>
      </c>
      <c r="Y925">
        <v>9</v>
      </c>
      <c r="Z925" t="s">
        <v>1406</v>
      </c>
      <c r="AA925" t="s">
        <v>1407</v>
      </c>
      <c r="AB925" t="s">
        <v>96</v>
      </c>
      <c r="AC925" t="s">
        <v>97</v>
      </c>
      <c r="AD925" t="s">
        <v>690</v>
      </c>
      <c r="AG925" t="s">
        <v>1408</v>
      </c>
      <c r="AH925">
        <v>0</v>
      </c>
      <c r="AI925">
        <v>696</v>
      </c>
      <c r="AJ925">
        <v>69</v>
      </c>
      <c r="AK925">
        <v>24</v>
      </c>
      <c r="AL925">
        <v>0.73</v>
      </c>
    </row>
    <row r="926" spans="1:38" x14ac:dyDescent="0.3">
      <c r="A926" t="s">
        <v>685</v>
      </c>
      <c r="B926">
        <v>122689</v>
      </c>
      <c r="C926">
        <v>3</v>
      </c>
      <c r="D926" t="s">
        <v>1405</v>
      </c>
      <c r="E926" t="s">
        <v>619</v>
      </c>
      <c r="F926">
        <v>33</v>
      </c>
      <c r="G926">
        <v>20.04</v>
      </c>
      <c r="H926">
        <v>66.28</v>
      </c>
      <c r="I926">
        <v>15.06</v>
      </c>
      <c r="J926">
        <v>49.81</v>
      </c>
      <c r="K926">
        <v>9</v>
      </c>
      <c r="T926">
        <v>3</v>
      </c>
      <c r="U926">
        <v>1</v>
      </c>
      <c r="V926" t="s">
        <v>93</v>
      </c>
      <c r="W926" t="s">
        <v>813</v>
      </c>
      <c r="X926">
        <v>9</v>
      </c>
      <c r="Y926">
        <v>9</v>
      </c>
      <c r="Z926" t="s">
        <v>1406</v>
      </c>
      <c r="AA926" t="s">
        <v>1407</v>
      </c>
      <c r="AB926" t="s">
        <v>96</v>
      </c>
      <c r="AC926" t="s">
        <v>97</v>
      </c>
      <c r="AD926" t="s">
        <v>690</v>
      </c>
      <c r="AG926" t="s">
        <v>1408</v>
      </c>
      <c r="AH926">
        <v>0</v>
      </c>
      <c r="AI926">
        <v>696</v>
      </c>
      <c r="AJ926">
        <v>69</v>
      </c>
      <c r="AK926">
        <v>24</v>
      </c>
      <c r="AL926">
        <v>0.73</v>
      </c>
    </row>
    <row r="927" spans="1:38" x14ac:dyDescent="0.3">
      <c r="A927" t="s">
        <v>685</v>
      </c>
      <c r="B927">
        <v>122689</v>
      </c>
      <c r="C927">
        <v>4</v>
      </c>
      <c r="D927" t="s">
        <v>1405</v>
      </c>
      <c r="E927" t="s">
        <v>619</v>
      </c>
      <c r="F927">
        <v>33</v>
      </c>
      <c r="G927">
        <v>20.54</v>
      </c>
      <c r="H927">
        <v>67.930000000000007</v>
      </c>
      <c r="I927">
        <v>15.11</v>
      </c>
      <c r="J927">
        <v>49.98</v>
      </c>
      <c r="K927">
        <v>8</v>
      </c>
      <c r="T927">
        <v>3</v>
      </c>
      <c r="U927">
        <v>1</v>
      </c>
      <c r="V927" t="s">
        <v>93</v>
      </c>
      <c r="W927">
        <v>67</v>
      </c>
      <c r="X927">
        <v>9</v>
      </c>
      <c r="Y927">
        <v>9</v>
      </c>
      <c r="Z927" t="s">
        <v>1406</v>
      </c>
      <c r="AA927" t="s">
        <v>1407</v>
      </c>
      <c r="AB927" t="s">
        <v>96</v>
      </c>
      <c r="AC927" t="s">
        <v>97</v>
      </c>
      <c r="AD927" t="s">
        <v>690</v>
      </c>
      <c r="AG927" t="s">
        <v>1408</v>
      </c>
      <c r="AH927">
        <v>0</v>
      </c>
      <c r="AI927">
        <v>696</v>
      </c>
      <c r="AJ927">
        <v>69</v>
      </c>
      <c r="AK927">
        <v>24</v>
      </c>
      <c r="AL927">
        <v>0.73</v>
      </c>
    </row>
    <row r="928" spans="1:38" x14ac:dyDescent="0.3">
      <c r="A928" t="s">
        <v>685</v>
      </c>
      <c r="B928">
        <v>122500</v>
      </c>
      <c r="C928">
        <v>1</v>
      </c>
      <c r="D928" t="s">
        <v>1409</v>
      </c>
      <c r="E928" t="s">
        <v>442</v>
      </c>
      <c r="F928">
        <v>18</v>
      </c>
      <c r="G928">
        <v>15.19</v>
      </c>
      <c r="H928">
        <v>50.24</v>
      </c>
      <c r="I928">
        <v>11.88</v>
      </c>
      <c r="J928">
        <v>39.28</v>
      </c>
      <c r="K928">
        <v>2</v>
      </c>
      <c r="T928">
        <v>1</v>
      </c>
      <c r="U928">
        <v>1</v>
      </c>
      <c r="V928" t="s">
        <v>93</v>
      </c>
      <c r="W928">
        <v>50</v>
      </c>
      <c r="X928">
        <v>14</v>
      </c>
      <c r="Y928">
        <v>14</v>
      </c>
      <c r="Z928" t="s">
        <v>1410</v>
      </c>
      <c r="AA928" t="s">
        <v>1411</v>
      </c>
      <c r="AB928" t="s">
        <v>96</v>
      </c>
      <c r="AC928" t="s">
        <v>97</v>
      </c>
      <c r="AD928" t="s">
        <v>690</v>
      </c>
      <c r="AG928" t="s">
        <v>1412</v>
      </c>
      <c r="AH928">
        <v>0</v>
      </c>
      <c r="AI928">
        <v>697</v>
      </c>
      <c r="AJ928">
        <v>65</v>
      </c>
      <c r="AK928">
        <v>16</v>
      </c>
      <c r="AL928">
        <v>0.89</v>
      </c>
    </row>
    <row r="929" spans="1:38" x14ac:dyDescent="0.3">
      <c r="A929" t="s">
        <v>685</v>
      </c>
      <c r="B929">
        <v>122500</v>
      </c>
      <c r="C929">
        <v>2</v>
      </c>
      <c r="D929" t="s">
        <v>1409</v>
      </c>
      <c r="E929" t="s">
        <v>442</v>
      </c>
      <c r="F929">
        <v>18</v>
      </c>
      <c r="G929">
        <v>19.82</v>
      </c>
      <c r="H929">
        <v>65.53</v>
      </c>
      <c r="I929">
        <v>15.49</v>
      </c>
      <c r="J929">
        <v>51.22</v>
      </c>
      <c r="K929">
        <v>4</v>
      </c>
      <c r="T929">
        <v>3</v>
      </c>
      <c r="U929">
        <v>1</v>
      </c>
      <c r="V929" t="s">
        <v>93</v>
      </c>
      <c r="W929">
        <v>65</v>
      </c>
      <c r="X929">
        <v>14</v>
      </c>
      <c r="Y929">
        <v>14</v>
      </c>
      <c r="Z929" t="s">
        <v>1410</v>
      </c>
      <c r="AA929" t="s">
        <v>1411</v>
      </c>
      <c r="AB929" t="s">
        <v>96</v>
      </c>
      <c r="AC929" t="s">
        <v>97</v>
      </c>
      <c r="AD929" t="s">
        <v>690</v>
      </c>
      <c r="AG929" t="s">
        <v>1412</v>
      </c>
      <c r="AH929">
        <v>0</v>
      </c>
      <c r="AI929">
        <v>697</v>
      </c>
      <c r="AJ929">
        <v>65</v>
      </c>
      <c r="AK929">
        <v>16</v>
      </c>
      <c r="AL929">
        <v>0.89</v>
      </c>
    </row>
    <row r="930" spans="1:38" x14ac:dyDescent="0.3">
      <c r="A930" t="s">
        <v>685</v>
      </c>
      <c r="B930">
        <v>122500</v>
      </c>
      <c r="C930">
        <v>3</v>
      </c>
      <c r="D930" t="s">
        <v>1409</v>
      </c>
      <c r="E930" t="s">
        <v>442</v>
      </c>
      <c r="F930">
        <v>18</v>
      </c>
      <c r="G930">
        <v>21.76</v>
      </c>
      <c r="H930">
        <v>71.959999999999994</v>
      </c>
      <c r="I930">
        <v>16.8</v>
      </c>
      <c r="J930">
        <v>55.56</v>
      </c>
      <c r="K930">
        <v>4</v>
      </c>
      <c r="T930">
        <v>3</v>
      </c>
      <c r="U930">
        <v>1</v>
      </c>
      <c r="V930" t="s">
        <v>93</v>
      </c>
      <c r="W930">
        <v>71</v>
      </c>
      <c r="X930">
        <v>14</v>
      </c>
      <c r="Y930">
        <v>14</v>
      </c>
      <c r="Z930" t="s">
        <v>1410</v>
      </c>
      <c r="AA930" t="s">
        <v>1411</v>
      </c>
      <c r="AB930" t="s">
        <v>96</v>
      </c>
      <c r="AC930" t="s">
        <v>97</v>
      </c>
      <c r="AD930" t="s">
        <v>690</v>
      </c>
      <c r="AG930" t="s">
        <v>1412</v>
      </c>
      <c r="AH930">
        <v>0</v>
      </c>
      <c r="AI930">
        <v>697</v>
      </c>
      <c r="AJ930">
        <v>65</v>
      </c>
      <c r="AK930">
        <v>16</v>
      </c>
      <c r="AL930">
        <v>0.89</v>
      </c>
    </row>
    <row r="931" spans="1:38" x14ac:dyDescent="0.3">
      <c r="A931" t="s">
        <v>685</v>
      </c>
      <c r="B931">
        <v>122500</v>
      </c>
      <c r="C931">
        <v>4</v>
      </c>
      <c r="D931" t="s">
        <v>1409</v>
      </c>
      <c r="E931" t="s">
        <v>442</v>
      </c>
      <c r="F931">
        <v>18</v>
      </c>
      <c r="G931">
        <v>23.15</v>
      </c>
      <c r="H931">
        <v>76.56</v>
      </c>
      <c r="I931">
        <v>17.96</v>
      </c>
      <c r="J931">
        <v>59.4</v>
      </c>
      <c r="K931">
        <v>4</v>
      </c>
      <c r="T931">
        <v>3</v>
      </c>
      <c r="U931">
        <v>1</v>
      </c>
      <c r="V931" t="s">
        <v>93</v>
      </c>
      <c r="W931" t="s">
        <v>1413</v>
      </c>
      <c r="X931">
        <v>14</v>
      </c>
      <c r="Y931">
        <v>14</v>
      </c>
      <c r="Z931" t="s">
        <v>1410</v>
      </c>
      <c r="AA931" t="s">
        <v>1411</v>
      </c>
      <c r="AB931" t="s">
        <v>96</v>
      </c>
      <c r="AC931" t="s">
        <v>97</v>
      </c>
      <c r="AD931" t="s">
        <v>690</v>
      </c>
      <c r="AG931" t="s">
        <v>1412</v>
      </c>
      <c r="AH931">
        <v>0</v>
      </c>
      <c r="AI931">
        <v>697</v>
      </c>
      <c r="AJ931">
        <v>65</v>
      </c>
      <c r="AK931">
        <v>16</v>
      </c>
      <c r="AL931">
        <v>0.89</v>
      </c>
    </row>
    <row r="932" spans="1:38" x14ac:dyDescent="0.3">
      <c r="A932" t="s">
        <v>685</v>
      </c>
      <c r="B932">
        <v>122500</v>
      </c>
      <c r="C932">
        <v>5</v>
      </c>
      <c r="D932" t="s">
        <v>1409</v>
      </c>
      <c r="E932" t="s">
        <v>442</v>
      </c>
      <c r="F932">
        <v>18</v>
      </c>
      <c r="G932">
        <v>23.08</v>
      </c>
      <c r="H932">
        <v>76.33</v>
      </c>
      <c r="I932">
        <v>18.07</v>
      </c>
      <c r="J932">
        <v>59.75</v>
      </c>
      <c r="K932">
        <v>4</v>
      </c>
      <c r="T932">
        <v>3</v>
      </c>
      <c r="U932">
        <v>1</v>
      </c>
      <c r="V932" t="s">
        <v>93</v>
      </c>
      <c r="W932" t="s">
        <v>1126</v>
      </c>
      <c r="X932">
        <v>14</v>
      </c>
      <c r="Y932">
        <v>14</v>
      </c>
      <c r="Z932" t="s">
        <v>1410</v>
      </c>
      <c r="AA932" t="s">
        <v>1411</v>
      </c>
      <c r="AB932" t="s">
        <v>96</v>
      </c>
      <c r="AC932" t="s">
        <v>97</v>
      </c>
      <c r="AD932" t="s">
        <v>690</v>
      </c>
      <c r="AG932" t="s">
        <v>1412</v>
      </c>
      <c r="AH932">
        <v>0</v>
      </c>
      <c r="AI932">
        <v>697</v>
      </c>
      <c r="AJ932">
        <v>65</v>
      </c>
      <c r="AK932">
        <v>16</v>
      </c>
      <c r="AL932">
        <v>0.89</v>
      </c>
    </row>
    <row r="933" spans="1:38" x14ac:dyDescent="0.3">
      <c r="A933" t="s">
        <v>685</v>
      </c>
      <c r="B933">
        <v>137949</v>
      </c>
      <c r="C933">
        <v>1</v>
      </c>
      <c r="D933" t="s">
        <v>1414</v>
      </c>
      <c r="E933" t="s">
        <v>732</v>
      </c>
      <c r="F933">
        <v>27</v>
      </c>
      <c r="G933">
        <v>19.309999999999999</v>
      </c>
      <c r="H933">
        <v>63.85</v>
      </c>
      <c r="I933">
        <v>14.72</v>
      </c>
      <c r="J933">
        <v>48.68</v>
      </c>
      <c r="K933">
        <v>7</v>
      </c>
      <c r="T933">
        <v>2</v>
      </c>
      <c r="U933">
        <v>1</v>
      </c>
      <c r="V933" t="s">
        <v>93</v>
      </c>
      <c r="W933" t="s">
        <v>194</v>
      </c>
      <c r="X933">
        <v>14</v>
      </c>
      <c r="Y933">
        <v>14</v>
      </c>
      <c r="Z933" t="s">
        <v>1415</v>
      </c>
      <c r="AA933" t="s">
        <v>1416</v>
      </c>
      <c r="AB933" t="s">
        <v>96</v>
      </c>
      <c r="AC933" t="s">
        <v>97</v>
      </c>
      <c r="AD933" t="s">
        <v>690</v>
      </c>
      <c r="AG933" t="s">
        <v>1417</v>
      </c>
      <c r="AH933">
        <v>0</v>
      </c>
      <c r="AI933">
        <v>688</v>
      </c>
      <c r="AJ933">
        <v>67</v>
      </c>
      <c r="AK933">
        <v>22</v>
      </c>
      <c r="AL933">
        <v>0.81</v>
      </c>
    </row>
    <row r="934" spans="1:38" x14ac:dyDescent="0.3">
      <c r="A934" t="s">
        <v>685</v>
      </c>
      <c r="B934">
        <v>137949</v>
      </c>
      <c r="C934">
        <v>2</v>
      </c>
      <c r="D934" t="s">
        <v>1414</v>
      </c>
      <c r="E934" t="s">
        <v>732</v>
      </c>
      <c r="F934">
        <v>27</v>
      </c>
      <c r="G934">
        <v>19.55</v>
      </c>
      <c r="H934">
        <v>64.64</v>
      </c>
      <c r="I934">
        <v>14.91</v>
      </c>
      <c r="J934">
        <v>49.29</v>
      </c>
      <c r="K934">
        <v>7</v>
      </c>
      <c r="T934">
        <v>2</v>
      </c>
      <c r="U934">
        <v>1</v>
      </c>
      <c r="V934" t="s">
        <v>93</v>
      </c>
      <c r="W934" t="s">
        <v>279</v>
      </c>
      <c r="X934">
        <v>14</v>
      </c>
      <c r="Y934">
        <v>14</v>
      </c>
      <c r="Z934" t="s">
        <v>1415</v>
      </c>
      <c r="AA934" t="s">
        <v>1416</v>
      </c>
      <c r="AB934" t="s">
        <v>96</v>
      </c>
      <c r="AC934" t="s">
        <v>97</v>
      </c>
      <c r="AD934" t="s">
        <v>690</v>
      </c>
      <c r="AG934" t="s">
        <v>1417</v>
      </c>
      <c r="AH934">
        <v>0</v>
      </c>
      <c r="AI934">
        <v>688</v>
      </c>
      <c r="AJ934">
        <v>67</v>
      </c>
      <c r="AK934">
        <v>22</v>
      </c>
      <c r="AL934">
        <v>0.81</v>
      </c>
    </row>
    <row r="935" spans="1:38" x14ac:dyDescent="0.3">
      <c r="A935" t="s">
        <v>685</v>
      </c>
      <c r="B935">
        <v>137949</v>
      </c>
      <c r="C935">
        <v>3</v>
      </c>
      <c r="D935" t="s">
        <v>1414</v>
      </c>
      <c r="E935" t="s">
        <v>732</v>
      </c>
      <c r="F935">
        <v>27</v>
      </c>
      <c r="G935">
        <v>19.41</v>
      </c>
      <c r="H935">
        <v>64.180000000000007</v>
      </c>
      <c r="I935">
        <v>14.79</v>
      </c>
      <c r="J935">
        <v>48.92</v>
      </c>
      <c r="K935">
        <v>7</v>
      </c>
      <c r="T935">
        <v>2</v>
      </c>
      <c r="U935">
        <v>1</v>
      </c>
      <c r="V935" t="s">
        <v>93</v>
      </c>
      <c r="W935" t="s">
        <v>275</v>
      </c>
      <c r="X935">
        <v>14</v>
      </c>
      <c r="Y935">
        <v>14</v>
      </c>
      <c r="Z935" t="s">
        <v>1415</v>
      </c>
      <c r="AA935" t="s">
        <v>1416</v>
      </c>
      <c r="AB935" t="s">
        <v>96</v>
      </c>
      <c r="AC935" t="s">
        <v>97</v>
      </c>
      <c r="AD935" t="s">
        <v>690</v>
      </c>
      <c r="AG935" t="s">
        <v>1417</v>
      </c>
      <c r="AH935">
        <v>0</v>
      </c>
      <c r="AI935">
        <v>688</v>
      </c>
      <c r="AJ935">
        <v>67</v>
      </c>
      <c r="AK935">
        <v>22</v>
      </c>
      <c r="AL935">
        <v>0.81</v>
      </c>
    </row>
    <row r="936" spans="1:38" x14ac:dyDescent="0.3">
      <c r="A936" t="s">
        <v>685</v>
      </c>
      <c r="B936">
        <v>137949</v>
      </c>
      <c r="C936">
        <v>4</v>
      </c>
      <c r="D936" t="s">
        <v>1414</v>
      </c>
      <c r="E936" t="s">
        <v>732</v>
      </c>
      <c r="F936">
        <v>27</v>
      </c>
      <c r="G936">
        <v>20.399999999999999</v>
      </c>
      <c r="H936">
        <v>67.45</v>
      </c>
      <c r="I936">
        <v>15.11</v>
      </c>
      <c r="J936">
        <v>49.96</v>
      </c>
      <c r="K936">
        <v>6</v>
      </c>
      <c r="T936">
        <v>3</v>
      </c>
      <c r="U936">
        <v>1</v>
      </c>
      <c r="V936" t="s">
        <v>93</v>
      </c>
      <c r="W936" t="s">
        <v>858</v>
      </c>
      <c r="X936">
        <v>14</v>
      </c>
      <c r="Y936">
        <v>14</v>
      </c>
      <c r="Z936" t="s">
        <v>1415</v>
      </c>
      <c r="AA936" t="s">
        <v>1416</v>
      </c>
      <c r="AB936" t="s">
        <v>96</v>
      </c>
      <c r="AC936" t="s">
        <v>97</v>
      </c>
      <c r="AD936" t="s">
        <v>690</v>
      </c>
      <c r="AG936" t="s">
        <v>1417</v>
      </c>
      <c r="AH936">
        <v>0</v>
      </c>
      <c r="AI936">
        <v>688</v>
      </c>
      <c r="AJ936">
        <v>67</v>
      </c>
      <c r="AK936">
        <v>22</v>
      </c>
      <c r="AL936">
        <v>0.81</v>
      </c>
    </row>
    <row r="937" spans="1:38" x14ac:dyDescent="0.3">
      <c r="A937" t="s">
        <v>685</v>
      </c>
      <c r="B937">
        <v>131586</v>
      </c>
      <c r="C937">
        <v>1</v>
      </c>
      <c r="D937" t="s">
        <v>1418</v>
      </c>
      <c r="E937" t="s">
        <v>1090</v>
      </c>
      <c r="F937">
        <v>32</v>
      </c>
      <c r="G937">
        <v>23.44</v>
      </c>
      <c r="H937">
        <v>77.510000000000005</v>
      </c>
      <c r="I937">
        <v>18.13</v>
      </c>
      <c r="J937">
        <v>59.94</v>
      </c>
      <c r="K937">
        <v>16</v>
      </c>
      <c r="T937">
        <v>3</v>
      </c>
      <c r="U937">
        <v>2</v>
      </c>
      <c r="V937" t="s">
        <v>93</v>
      </c>
      <c r="W937">
        <v>77</v>
      </c>
      <c r="X937">
        <v>17</v>
      </c>
      <c r="Y937">
        <v>17</v>
      </c>
      <c r="Z937" t="s">
        <v>1419</v>
      </c>
      <c r="AA937" t="s">
        <v>1420</v>
      </c>
      <c r="AB937" t="s">
        <v>96</v>
      </c>
      <c r="AC937" t="s">
        <v>97</v>
      </c>
      <c r="AD937" t="s">
        <v>690</v>
      </c>
      <c r="AG937" t="s">
        <v>1421</v>
      </c>
      <c r="AH937">
        <v>0</v>
      </c>
      <c r="AI937">
        <v>967</v>
      </c>
      <c r="AJ937">
        <v>78</v>
      </c>
      <c r="AK937">
        <v>29</v>
      </c>
      <c r="AL937">
        <v>0.91</v>
      </c>
    </row>
    <row r="938" spans="1:38" x14ac:dyDescent="0.3">
      <c r="A938" t="s">
        <v>685</v>
      </c>
      <c r="B938">
        <v>131586</v>
      </c>
      <c r="C938">
        <v>2</v>
      </c>
      <c r="D938" t="s">
        <v>1418</v>
      </c>
      <c r="E938" t="s">
        <v>1090</v>
      </c>
      <c r="F938">
        <v>32</v>
      </c>
      <c r="G938">
        <v>23.65</v>
      </c>
      <c r="H938">
        <v>78.19</v>
      </c>
      <c r="I938">
        <v>18.14</v>
      </c>
      <c r="J938">
        <v>59.97</v>
      </c>
      <c r="K938">
        <v>16</v>
      </c>
      <c r="T938">
        <v>3</v>
      </c>
      <c r="U938">
        <v>2</v>
      </c>
      <c r="V938" t="s">
        <v>93</v>
      </c>
      <c r="W938">
        <v>78</v>
      </c>
      <c r="X938">
        <v>17</v>
      </c>
      <c r="Y938">
        <v>17</v>
      </c>
      <c r="Z938" t="s">
        <v>1419</v>
      </c>
      <c r="AA938" t="s">
        <v>1420</v>
      </c>
      <c r="AB938" t="s">
        <v>96</v>
      </c>
      <c r="AC938" t="s">
        <v>97</v>
      </c>
      <c r="AD938" t="s">
        <v>690</v>
      </c>
      <c r="AG938" t="s">
        <v>1421</v>
      </c>
      <c r="AH938">
        <v>0</v>
      </c>
      <c r="AI938">
        <v>967</v>
      </c>
      <c r="AJ938">
        <v>78</v>
      </c>
      <c r="AK938">
        <v>29</v>
      </c>
      <c r="AL938">
        <v>0.91</v>
      </c>
    </row>
    <row r="939" spans="1:38" x14ac:dyDescent="0.3">
      <c r="A939" t="s">
        <v>685</v>
      </c>
      <c r="B939">
        <v>10510</v>
      </c>
      <c r="C939">
        <v>1</v>
      </c>
      <c r="D939" t="s">
        <v>1422</v>
      </c>
      <c r="E939" t="s">
        <v>1423</v>
      </c>
      <c r="F939">
        <v>133</v>
      </c>
      <c r="G939">
        <v>23.48</v>
      </c>
      <c r="H939">
        <v>77.62</v>
      </c>
      <c r="I939">
        <v>17.579999999999998</v>
      </c>
      <c r="J939">
        <v>58.14</v>
      </c>
      <c r="K939">
        <v>8</v>
      </c>
      <c r="T939">
        <v>3</v>
      </c>
      <c r="U939">
        <v>1</v>
      </c>
      <c r="V939" t="s">
        <v>93</v>
      </c>
      <c r="W939">
        <v>77</v>
      </c>
      <c r="X939">
        <v>11</v>
      </c>
      <c r="Y939">
        <v>11</v>
      </c>
      <c r="Z939" t="s">
        <v>1424</v>
      </c>
      <c r="AA939" t="s">
        <v>1425</v>
      </c>
      <c r="AB939" t="s">
        <v>96</v>
      </c>
      <c r="AC939" t="s">
        <v>97</v>
      </c>
      <c r="AD939" t="s">
        <v>690</v>
      </c>
      <c r="AG939" t="s">
        <v>1426</v>
      </c>
      <c r="AH939">
        <v>0</v>
      </c>
      <c r="AI939">
        <v>233</v>
      </c>
      <c r="AJ939">
        <v>29</v>
      </c>
      <c r="AK939">
        <v>89</v>
      </c>
      <c r="AL939">
        <v>0.67</v>
      </c>
    </row>
    <row r="940" spans="1:38" x14ac:dyDescent="0.3">
      <c r="A940" t="s">
        <v>685</v>
      </c>
      <c r="B940">
        <v>10510</v>
      </c>
      <c r="C940">
        <v>2</v>
      </c>
      <c r="D940" t="s">
        <v>1422</v>
      </c>
      <c r="E940" t="s">
        <v>1423</v>
      </c>
      <c r="F940">
        <v>133</v>
      </c>
      <c r="G940">
        <v>24.19</v>
      </c>
      <c r="H940">
        <v>79.97</v>
      </c>
      <c r="I940">
        <v>18.11</v>
      </c>
      <c r="J940">
        <v>59.89</v>
      </c>
      <c r="K940">
        <v>79</v>
      </c>
      <c r="T940">
        <v>3</v>
      </c>
      <c r="U940">
        <v>1</v>
      </c>
      <c r="V940" t="s">
        <v>132</v>
      </c>
      <c r="W940">
        <v>79</v>
      </c>
      <c r="X940">
        <v>11</v>
      </c>
      <c r="Y940">
        <v>11</v>
      </c>
      <c r="Z940" t="s">
        <v>1424</v>
      </c>
      <c r="AA940" t="s">
        <v>1425</v>
      </c>
      <c r="AB940" t="s">
        <v>96</v>
      </c>
      <c r="AC940" t="s">
        <v>97</v>
      </c>
      <c r="AD940" t="s">
        <v>690</v>
      </c>
      <c r="AG940" t="s">
        <v>1426</v>
      </c>
      <c r="AH940">
        <v>0</v>
      </c>
      <c r="AI940">
        <v>233</v>
      </c>
      <c r="AJ940">
        <v>29</v>
      </c>
      <c r="AK940">
        <v>89</v>
      </c>
      <c r="AL940">
        <v>0.67</v>
      </c>
    </row>
    <row r="941" spans="1:38" x14ac:dyDescent="0.3">
      <c r="A941" t="s">
        <v>685</v>
      </c>
      <c r="B941">
        <v>10510</v>
      </c>
      <c r="C941">
        <v>3</v>
      </c>
      <c r="D941" t="s">
        <v>1422</v>
      </c>
      <c r="E941" t="s">
        <v>1423</v>
      </c>
      <c r="F941">
        <v>133</v>
      </c>
      <c r="G941">
        <v>32.119999999999997</v>
      </c>
      <c r="H941">
        <v>106.2</v>
      </c>
      <c r="I941">
        <v>25.66</v>
      </c>
      <c r="J941">
        <v>84.83</v>
      </c>
      <c r="K941">
        <v>38</v>
      </c>
      <c r="T941">
        <v>3</v>
      </c>
      <c r="U941">
        <v>2</v>
      </c>
      <c r="V941" t="s">
        <v>132</v>
      </c>
      <c r="W941">
        <v>106</v>
      </c>
      <c r="X941">
        <v>11</v>
      </c>
      <c r="Y941">
        <v>11</v>
      </c>
      <c r="Z941" t="s">
        <v>1424</v>
      </c>
      <c r="AA941" t="s">
        <v>1425</v>
      </c>
      <c r="AB941" t="s">
        <v>96</v>
      </c>
      <c r="AC941" t="s">
        <v>97</v>
      </c>
      <c r="AD941" t="s">
        <v>690</v>
      </c>
      <c r="AG941" t="s">
        <v>1426</v>
      </c>
      <c r="AH941">
        <v>0</v>
      </c>
      <c r="AI941">
        <v>233</v>
      </c>
      <c r="AJ941">
        <v>29</v>
      </c>
      <c r="AK941">
        <v>89</v>
      </c>
      <c r="AL941">
        <v>0.67</v>
      </c>
    </row>
    <row r="942" spans="1:38" x14ac:dyDescent="0.3">
      <c r="A942" t="s">
        <v>685</v>
      </c>
      <c r="B942">
        <v>10510</v>
      </c>
      <c r="C942">
        <v>4</v>
      </c>
      <c r="D942" t="s">
        <v>1422</v>
      </c>
      <c r="E942" t="s">
        <v>1423</v>
      </c>
      <c r="F942">
        <v>133</v>
      </c>
      <c r="G942">
        <v>32.36</v>
      </c>
      <c r="H942">
        <v>106.99</v>
      </c>
      <c r="I942">
        <v>24.22</v>
      </c>
      <c r="J942">
        <v>80.08</v>
      </c>
      <c r="K942">
        <v>8</v>
      </c>
      <c r="T942">
        <v>3</v>
      </c>
      <c r="U942">
        <v>2</v>
      </c>
      <c r="V942" t="s">
        <v>132</v>
      </c>
      <c r="W942" t="s">
        <v>552</v>
      </c>
      <c r="X942">
        <v>11</v>
      </c>
      <c r="Y942">
        <v>11</v>
      </c>
      <c r="Z942" t="s">
        <v>1424</v>
      </c>
      <c r="AA942" t="s">
        <v>1425</v>
      </c>
      <c r="AB942" t="s">
        <v>96</v>
      </c>
      <c r="AC942" t="s">
        <v>97</v>
      </c>
      <c r="AD942" t="s">
        <v>690</v>
      </c>
      <c r="AG942" t="s">
        <v>1426</v>
      </c>
      <c r="AH942">
        <v>0</v>
      </c>
      <c r="AI942">
        <v>233</v>
      </c>
      <c r="AJ942">
        <v>29</v>
      </c>
      <c r="AK942">
        <v>89</v>
      </c>
      <c r="AL942">
        <v>0.67</v>
      </c>
    </row>
    <row r="943" spans="1:38" x14ac:dyDescent="0.3">
      <c r="A943" t="s">
        <v>685</v>
      </c>
      <c r="B943">
        <v>14183</v>
      </c>
      <c r="C943">
        <v>1</v>
      </c>
      <c r="D943" t="s">
        <v>572</v>
      </c>
      <c r="E943" t="s">
        <v>993</v>
      </c>
      <c r="F943">
        <v>50</v>
      </c>
      <c r="G943">
        <v>17.989999999999998</v>
      </c>
      <c r="H943">
        <v>59.5</v>
      </c>
      <c r="I943">
        <v>17.989999999999998</v>
      </c>
      <c r="J943">
        <v>59.5</v>
      </c>
      <c r="K943">
        <v>1</v>
      </c>
      <c r="T943">
        <v>2</v>
      </c>
      <c r="U943">
        <v>1</v>
      </c>
      <c r="V943" t="s">
        <v>93</v>
      </c>
      <c r="W943" t="s">
        <v>379</v>
      </c>
      <c r="X943">
        <v>5</v>
      </c>
      <c r="Y943">
        <v>5</v>
      </c>
      <c r="Z943" t="s">
        <v>1427</v>
      </c>
      <c r="AA943" t="s">
        <v>1428</v>
      </c>
      <c r="AB943" t="s">
        <v>96</v>
      </c>
      <c r="AC943" t="s">
        <v>97</v>
      </c>
      <c r="AD943" t="s">
        <v>690</v>
      </c>
      <c r="AG943" t="s">
        <v>1429</v>
      </c>
      <c r="AH943">
        <v>0</v>
      </c>
      <c r="AI943">
        <v>0</v>
      </c>
      <c r="AJ943">
        <v>0</v>
      </c>
      <c r="AK943">
        <v>0</v>
      </c>
      <c r="AL943">
        <v>0</v>
      </c>
    </row>
    <row r="944" spans="1:38" x14ac:dyDescent="0.3">
      <c r="A944" t="s">
        <v>685</v>
      </c>
      <c r="B944">
        <v>14183</v>
      </c>
      <c r="C944">
        <v>2</v>
      </c>
      <c r="D944" t="s">
        <v>572</v>
      </c>
      <c r="E944" t="s">
        <v>993</v>
      </c>
      <c r="F944">
        <v>50</v>
      </c>
      <c r="G944">
        <v>18.22</v>
      </c>
      <c r="H944">
        <v>60.25</v>
      </c>
      <c r="I944">
        <v>16.22</v>
      </c>
      <c r="J944">
        <v>53.65</v>
      </c>
      <c r="K944">
        <v>19</v>
      </c>
      <c r="T944">
        <v>3</v>
      </c>
      <c r="U944">
        <v>1</v>
      </c>
      <c r="V944" t="s">
        <v>93</v>
      </c>
      <c r="W944" t="s">
        <v>254</v>
      </c>
      <c r="X944">
        <v>5</v>
      </c>
      <c r="Y944">
        <v>5</v>
      </c>
      <c r="Z944" t="s">
        <v>1427</v>
      </c>
      <c r="AA944" t="s">
        <v>1428</v>
      </c>
      <c r="AB944" t="s">
        <v>96</v>
      </c>
      <c r="AC944" t="s">
        <v>97</v>
      </c>
      <c r="AD944" t="s">
        <v>690</v>
      </c>
      <c r="AG944" t="s">
        <v>1429</v>
      </c>
      <c r="AH944">
        <v>0</v>
      </c>
      <c r="AI944">
        <v>0</v>
      </c>
      <c r="AJ944">
        <v>0</v>
      </c>
      <c r="AK944">
        <v>0</v>
      </c>
      <c r="AL944">
        <v>0</v>
      </c>
    </row>
    <row r="945" spans="1:38" x14ac:dyDescent="0.3">
      <c r="A945" t="s">
        <v>685</v>
      </c>
      <c r="B945">
        <v>14183</v>
      </c>
      <c r="C945">
        <v>3</v>
      </c>
      <c r="D945" t="s">
        <v>572</v>
      </c>
      <c r="E945" t="s">
        <v>993</v>
      </c>
      <c r="F945">
        <v>50</v>
      </c>
      <c r="G945">
        <v>20.170000000000002</v>
      </c>
      <c r="H945">
        <v>66.69</v>
      </c>
      <c r="I945">
        <v>18.170000000000002</v>
      </c>
      <c r="J945">
        <v>60.09</v>
      </c>
      <c r="K945">
        <v>5</v>
      </c>
      <c r="T945">
        <v>3</v>
      </c>
      <c r="U945">
        <v>1</v>
      </c>
      <c r="V945" t="s">
        <v>93</v>
      </c>
      <c r="W945">
        <v>66</v>
      </c>
      <c r="X945">
        <v>5</v>
      </c>
      <c r="Y945">
        <v>5</v>
      </c>
      <c r="Z945" t="s">
        <v>1427</v>
      </c>
      <c r="AA945" t="s">
        <v>1428</v>
      </c>
      <c r="AB945" t="s">
        <v>96</v>
      </c>
      <c r="AC945" t="s">
        <v>97</v>
      </c>
      <c r="AD945" t="s">
        <v>690</v>
      </c>
      <c r="AG945" t="s">
        <v>1429</v>
      </c>
      <c r="AH945">
        <v>0</v>
      </c>
      <c r="AI945">
        <v>0</v>
      </c>
      <c r="AJ945">
        <v>0</v>
      </c>
      <c r="AK945">
        <v>0</v>
      </c>
      <c r="AL945">
        <v>0</v>
      </c>
    </row>
    <row r="946" spans="1:38" x14ac:dyDescent="0.3">
      <c r="A946" t="s">
        <v>685</v>
      </c>
      <c r="B946">
        <v>14183</v>
      </c>
      <c r="C946">
        <v>4</v>
      </c>
      <c r="D946" t="s">
        <v>572</v>
      </c>
      <c r="E946" t="s">
        <v>993</v>
      </c>
      <c r="F946">
        <v>50</v>
      </c>
      <c r="G946">
        <v>21.59</v>
      </c>
      <c r="H946">
        <v>71.39</v>
      </c>
      <c r="I946">
        <v>19.59</v>
      </c>
      <c r="J946">
        <v>64.790000000000006</v>
      </c>
      <c r="K946">
        <v>15</v>
      </c>
      <c r="T946">
        <v>3</v>
      </c>
      <c r="U946">
        <v>1</v>
      </c>
      <c r="V946" t="s">
        <v>93</v>
      </c>
      <c r="W946" t="s">
        <v>460</v>
      </c>
      <c r="X946">
        <v>5</v>
      </c>
      <c r="Y946">
        <v>5</v>
      </c>
      <c r="Z946" t="s">
        <v>1427</v>
      </c>
      <c r="AA946" t="s">
        <v>1428</v>
      </c>
      <c r="AB946" t="s">
        <v>96</v>
      </c>
      <c r="AC946" t="s">
        <v>97</v>
      </c>
      <c r="AD946" t="s">
        <v>690</v>
      </c>
      <c r="AG946" t="s">
        <v>1429</v>
      </c>
      <c r="AH946">
        <v>0</v>
      </c>
      <c r="AI946">
        <v>0</v>
      </c>
      <c r="AJ946">
        <v>0</v>
      </c>
      <c r="AK946">
        <v>0</v>
      </c>
      <c r="AL946">
        <v>0</v>
      </c>
    </row>
    <row r="947" spans="1:38" x14ac:dyDescent="0.3">
      <c r="A947" t="s">
        <v>685</v>
      </c>
      <c r="B947">
        <v>14183</v>
      </c>
      <c r="C947">
        <v>5</v>
      </c>
      <c r="D947" t="s">
        <v>572</v>
      </c>
      <c r="E947" t="s">
        <v>993</v>
      </c>
      <c r="F947">
        <v>50</v>
      </c>
      <c r="G947">
        <v>22.36</v>
      </c>
      <c r="H947">
        <v>73.930000000000007</v>
      </c>
      <c r="I947">
        <v>20.36</v>
      </c>
      <c r="J947">
        <v>67.33</v>
      </c>
      <c r="K947">
        <v>5</v>
      </c>
      <c r="T947">
        <v>3</v>
      </c>
      <c r="U947">
        <v>1</v>
      </c>
      <c r="V947" t="s">
        <v>93</v>
      </c>
      <c r="W947" t="s">
        <v>286</v>
      </c>
      <c r="X947">
        <v>5</v>
      </c>
      <c r="Y947">
        <v>5</v>
      </c>
      <c r="Z947" t="s">
        <v>1427</v>
      </c>
      <c r="AA947" t="s">
        <v>1428</v>
      </c>
      <c r="AB947" t="s">
        <v>96</v>
      </c>
      <c r="AC947" t="s">
        <v>97</v>
      </c>
      <c r="AD947" t="s">
        <v>690</v>
      </c>
      <c r="AG947" t="s">
        <v>1429</v>
      </c>
      <c r="AH947">
        <v>0</v>
      </c>
      <c r="AI947">
        <v>0</v>
      </c>
      <c r="AJ947">
        <v>0</v>
      </c>
      <c r="AK947">
        <v>0</v>
      </c>
      <c r="AL947">
        <v>0</v>
      </c>
    </row>
    <row r="948" spans="1:38" x14ac:dyDescent="0.3">
      <c r="A948" t="s">
        <v>685</v>
      </c>
      <c r="B948">
        <v>14183</v>
      </c>
      <c r="C948">
        <v>6</v>
      </c>
      <c r="D948" t="s">
        <v>572</v>
      </c>
      <c r="E948" t="s">
        <v>993</v>
      </c>
      <c r="F948">
        <v>50</v>
      </c>
      <c r="G948">
        <v>22.36</v>
      </c>
      <c r="H948">
        <v>73.94</v>
      </c>
      <c r="I948">
        <v>20.37</v>
      </c>
      <c r="J948">
        <v>67.34</v>
      </c>
      <c r="K948">
        <v>1</v>
      </c>
      <c r="T948">
        <v>3</v>
      </c>
      <c r="U948">
        <v>1</v>
      </c>
      <c r="V948" t="s">
        <v>93</v>
      </c>
      <c r="W948" t="s">
        <v>903</v>
      </c>
      <c r="X948">
        <v>5</v>
      </c>
      <c r="Y948">
        <v>5</v>
      </c>
      <c r="Z948" t="s">
        <v>1427</v>
      </c>
      <c r="AA948" t="s">
        <v>1428</v>
      </c>
      <c r="AB948" t="s">
        <v>96</v>
      </c>
      <c r="AC948" t="s">
        <v>97</v>
      </c>
      <c r="AD948" t="s">
        <v>690</v>
      </c>
      <c r="AG948" t="s">
        <v>1429</v>
      </c>
      <c r="AH948">
        <v>0</v>
      </c>
      <c r="AI948">
        <v>0</v>
      </c>
      <c r="AJ948">
        <v>0</v>
      </c>
      <c r="AK948">
        <v>0</v>
      </c>
      <c r="AL948">
        <v>0</v>
      </c>
    </row>
    <row r="949" spans="1:38" x14ac:dyDescent="0.3">
      <c r="A949" t="s">
        <v>685</v>
      </c>
      <c r="B949">
        <v>14183</v>
      </c>
      <c r="C949">
        <v>7</v>
      </c>
      <c r="D949" t="s">
        <v>572</v>
      </c>
      <c r="E949" t="s">
        <v>993</v>
      </c>
      <c r="F949">
        <v>50</v>
      </c>
      <c r="G949">
        <v>22.5</v>
      </c>
      <c r="H949">
        <v>74.400000000000006</v>
      </c>
      <c r="I949">
        <v>20.5</v>
      </c>
      <c r="J949">
        <v>67.8</v>
      </c>
      <c r="K949">
        <v>4</v>
      </c>
      <c r="T949">
        <v>3</v>
      </c>
      <c r="U949">
        <v>1</v>
      </c>
      <c r="V949" t="s">
        <v>93</v>
      </c>
      <c r="W949">
        <v>74</v>
      </c>
      <c r="X949">
        <v>5</v>
      </c>
      <c r="Y949">
        <v>5</v>
      </c>
      <c r="Z949" t="s">
        <v>1427</v>
      </c>
      <c r="AA949" t="s">
        <v>1428</v>
      </c>
      <c r="AB949" t="s">
        <v>96</v>
      </c>
      <c r="AC949" t="s">
        <v>97</v>
      </c>
      <c r="AD949" t="s">
        <v>690</v>
      </c>
      <c r="AG949" t="s">
        <v>1429</v>
      </c>
      <c r="AH949">
        <v>0</v>
      </c>
      <c r="AI949">
        <v>0</v>
      </c>
      <c r="AJ949">
        <v>0</v>
      </c>
      <c r="AK949">
        <v>0</v>
      </c>
      <c r="AL949">
        <v>0</v>
      </c>
    </row>
    <row r="950" spans="1:38" x14ac:dyDescent="0.3">
      <c r="A950" t="s">
        <v>685</v>
      </c>
      <c r="B950">
        <v>124813</v>
      </c>
      <c r="C950">
        <v>1</v>
      </c>
      <c r="D950" t="s">
        <v>1430</v>
      </c>
      <c r="E950" t="s">
        <v>328</v>
      </c>
      <c r="F950">
        <v>12</v>
      </c>
      <c r="G950">
        <v>18.02</v>
      </c>
      <c r="H950">
        <v>59.59</v>
      </c>
      <c r="I950">
        <v>14.58</v>
      </c>
      <c r="J950">
        <v>48.22</v>
      </c>
      <c r="K950">
        <v>4</v>
      </c>
      <c r="T950">
        <v>3</v>
      </c>
      <c r="U950">
        <v>2</v>
      </c>
      <c r="V950" t="s">
        <v>93</v>
      </c>
      <c r="W950" t="s">
        <v>1431</v>
      </c>
      <c r="X950">
        <v>13</v>
      </c>
      <c r="Y950">
        <v>13</v>
      </c>
      <c r="Z950" t="s">
        <v>1432</v>
      </c>
      <c r="AA950" t="s">
        <v>1433</v>
      </c>
      <c r="AB950" t="s">
        <v>96</v>
      </c>
      <c r="AC950" t="s">
        <v>97</v>
      </c>
      <c r="AD950" t="s">
        <v>690</v>
      </c>
      <c r="AG950" t="s">
        <v>1434</v>
      </c>
      <c r="AH950">
        <v>0</v>
      </c>
      <c r="AI950">
        <v>498</v>
      </c>
      <c r="AJ950">
        <v>44</v>
      </c>
      <c r="AK950">
        <v>8</v>
      </c>
      <c r="AL950">
        <v>0.67</v>
      </c>
    </row>
    <row r="951" spans="1:38" x14ac:dyDescent="0.3">
      <c r="A951" t="s">
        <v>685</v>
      </c>
      <c r="B951">
        <v>124813</v>
      </c>
      <c r="C951">
        <v>2</v>
      </c>
      <c r="D951" t="s">
        <v>1430</v>
      </c>
      <c r="E951" t="s">
        <v>328</v>
      </c>
      <c r="F951">
        <v>12</v>
      </c>
      <c r="G951">
        <v>18.36</v>
      </c>
      <c r="H951">
        <v>60.71</v>
      </c>
      <c r="I951">
        <v>14.74</v>
      </c>
      <c r="J951">
        <v>48.76</v>
      </c>
      <c r="K951">
        <v>4</v>
      </c>
      <c r="T951">
        <v>3</v>
      </c>
      <c r="U951">
        <v>2</v>
      </c>
      <c r="V951" t="s">
        <v>93</v>
      </c>
      <c r="W951" t="s">
        <v>179</v>
      </c>
      <c r="X951">
        <v>13</v>
      </c>
      <c r="Y951">
        <v>13</v>
      </c>
      <c r="Z951" t="s">
        <v>1432</v>
      </c>
      <c r="AA951" t="s">
        <v>1433</v>
      </c>
      <c r="AB951" t="s">
        <v>96</v>
      </c>
      <c r="AC951" t="s">
        <v>97</v>
      </c>
      <c r="AD951" t="s">
        <v>690</v>
      </c>
      <c r="AG951" t="s">
        <v>1434</v>
      </c>
      <c r="AH951">
        <v>0</v>
      </c>
      <c r="AI951">
        <v>498</v>
      </c>
      <c r="AJ951">
        <v>44</v>
      </c>
      <c r="AK951">
        <v>8</v>
      </c>
      <c r="AL951">
        <v>0.67</v>
      </c>
    </row>
    <row r="952" spans="1:38" x14ac:dyDescent="0.3">
      <c r="A952" t="s">
        <v>685</v>
      </c>
      <c r="B952">
        <v>124813</v>
      </c>
      <c r="C952">
        <v>3</v>
      </c>
      <c r="D952" t="s">
        <v>1430</v>
      </c>
      <c r="E952" t="s">
        <v>328</v>
      </c>
      <c r="F952">
        <v>12</v>
      </c>
      <c r="G952">
        <v>18.29</v>
      </c>
      <c r="H952">
        <v>60.48</v>
      </c>
      <c r="I952">
        <v>14.91</v>
      </c>
      <c r="J952">
        <v>49.31</v>
      </c>
      <c r="K952">
        <v>4</v>
      </c>
      <c r="T952">
        <v>3</v>
      </c>
      <c r="U952">
        <v>2</v>
      </c>
      <c r="V952" t="s">
        <v>93</v>
      </c>
      <c r="W952" t="s">
        <v>1435</v>
      </c>
      <c r="X952">
        <v>13</v>
      </c>
      <c r="Y952">
        <v>13</v>
      </c>
      <c r="Z952" t="s">
        <v>1432</v>
      </c>
      <c r="AA952" t="s">
        <v>1433</v>
      </c>
      <c r="AB952" t="s">
        <v>96</v>
      </c>
      <c r="AC952" t="s">
        <v>97</v>
      </c>
      <c r="AD952" t="s">
        <v>690</v>
      </c>
      <c r="AG952" t="s">
        <v>1434</v>
      </c>
      <c r="AH952">
        <v>0</v>
      </c>
      <c r="AI952">
        <v>498</v>
      </c>
      <c r="AJ952">
        <v>44</v>
      </c>
      <c r="AK952">
        <v>8</v>
      </c>
      <c r="AL952">
        <v>0.67</v>
      </c>
    </row>
    <row r="953" spans="1:38" x14ac:dyDescent="0.3">
      <c r="A953" t="s">
        <v>685</v>
      </c>
      <c r="B953">
        <v>118258</v>
      </c>
      <c r="C953">
        <v>1</v>
      </c>
      <c r="D953" t="s">
        <v>1436</v>
      </c>
      <c r="E953" t="s">
        <v>391</v>
      </c>
      <c r="F953">
        <v>6</v>
      </c>
      <c r="G953">
        <v>21.74</v>
      </c>
      <c r="H953">
        <v>71.89</v>
      </c>
      <c r="I953">
        <v>17.11</v>
      </c>
      <c r="J953">
        <v>56.59</v>
      </c>
      <c r="K953">
        <v>4</v>
      </c>
      <c r="T953">
        <v>3</v>
      </c>
      <c r="U953">
        <v>1</v>
      </c>
      <c r="V953" t="s">
        <v>93</v>
      </c>
      <c r="W953" t="s">
        <v>460</v>
      </c>
      <c r="X953">
        <v>11</v>
      </c>
      <c r="Y953">
        <v>11</v>
      </c>
      <c r="Z953" t="s">
        <v>1437</v>
      </c>
      <c r="AA953" t="s">
        <v>1438</v>
      </c>
      <c r="AB953" t="s">
        <v>96</v>
      </c>
      <c r="AC953" t="s">
        <v>97</v>
      </c>
      <c r="AD953" t="s">
        <v>690</v>
      </c>
      <c r="AG953" t="s">
        <v>1439</v>
      </c>
      <c r="AH953">
        <v>0</v>
      </c>
      <c r="AI953">
        <v>689</v>
      </c>
      <c r="AJ953">
        <v>77</v>
      </c>
      <c r="AK953">
        <v>4</v>
      </c>
      <c r="AL953">
        <v>0.67</v>
      </c>
    </row>
    <row r="954" spans="1:38" x14ac:dyDescent="0.3">
      <c r="A954" t="s">
        <v>685</v>
      </c>
      <c r="B954">
        <v>118258</v>
      </c>
      <c r="C954">
        <v>2</v>
      </c>
      <c r="D954" t="s">
        <v>1436</v>
      </c>
      <c r="E954" t="s">
        <v>391</v>
      </c>
      <c r="F954">
        <v>6</v>
      </c>
      <c r="G954">
        <v>21.81</v>
      </c>
      <c r="H954">
        <v>72.13</v>
      </c>
      <c r="I954">
        <v>17.190000000000001</v>
      </c>
      <c r="J954">
        <v>56.84</v>
      </c>
      <c r="K954">
        <v>2</v>
      </c>
      <c r="T954">
        <v>3</v>
      </c>
      <c r="U954">
        <v>1</v>
      </c>
      <c r="V954" t="s">
        <v>93</v>
      </c>
      <c r="W954" t="s">
        <v>296</v>
      </c>
      <c r="X954">
        <v>11</v>
      </c>
      <c r="Y954">
        <v>11</v>
      </c>
      <c r="Z954" t="s">
        <v>1437</v>
      </c>
      <c r="AA954" t="s">
        <v>1438</v>
      </c>
      <c r="AB954" t="s">
        <v>96</v>
      </c>
      <c r="AC954" t="s">
        <v>97</v>
      </c>
      <c r="AD954" t="s">
        <v>690</v>
      </c>
      <c r="AG954" t="s">
        <v>1439</v>
      </c>
      <c r="AH954">
        <v>0</v>
      </c>
      <c r="AI954">
        <v>689</v>
      </c>
      <c r="AJ954">
        <v>77</v>
      </c>
      <c r="AK954">
        <v>4</v>
      </c>
      <c r="AL954">
        <v>0.67</v>
      </c>
    </row>
    <row r="955" spans="1:38" x14ac:dyDescent="0.3">
      <c r="A955" t="s">
        <v>685</v>
      </c>
      <c r="B955">
        <v>142282</v>
      </c>
      <c r="C955">
        <v>1</v>
      </c>
      <c r="D955" t="s">
        <v>1440</v>
      </c>
      <c r="E955" t="s">
        <v>1324</v>
      </c>
      <c r="F955">
        <v>14</v>
      </c>
      <c r="G955">
        <v>21.8</v>
      </c>
      <c r="H955">
        <v>72.08</v>
      </c>
      <c r="I955">
        <v>16.41</v>
      </c>
      <c r="J955">
        <v>54.25</v>
      </c>
      <c r="K955">
        <v>2</v>
      </c>
      <c r="T955">
        <v>3</v>
      </c>
      <c r="U955">
        <v>2</v>
      </c>
      <c r="V955" t="s">
        <v>93</v>
      </c>
      <c r="W955" t="s">
        <v>282</v>
      </c>
      <c r="X955">
        <v>18</v>
      </c>
      <c r="Y955">
        <v>18</v>
      </c>
      <c r="Z955" t="s">
        <v>1441</v>
      </c>
      <c r="AA955" t="s">
        <v>1442</v>
      </c>
      <c r="AB955" t="s">
        <v>96</v>
      </c>
      <c r="AC955" t="s">
        <v>97</v>
      </c>
      <c r="AD955" t="s">
        <v>690</v>
      </c>
      <c r="AG955" t="s">
        <v>1443</v>
      </c>
      <c r="AH955">
        <v>0</v>
      </c>
      <c r="AI955">
        <v>1037</v>
      </c>
      <c r="AJ955">
        <v>77</v>
      </c>
      <c r="AK955">
        <v>14</v>
      </c>
      <c r="AL955">
        <v>1</v>
      </c>
    </row>
    <row r="956" spans="1:38" x14ac:dyDescent="0.3">
      <c r="A956" t="s">
        <v>685</v>
      </c>
      <c r="B956">
        <v>142282</v>
      </c>
      <c r="C956">
        <v>2</v>
      </c>
      <c r="D956" t="s">
        <v>1440</v>
      </c>
      <c r="E956" t="s">
        <v>1324</v>
      </c>
      <c r="F956">
        <v>14</v>
      </c>
      <c r="G956">
        <v>22.23</v>
      </c>
      <c r="H956">
        <v>73.510000000000005</v>
      </c>
      <c r="I956">
        <v>16.73</v>
      </c>
      <c r="J956">
        <v>55.32</v>
      </c>
      <c r="K956">
        <v>2</v>
      </c>
      <c r="T956">
        <v>3</v>
      </c>
      <c r="U956">
        <v>2</v>
      </c>
      <c r="V956" t="s">
        <v>93</v>
      </c>
      <c r="W956" t="s">
        <v>286</v>
      </c>
      <c r="X956">
        <v>18</v>
      </c>
      <c r="Y956">
        <v>18</v>
      </c>
      <c r="Z956" t="s">
        <v>1441</v>
      </c>
      <c r="AA956" t="s">
        <v>1442</v>
      </c>
      <c r="AB956" t="s">
        <v>96</v>
      </c>
      <c r="AC956" t="s">
        <v>97</v>
      </c>
      <c r="AD956" t="s">
        <v>690</v>
      </c>
      <c r="AG956" t="s">
        <v>1443</v>
      </c>
      <c r="AH956">
        <v>0</v>
      </c>
      <c r="AI956">
        <v>1037</v>
      </c>
      <c r="AJ956">
        <v>77</v>
      </c>
      <c r="AK956">
        <v>14</v>
      </c>
      <c r="AL956">
        <v>1</v>
      </c>
    </row>
    <row r="957" spans="1:38" x14ac:dyDescent="0.3">
      <c r="A957" t="s">
        <v>685</v>
      </c>
      <c r="B957">
        <v>142282</v>
      </c>
      <c r="C957">
        <v>3</v>
      </c>
      <c r="D957" t="s">
        <v>1440</v>
      </c>
      <c r="E957" t="s">
        <v>1324</v>
      </c>
      <c r="F957">
        <v>14</v>
      </c>
      <c r="G957">
        <v>22.59</v>
      </c>
      <c r="H957">
        <v>74.680000000000007</v>
      </c>
      <c r="I957">
        <v>17.05</v>
      </c>
      <c r="J957">
        <v>56.39</v>
      </c>
      <c r="K957">
        <v>2</v>
      </c>
      <c r="T957">
        <v>3</v>
      </c>
      <c r="U957">
        <v>2</v>
      </c>
      <c r="V957" t="s">
        <v>93</v>
      </c>
      <c r="W957" t="s">
        <v>406</v>
      </c>
      <c r="X957">
        <v>18</v>
      </c>
      <c r="Y957">
        <v>18</v>
      </c>
      <c r="Z957" t="s">
        <v>1441</v>
      </c>
      <c r="AA957" t="s">
        <v>1442</v>
      </c>
      <c r="AB957" t="s">
        <v>96</v>
      </c>
      <c r="AC957" t="s">
        <v>97</v>
      </c>
      <c r="AD957" t="s">
        <v>690</v>
      </c>
      <c r="AG957" t="s">
        <v>1443</v>
      </c>
      <c r="AH957">
        <v>0</v>
      </c>
      <c r="AI957">
        <v>1037</v>
      </c>
      <c r="AJ957">
        <v>77</v>
      </c>
      <c r="AK957">
        <v>14</v>
      </c>
      <c r="AL957">
        <v>1</v>
      </c>
    </row>
    <row r="958" spans="1:38" x14ac:dyDescent="0.3">
      <c r="A958" t="s">
        <v>685</v>
      </c>
      <c r="B958">
        <v>142282</v>
      </c>
      <c r="C958">
        <v>4</v>
      </c>
      <c r="D958" t="s">
        <v>1440</v>
      </c>
      <c r="E958" t="s">
        <v>1324</v>
      </c>
      <c r="F958">
        <v>14</v>
      </c>
      <c r="G958">
        <v>22.42</v>
      </c>
      <c r="H958">
        <v>74.12</v>
      </c>
      <c r="I958">
        <v>17.03</v>
      </c>
      <c r="J958">
        <v>56.31</v>
      </c>
      <c r="K958">
        <v>2</v>
      </c>
      <c r="T958">
        <v>3</v>
      </c>
      <c r="U958">
        <v>2</v>
      </c>
      <c r="V958" t="s">
        <v>93</v>
      </c>
      <c r="W958" t="s">
        <v>1444</v>
      </c>
      <c r="X958">
        <v>18</v>
      </c>
      <c r="Y958">
        <v>18</v>
      </c>
      <c r="Z958" t="s">
        <v>1441</v>
      </c>
      <c r="AA958" t="s">
        <v>1442</v>
      </c>
      <c r="AB958" t="s">
        <v>96</v>
      </c>
      <c r="AC958" t="s">
        <v>97</v>
      </c>
      <c r="AD958" t="s">
        <v>690</v>
      </c>
      <c r="AG958" t="s">
        <v>1443</v>
      </c>
      <c r="AH958">
        <v>0</v>
      </c>
      <c r="AI958">
        <v>1037</v>
      </c>
      <c r="AJ958">
        <v>77</v>
      </c>
      <c r="AK958">
        <v>14</v>
      </c>
      <c r="AL958">
        <v>1</v>
      </c>
    </row>
    <row r="959" spans="1:38" x14ac:dyDescent="0.3">
      <c r="A959" t="s">
        <v>685</v>
      </c>
      <c r="B959">
        <v>142282</v>
      </c>
      <c r="C959">
        <v>5</v>
      </c>
      <c r="D959" t="s">
        <v>1440</v>
      </c>
      <c r="E959" t="s">
        <v>1324</v>
      </c>
      <c r="F959">
        <v>14</v>
      </c>
      <c r="G959">
        <v>23.03</v>
      </c>
      <c r="H959">
        <v>76.14</v>
      </c>
      <c r="I959">
        <v>17.489999999999998</v>
      </c>
      <c r="J959">
        <v>57.83</v>
      </c>
      <c r="K959">
        <v>2</v>
      </c>
      <c r="T959">
        <v>3</v>
      </c>
      <c r="U959">
        <v>2</v>
      </c>
      <c r="V959" t="s">
        <v>93</v>
      </c>
      <c r="W959" t="s">
        <v>1126</v>
      </c>
      <c r="X959">
        <v>18</v>
      </c>
      <c r="Y959">
        <v>18</v>
      </c>
      <c r="Z959" t="s">
        <v>1441</v>
      </c>
      <c r="AA959" t="s">
        <v>1442</v>
      </c>
      <c r="AB959" t="s">
        <v>96</v>
      </c>
      <c r="AC959" t="s">
        <v>97</v>
      </c>
      <c r="AD959" t="s">
        <v>690</v>
      </c>
      <c r="AG959" t="s">
        <v>1443</v>
      </c>
      <c r="AH959">
        <v>0</v>
      </c>
      <c r="AI959">
        <v>1037</v>
      </c>
      <c r="AJ959">
        <v>77</v>
      </c>
      <c r="AK959">
        <v>14</v>
      </c>
      <c r="AL959">
        <v>1</v>
      </c>
    </row>
    <row r="960" spans="1:38" x14ac:dyDescent="0.3">
      <c r="A960" t="s">
        <v>685</v>
      </c>
      <c r="B960">
        <v>142282</v>
      </c>
      <c r="C960">
        <v>6</v>
      </c>
      <c r="D960" t="s">
        <v>1440</v>
      </c>
      <c r="E960" t="s">
        <v>1324</v>
      </c>
      <c r="F960">
        <v>14</v>
      </c>
      <c r="G960">
        <v>23.52</v>
      </c>
      <c r="H960">
        <v>77.77</v>
      </c>
      <c r="I960">
        <v>17.78</v>
      </c>
      <c r="J960">
        <v>58.78</v>
      </c>
      <c r="K960">
        <v>2</v>
      </c>
      <c r="T960">
        <v>3</v>
      </c>
      <c r="U960">
        <v>2</v>
      </c>
      <c r="V960" t="s">
        <v>93</v>
      </c>
      <c r="W960" t="s">
        <v>1176</v>
      </c>
      <c r="X960">
        <v>18</v>
      </c>
      <c r="Y960">
        <v>18</v>
      </c>
      <c r="Z960" t="s">
        <v>1441</v>
      </c>
      <c r="AA960" t="s">
        <v>1442</v>
      </c>
      <c r="AB960" t="s">
        <v>96</v>
      </c>
      <c r="AC960" t="s">
        <v>97</v>
      </c>
      <c r="AD960" t="s">
        <v>690</v>
      </c>
      <c r="AG960" t="s">
        <v>1443</v>
      </c>
      <c r="AH960">
        <v>0</v>
      </c>
      <c r="AI960">
        <v>1037</v>
      </c>
      <c r="AJ960">
        <v>77</v>
      </c>
      <c r="AK960">
        <v>14</v>
      </c>
      <c r="AL960">
        <v>1</v>
      </c>
    </row>
    <row r="961" spans="1:38" x14ac:dyDescent="0.3">
      <c r="A961" t="s">
        <v>685</v>
      </c>
      <c r="B961">
        <v>142282</v>
      </c>
      <c r="C961">
        <v>7</v>
      </c>
      <c r="D961" t="s">
        <v>1440</v>
      </c>
      <c r="E961" t="s">
        <v>1324</v>
      </c>
      <c r="F961">
        <v>14</v>
      </c>
      <c r="G961">
        <v>24.06</v>
      </c>
      <c r="H961">
        <v>79.569999999999993</v>
      </c>
      <c r="I961">
        <v>18.309999999999999</v>
      </c>
      <c r="J961">
        <v>60.53</v>
      </c>
      <c r="K961">
        <v>2</v>
      </c>
      <c r="T961">
        <v>3</v>
      </c>
      <c r="U961">
        <v>2</v>
      </c>
      <c r="V961" t="s">
        <v>93</v>
      </c>
      <c r="W961" t="s">
        <v>475</v>
      </c>
      <c r="X961">
        <v>18</v>
      </c>
      <c r="Y961">
        <v>18</v>
      </c>
      <c r="Z961" t="s">
        <v>1441</v>
      </c>
      <c r="AA961" t="s">
        <v>1442</v>
      </c>
      <c r="AB961" t="s">
        <v>96</v>
      </c>
      <c r="AC961" t="s">
        <v>97</v>
      </c>
      <c r="AD961" t="s">
        <v>690</v>
      </c>
      <c r="AG961" t="s">
        <v>1443</v>
      </c>
      <c r="AH961">
        <v>0</v>
      </c>
      <c r="AI961">
        <v>1037</v>
      </c>
      <c r="AJ961">
        <v>77</v>
      </c>
      <c r="AK961">
        <v>14</v>
      </c>
      <c r="AL961">
        <v>1</v>
      </c>
    </row>
    <row r="962" spans="1:38" x14ac:dyDescent="0.3">
      <c r="A962" t="s">
        <v>685</v>
      </c>
      <c r="B962">
        <v>122950</v>
      </c>
      <c r="C962">
        <v>1</v>
      </c>
      <c r="D962" t="s">
        <v>1445</v>
      </c>
      <c r="E962" t="s">
        <v>534</v>
      </c>
      <c r="F962">
        <v>38</v>
      </c>
      <c r="G962">
        <v>19.54</v>
      </c>
      <c r="H962">
        <v>64.61</v>
      </c>
      <c r="I962">
        <v>15.07</v>
      </c>
      <c r="J962">
        <v>49.82</v>
      </c>
      <c r="K962">
        <v>9</v>
      </c>
      <c r="T962">
        <v>3</v>
      </c>
      <c r="U962">
        <v>2</v>
      </c>
      <c r="V962" t="s">
        <v>93</v>
      </c>
      <c r="W962" t="s">
        <v>275</v>
      </c>
      <c r="X962">
        <v>14</v>
      </c>
      <c r="Y962">
        <v>13</v>
      </c>
      <c r="Z962" t="s">
        <v>1446</v>
      </c>
      <c r="AA962" t="s">
        <v>1447</v>
      </c>
      <c r="AB962" t="s">
        <v>96</v>
      </c>
      <c r="AC962" t="s">
        <v>97</v>
      </c>
      <c r="AD962" t="s">
        <v>690</v>
      </c>
      <c r="AG962" t="s">
        <v>1448</v>
      </c>
      <c r="AH962">
        <v>0</v>
      </c>
      <c r="AI962">
        <v>609</v>
      </c>
      <c r="AJ962">
        <v>62</v>
      </c>
      <c r="AK962">
        <v>26</v>
      </c>
      <c r="AL962">
        <v>0.68</v>
      </c>
    </row>
    <row r="963" spans="1:38" x14ac:dyDescent="0.3">
      <c r="A963" t="s">
        <v>685</v>
      </c>
      <c r="B963">
        <v>122950</v>
      </c>
      <c r="C963">
        <v>2</v>
      </c>
      <c r="D963" t="s">
        <v>1445</v>
      </c>
      <c r="E963" t="s">
        <v>534</v>
      </c>
      <c r="F963">
        <v>38</v>
      </c>
      <c r="G963">
        <v>19.5</v>
      </c>
      <c r="H963">
        <v>64.48</v>
      </c>
      <c r="I963">
        <v>15.1</v>
      </c>
      <c r="J963">
        <v>49.95</v>
      </c>
      <c r="K963">
        <v>9</v>
      </c>
      <c r="T963">
        <v>3</v>
      </c>
      <c r="U963">
        <v>2</v>
      </c>
      <c r="V963" t="s">
        <v>93</v>
      </c>
      <c r="W963" t="s">
        <v>468</v>
      </c>
      <c r="X963">
        <v>14</v>
      </c>
      <c r="Y963">
        <v>13</v>
      </c>
      <c r="Z963" t="s">
        <v>1446</v>
      </c>
      <c r="AA963" t="s">
        <v>1447</v>
      </c>
      <c r="AB963" t="s">
        <v>96</v>
      </c>
      <c r="AC963" t="s">
        <v>97</v>
      </c>
      <c r="AD963" t="s">
        <v>690</v>
      </c>
      <c r="AG963" t="s">
        <v>1448</v>
      </c>
      <c r="AH963">
        <v>0</v>
      </c>
      <c r="AI963">
        <v>609</v>
      </c>
      <c r="AJ963">
        <v>62</v>
      </c>
      <c r="AK963">
        <v>26</v>
      </c>
      <c r="AL963">
        <v>0.68</v>
      </c>
    </row>
    <row r="964" spans="1:38" x14ac:dyDescent="0.3">
      <c r="A964" t="s">
        <v>685</v>
      </c>
      <c r="B964">
        <v>122950</v>
      </c>
      <c r="C964">
        <v>3</v>
      </c>
      <c r="D964" t="s">
        <v>1445</v>
      </c>
      <c r="E964" t="s">
        <v>534</v>
      </c>
      <c r="F964">
        <v>38</v>
      </c>
      <c r="G964">
        <v>19.52</v>
      </c>
      <c r="H964">
        <v>64.53</v>
      </c>
      <c r="I964">
        <v>15.11</v>
      </c>
      <c r="J964">
        <v>49.96</v>
      </c>
      <c r="K964">
        <v>9</v>
      </c>
      <c r="T964">
        <v>3</v>
      </c>
      <c r="U964">
        <v>2</v>
      </c>
      <c r="V964" t="s">
        <v>93</v>
      </c>
      <c r="W964" t="s">
        <v>1449</v>
      </c>
      <c r="X964">
        <v>14</v>
      </c>
      <c r="Y964">
        <v>13</v>
      </c>
      <c r="Z964" t="s">
        <v>1446</v>
      </c>
      <c r="AA964" t="s">
        <v>1447</v>
      </c>
      <c r="AB964" t="s">
        <v>96</v>
      </c>
      <c r="AC964" t="s">
        <v>97</v>
      </c>
      <c r="AD964" t="s">
        <v>690</v>
      </c>
      <c r="AG964" t="s">
        <v>1448</v>
      </c>
      <c r="AH964">
        <v>0</v>
      </c>
      <c r="AI964">
        <v>609</v>
      </c>
      <c r="AJ964">
        <v>62</v>
      </c>
      <c r="AK964">
        <v>26</v>
      </c>
      <c r="AL964">
        <v>0.68</v>
      </c>
    </row>
    <row r="965" spans="1:38" x14ac:dyDescent="0.3">
      <c r="A965" t="s">
        <v>685</v>
      </c>
      <c r="B965">
        <v>122950</v>
      </c>
      <c r="C965">
        <v>4</v>
      </c>
      <c r="D965" t="s">
        <v>1445</v>
      </c>
      <c r="E965" t="s">
        <v>534</v>
      </c>
      <c r="F965">
        <v>38</v>
      </c>
      <c r="G965">
        <v>19.809999999999999</v>
      </c>
      <c r="H965">
        <v>65.52</v>
      </c>
      <c r="I965">
        <v>15.09</v>
      </c>
      <c r="J965">
        <v>49.89</v>
      </c>
      <c r="K965">
        <v>9</v>
      </c>
      <c r="T965">
        <v>3</v>
      </c>
      <c r="U965">
        <v>2</v>
      </c>
      <c r="V965" t="s">
        <v>93</v>
      </c>
      <c r="W965" t="s">
        <v>198</v>
      </c>
      <c r="X965">
        <v>14</v>
      </c>
      <c r="Y965">
        <v>13</v>
      </c>
      <c r="Z965" t="s">
        <v>1446</v>
      </c>
      <c r="AA965" t="s">
        <v>1447</v>
      </c>
      <c r="AB965" t="s">
        <v>96</v>
      </c>
      <c r="AC965" t="s">
        <v>97</v>
      </c>
      <c r="AD965" t="s">
        <v>690</v>
      </c>
      <c r="AG965" t="s">
        <v>1448</v>
      </c>
      <c r="AH965">
        <v>0</v>
      </c>
      <c r="AI965">
        <v>609</v>
      </c>
      <c r="AJ965">
        <v>62</v>
      </c>
      <c r="AK965">
        <v>26</v>
      </c>
      <c r="AL965">
        <v>0.68</v>
      </c>
    </row>
    <row r="966" spans="1:38" x14ac:dyDescent="0.3">
      <c r="A966" t="s">
        <v>685</v>
      </c>
      <c r="B966">
        <v>122950</v>
      </c>
      <c r="C966">
        <v>5</v>
      </c>
      <c r="D966" t="s">
        <v>1445</v>
      </c>
      <c r="E966" t="s">
        <v>534</v>
      </c>
      <c r="F966">
        <v>38</v>
      </c>
      <c r="G966">
        <v>19.89</v>
      </c>
      <c r="H966">
        <v>65.77</v>
      </c>
      <c r="I966">
        <v>15.06</v>
      </c>
      <c r="J966">
        <v>49.8</v>
      </c>
      <c r="K966">
        <v>1</v>
      </c>
      <c r="T966">
        <v>3</v>
      </c>
      <c r="U966">
        <v>2</v>
      </c>
      <c r="V966" t="s">
        <v>93</v>
      </c>
      <c r="W966" t="s">
        <v>197</v>
      </c>
      <c r="X966">
        <v>14</v>
      </c>
      <c r="Y966">
        <v>13</v>
      </c>
      <c r="Z966" t="s">
        <v>1446</v>
      </c>
      <c r="AA966" t="s">
        <v>1447</v>
      </c>
      <c r="AB966" t="s">
        <v>96</v>
      </c>
      <c r="AC966" t="s">
        <v>97</v>
      </c>
      <c r="AD966" t="s">
        <v>690</v>
      </c>
      <c r="AG966" t="s">
        <v>1448</v>
      </c>
      <c r="AH966">
        <v>0</v>
      </c>
      <c r="AI966">
        <v>609</v>
      </c>
      <c r="AJ966">
        <v>62</v>
      </c>
      <c r="AK966">
        <v>26</v>
      </c>
      <c r="AL966">
        <v>0.68</v>
      </c>
    </row>
    <row r="967" spans="1:38" x14ac:dyDescent="0.3">
      <c r="A967" t="s">
        <v>685</v>
      </c>
      <c r="B967">
        <v>122950</v>
      </c>
      <c r="C967">
        <v>6</v>
      </c>
      <c r="D967" t="s">
        <v>1445</v>
      </c>
      <c r="E967" t="s">
        <v>534</v>
      </c>
      <c r="F967">
        <v>38</v>
      </c>
      <c r="G967">
        <v>19.690000000000001</v>
      </c>
      <c r="H967">
        <v>65.12</v>
      </c>
      <c r="I967">
        <v>15.11</v>
      </c>
      <c r="J967">
        <v>49.98</v>
      </c>
      <c r="K967">
        <v>1</v>
      </c>
      <c r="T967">
        <v>3</v>
      </c>
      <c r="U967">
        <v>2</v>
      </c>
      <c r="V967" t="s">
        <v>93</v>
      </c>
      <c r="W967" t="s">
        <v>1450</v>
      </c>
      <c r="X967">
        <v>14</v>
      </c>
      <c r="Y967">
        <v>13</v>
      </c>
      <c r="Z967" t="s">
        <v>1446</v>
      </c>
      <c r="AA967" t="s">
        <v>1447</v>
      </c>
      <c r="AB967" t="s">
        <v>96</v>
      </c>
      <c r="AC967" t="s">
        <v>97</v>
      </c>
      <c r="AD967" t="s">
        <v>690</v>
      </c>
      <c r="AG967" t="s">
        <v>1448</v>
      </c>
      <c r="AH967">
        <v>0</v>
      </c>
      <c r="AI967">
        <v>609</v>
      </c>
      <c r="AJ967">
        <v>62</v>
      </c>
      <c r="AK967">
        <v>26</v>
      </c>
      <c r="AL967">
        <v>0.68</v>
      </c>
    </row>
    <row r="968" spans="1:38" x14ac:dyDescent="0.3">
      <c r="A968" t="s">
        <v>685</v>
      </c>
      <c r="B968">
        <v>121881</v>
      </c>
      <c r="C968">
        <v>1</v>
      </c>
      <c r="D968" t="s">
        <v>1451</v>
      </c>
      <c r="E968" t="s">
        <v>1048</v>
      </c>
      <c r="F968">
        <v>21</v>
      </c>
      <c r="G968">
        <v>13.91</v>
      </c>
      <c r="H968">
        <v>46.01</v>
      </c>
      <c r="I968">
        <v>10.58</v>
      </c>
      <c r="J968">
        <v>35</v>
      </c>
      <c r="K968">
        <v>7</v>
      </c>
      <c r="T968">
        <v>1</v>
      </c>
      <c r="U968">
        <v>1</v>
      </c>
      <c r="V968" t="s">
        <v>93</v>
      </c>
      <c r="W968">
        <v>46</v>
      </c>
      <c r="X968">
        <v>10</v>
      </c>
      <c r="Y968">
        <v>10</v>
      </c>
      <c r="Z968" t="s">
        <v>1452</v>
      </c>
      <c r="AA968" t="s">
        <v>1453</v>
      </c>
      <c r="AB968" t="s">
        <v>96</v>
      </c>
      <c r="AC968" t="s">
        <v>97</v>
      </c>
      <c r="AD968" t="s">
        <v>690</v>
      </c>
      <c r="AG968" t="s">
        <v>1454</v>
      </c>
      <c r="AH968">
        <v>0</v>
      </c>
      <c r="AI968">
        <v>480</v>
      </c>
      <c r="AJ968">
        <v>58</v>
      </c>
      <c r="AK968">
        <v>14</v>
      </c>
      <c r="AL968">
        <v>0.67</v>
      </c>
    </row>
    <row r="969" spans="1:38" x14ac:dyDescent="0.3">
      <c r="A969" t="s">
        <v>685</v>
      </c>
      <c r="B969">
        <v>121881</v>
      </c>
      <c r="C969">
        <v>2</v>
      </c>
      <c r="D969" t="s">
        <v>1451</v>
      </c>
      <c r="E969" t="s">
        <v>1048</v>
      </c>
      <c r="F969">
        <v>21</v>
      </c>
      <c r="G969">
        <v>18.34</v>
      </c>
      <c r="H969">
        <v>60.64</v>
      </c>
      <c r="I969">
        <v>13.45</v>
      </c>
      <c r="J969">
        <v>44.49</v>
      </c>
      <c r="K969">
        <v>7</v>
      </c>
      <c r="T969">
        <v>2</v>
      </c>
      <c r="U969">
        <v>1</v>
      </c>
      <c r="V969" t="s">
        <v>93</v>
      </c>
      <c r="W969">
        <v>60</v>
      </c>
      <c r="X969">
        <v>10</v>
      </c>
      <c r="Y969">
        <v>10</v>
      </c>
      <c r="Z969" t="s">
        <v>1452</v>
      </c>
      <c r="AA969" t="s">
        <v>1453</v>
      </c>
      <c r="AB969" t="s">
        <v>96</v>
      </c>
      <c r="AC969" t="s">
        <v>97</v>
      </c>
      <c r="AD969" t="s">
        <v>690</v>
      </c>
      <c r="AG969" t="s">
        <v>1454</v>
      </c>
      <c r="AH969">
        <v>0</v>
      </c>
      <c r="AI969">
        <v>480</v>
      </c>
      <c r="AJ969">
        <v>58</v>
      </c>
      <c r="AK969">
        <v>14</v>
      </c>
      <c r="AL969">
        <v>0.67</v>
      </c>
    </row>
    <row r="970" spans="1:38" x14ac:dyDescent="0.3">
      <c r="A970" t="s">
        <v>685</v>
      </c>
      <c r="B970">
        <v>121881</v>
      </c>
      <c r="C970">
        <v>3</v>
      </c>
      <c r="D970" t="s">
        <v>1451</v>
      </c>
      <c r="E970" t="s">
        <v>1048</v>
      </c>
      <c r="F970">
        <v>21</v>
      </c>
      <c r="G970">
        <v>19.57</v>
      </c>
      <c r="H970">
        <v>64.709999999999994</v>
      </c>
      <c r="I970">
        <v>14.42</v>
      </c>
      <c r="J970">
        <v>47.68</v>
      </c>
      <c r="K970">
        <v>7</v>
      </c>
      <c r="T970">
        <v>3</v>
      </c>
      <c r="U970">
        <v>1</v>
      </c>
      <c r="V970" t="s">
        <v>93</v>
      </c>
      <c r="W970">
        <v>64</v>
      </c>
      <c r="X970">
        <v>10</v>
      </c>
      <c r="Y970">
        <v>10</v>
      </c>
      <c r="Z970" t="s">
        <v>1452</v>
      </c>
      <c r="AA970" t="s">
        <v>1453</v>
      </c>
      <c r="AB970" t="s">
        <v>96</v>
      </c>
      <c r="AC970" t="s">
        <v>97</v>
      </c>
      <c r="AD970" t="s">
        <v>690</v>
      </c>
      <c r="AG970" t="s">
        <v>1454</v>
      </c>
      <c r="AH970">
        <v>0</v>
      </c>
      <c r="AI970">
        <v>480</v>
      </c>
      <c r="AJ970">
        <v>58</v>
      </c>
      <c r="AK970">
        <v>14</v>
      </c>
      <c r="AL970">
        <v>0.67</v>
      </c>
    </row>
    <row r="971" spans="1:38" x14ac:dyDescent="0.3">
      <c r="A971" t="s">
        <v>685</v>
      </c>
      <c r="B971">
        <v>101510</v>
      </c>
      <c r="C971">
        <v>1</v>
      </c>
      <c r="D971" t="s">
        <v>1455</v>
      </c>
      <c r="E971" t="s">
        <v>1250</v>
      </c>
      <c r="F971">
        <v>19</v>
      </c>
      <c r="G971">
        <v>23.25</v>
      </c>
      <c r="H971">
        <v>76.87</v>
      </c>
      <c r="I971">
        <v>17.96</v>
      </c>
      <c r="J971">
        <v>59.4</v>
      </c>
      <c r="K971">
        <v>12</v>
      </c>
      <c r="T971">
        <v>3</v>
      </c>
      <c r="U971">
        <v>2</v>
      </c>
      <c r="V971" t="s">
        <v>93</v>
      </c>
      <c r="W971">
        <v>76</v>
      </c>
      <c r="X971">
        <v>5</v>
      </c>
      <c r="Y971">
        <v>5</v>
      </c>
      <c r="Z971" t="s">
        <v>1456</v>
      </c>
      <c r="AA971" t="s">
        <v>1457</v>
      </c>
      <c r="AB971" t="s">
        <v>96</v>
      </c>
      <c r="AC971" t="s">
        <v>97</v>
      </c>
      <c r="AD971" t="s">
        <v>690</v>
      </c>
      <c r="AG971" t="s">
        <v>1458</v>
      </c>
      <c r="AH971">
        <v>0</v>
      </c>
      <c r="AI971">
        <v>246</v>
      </c>
      <c r="AJ971">
        <v>54</v>
      </c>
      <c r="AK971">
        <v>19</v>
      </c>
      <c r="AL971">
        <v>1</v>
      </c>
    </row>
    <row r="972" spans="1:38" x14ac:dyDescent="0.3">
      <c r="A972" t="s">
        <v>685</v>
      </c>
      <c r="B972">
        <v>101510</v>
      </c>
      <c r="C972">
        <v>2</v>
      </c>
      <c r="D972" t="s">
        <v>1455</v>
      </c>
      <c r="E972" t="s">
        <v>1250</v>
      </c>
      <c r="F972">
        <v>19</v>
      </c>
      <c r="G972">
        <v>25.36</v>
      </c>
      <c r="H972">
        <v>83.85</v>
      </c>
      <c r="I972">
        <v>19.600000000000001</v>
      </c>
      <c r="J972">
        <v>64.8</v>
      </c>
      <c r="K972">
        <v>4</v>
      </c>
      <c r="T972">
        <v>3</v>
      </c>
      <c r="U972">
        <v>2</v>
      </c>
      <c r="V972" t="s">
        <v>93</v>
      </c>
      <c r="W972">
        <v>83</v>
      </c>
      <c r="X972">
        <v>5</v>
      </c>
      <c r="Y972">
        <v>5</v>
      </c>
      <c r="Z972" t="s">
        <v>1456</v>
      </c>
      <c r="AA972" t="s">
        <v>1457</v>
      </c>
      <c r="AB972" t="s">
        <v>96</v>
      </c>
      <c r="AC972" t="s">
        <v>97</v>
      </c>
      <c r="AD972" t="s">
        <v>690</v>
      </c>
      <c r="AG972" t="s">
        <v>1458</v>
      </c>
      <c r="AH972">
        <v>0</v>
      </c>
      <c r="AI972">
        <v>246</v>
      </c>
      <c r="AJ972">
        <v>54</v>
      </c>
      <c r="AK972">
        <v>19</v>
      </c>
      <c r="AL972">
        <v>1</v>
      </c>
    </row>
    <row r="973" spans="1:38" x14ac:dyDescent="0.3">
      <c r="A973" t="s">
        <v>685</v>
      </c>
      <c r="B973">
        <v>101510</v>
      </c>
      <c r="C973">
        <v>3</v>
      </c>
      <c r="D973" t="s">
        <v>1455</v>
      </c>
      <c r="E973" t="s">
        <v>1250</v>
      </c>
      <c r="F973">
        <v>19</v>
      </c>
      <c r="G973">
        <v>31.52</v>
      </c>
      <c r="H973">
        <v>104.22</v>
      </c>
      <c r="I973">
        <v>24.36</v>
      </c>
      <c r="J973">
        <v>80.55</v>
      </c>
      <c r="K973">
        <v>3</v>
      </c>
      <c r="T973">
        <v>3</v>
      </c>
      <c r="U973">
        <v>2</v>
      </c>
      <c r="V973" t="s">
        <v>93</v>
      </c>
      <c r="W973">
        <v>104</v>
      </c>
      <c r="X973">
        <v>5</v>
      </c>
      <c r="Y973">
        <v>5</v>
      </c>
      <c r="Z973" t="s">
        <v>1456</v>
      </c>
      <c r="AA973" t="s">
        <v>1457</v>
      </c>
      <c r="AB973" t="s">
        <v>96</v>
      </c>
      <c r="AC973" t="s">
        <v>97</v>
      </c>
      <c r="AD973" t="s">
        <v>690</v>
      </c>
      <c r="AG973" t="s">
        <v>1458</v>
      </c>
      <c r="AH973">
        <v>0</v>
      </c>
      <c r="AI973">
        <v>246</v>
      </c>
      <c r="AJ973">
        <v>54</v>
      </c>
      <c r="AK973">
        <v>19</v>
      </c>
      <c r="AL973">
        <v>1</v>
      </c>
    </row>
    <row r="974" spans="1:38" x14ac:dyDescent="0.3">
      <c r="A974" t="s">
        <v>1459</v>
      </c>
      <c r="B974">
        <v>134486</v>
      </c>
      <c r="C974">
        <v>1</v>
      </c>
      <c r="D974" t="s">
        <v>1460</v>
      </c>
      <c r="E974" t="s">
        <v>328</v>
      </c>
      <c r="F974">
        <v>8</v>
      </c>
      <c r="G974">
        <v>22.98</v>
      </c>
      <c r="H974">
        <v>75.989999999999995</v>
      </c>
      <c r="I974">
        <v>19.36</v>
      </c>
      <c r="J974">
        <v>64</v>
      </c>
      <c r="K974">
        <v>8</v>
      </c>
      <c r="T974">
        <v>3</v>
      </c>
      <c r="U974">
        <v>2</v>
      </c>
      <c r="V974" t="s">
        <v>93</v>
      </c>
      <c r="W974">
        <v>75</v>
      </c>
      <c r="X974">
        <v>7</v>
      </c>
      <c r="Y974">
        <v>7</v>
      </c>
      <c r="Z974" t="s">
        <v>1461</v>
      </c>
      <c r="AA974" t="s">
        <v>1462</v>
      </c>
      <c r="AB974" t="s">
        <v>96</v>
      </c>
      <c r="AC974" t="s">
        <v>97</v>
      </c>
      <c r="AD974" t="s">
        <v>1463</v>
      </c>
      <c r="AG974" t="s">
        <v>1464</v>
      </c>
      <c r="AH974">
        <v>0</v>
      </c>
      <c r="AI974">
        <v>295</v>
      </c>
      <c r="AJ974">
        <v>56</v>
      </c>
      <c r="AK974">
        <v>8</v>
      </c>
      <c r="AL974">
        <v>1</v>
      </c>
    </row>
    <row r="975" spans="1:38" x14ac:dyDescent="0.3">
      <c r="A975" t="s">
        <v>1459</v>
      </c>
      <c r="B975">
        <v>27080</v>
      </c>
      <c r="C975">
        <v>1</v>
      </c>
      <c r="D975" t="s">
        <v>1465</v>
      </c>
      <c r="E975" t="s">
        <v>1466</v>
      </c>
      <c r="F975">
        <v>209</v>
      </c>
      <c r="G975">
        <v>24.27</v>
      </c>
      <c r="H975">
        <v>80.239999999999995</v>
      </c>
      <c r="I975">
        <v>18.11</v>
      </c>
      <c r="J975">
        <v>59.88</v>
      </c>
      <c r="K975">
        <v>67</v>
      </c>
      <c r="T975">
        <v>3</v>
      </c>
      <c r="U975">
        <v>1</v>
      </c>
      <c r="V975" t="s">
        <v>93</v>
      </c>
      <c r="W975">
        <v>80</v>
      </c>
      <c r="X975">
        <v>15</v>
      </c>
      <c r="Y975">
        <v>13</v>
      </c>
      <c r="Z975" t="s">
        <v>1467</v>
      </c>
      <c r="AA975" t="s">
        <v>1468</v>
      </c>
      <c r="AB975" t="s">
        <v>96</v>
      </c>
      <c r="AC975" t="s">
        <v>97</v>
      </c>
      <c r="AD975" t="s">
        <v>1463</v>
      </c>
      <c r="AG975" t="s">
        <v>1469</v>
      </c>
      <c r="AH975">
        <v>0</v>
      </c>
      <c r="AI975">
        <v>250</v>
      </c>
      <c r="AJ975">
        <v>27</v>
      </c>
      <c r="AK975">
        <v>213</v>
      </c>
      <c r="AL975">
        <v>1.02</v>
      </c>
    </row>
    <row r="976" spans="1:38" x14ac:dyDescent="0.3">
      <c r="A976" t="s">
        <v>1459</v>
      </c>
      <c r="B976">
        <v>27080</v>
      </c>
      <c r="C976">
        <v>2</v>
      </c>
      <c r="D976" t="s">
        <v>1465</v>
      </c>
      <c r="E976" t="s">
        <v>1466</v>
      </c>
      <c r="F976">
        <v>209</v>
      </c>
      <c r="G976">
        <v>28.87</v>
      </c>
      <c r="H976">
        <v>95.44</v>
      </c>
      <c r="I976">
        <v>23.17</v>
      </c>
      <c r="J976">
        <v>76.62</v>
      </c>
      <c r="K976">
        <v>56</v>
      </c>
      <c r="T976">
        <v>3</v>
      </c>
      <c r="U976">
        <v>2</v>
      </c>
      <c r="V976" t="s">
        <v>93</v>
      </c>
      <c r="W976">
        <v>95</v>
      </c>
      <c r="X976">
        <v>15</v>
      </c>
      <c r="Y976">
        <v>13</v>
      </c>
      <c r="Z976" t="s">
        <v>1467</v>
      </c>
      <c r="AA976" t="s">
        <v>1468</v>
      </c>
      <c r="AB976" t="s">
        <v>96</v>
      </c>
      <c r="AC976" t="s">
        <v>97</v>
      </c>
      <c r="AD976" t="s">
        <v>1463</v>
      </c>
      <c r="AG976" t="s">
        <v>1469</v>
      </c>
      <c r="AH976">
        <v>0</v>
      </c>
      <c r="AI976">
        <v>250</v>
      </c>
      <c r="AJ976">
        <v>27</v>
      </c>
      <c r="AK976">
        <v>213</v>
      </c>
      <c r="AL976">
        <v>1.02</v>
      </c>
    </row>
    <row r="977" spans="1:38" x14ac:dyDescent="0.3">
      <c r="A977" t="s">
        <v>1459</v>
      </c>
      <c r="B977">
        <v>27080</v>
      </c>
      <c r="C977">
        <v>3</v>
      </c>
      <c r="D977" t="s">
        <v>1465</v>
      </c>
      <c r="E977" t="s">
        <v>1466</v>
      </c>
      <c r="F977">
        <v>209</v>
      </c>
      <c r="G977">
        <v>32.46</v>
      </c>
      <c r="H977">
        <v>107.33</v>
      </c>
      <c r="I977">
        <v>25.66</v>
      </c>
      <c r="J977">
        <v>84.84</v>
      </c>
      <c r="K977">
        <v>86</v>
      </c>
      <c r="T977">
        <v>3</v>
      </c>
      <c r="U977">
        <v>2</v>
      </c>
      <c r="V977" t="s">
        <v>93</v>
      </c>
      <c r="W977">
        <v>107</v>
      </c>
      <c r="X977">
        <v>15</v>
      </c>
      <c r="Y977">
        <v>13</v>
      </c>
      <c r="Z977" t="s">
        <v>1467</v>
      </c>
      <c r="AA977" t="s">
        <v>1468</v>
      </c>
      <c r="AB977" t="s">
        <v>96</v>
      </c>
      <c r="AC977" t="s">
        <v>97</v>
      </c>
      <c r="AD977" t="s">
        <v>1463</v>
      </c>
      <c r="AG977" t="s">
        <v>1469</v>
      </c>
      <c r="AH977">
        <v>0</v>
      </c>
      <c r="AI977">
        <v>250</v>
      </c>
      <c r="AJ977">
        <v>27</v>
      </c>
      <c r="AK977">
        <v>213</v>
      </c>
      <c r="AL977">
        <v>1.02</v>
      </c>
    </row>
    <row r="978" spans="1:38" x14ac:dyDescent="0.3">
      <c r="A978" t="s">
        <v>1459</v>
      </c>
      <c r="B978">
        <v>13561</v>
      </c>
      <c r="C978">
        <v>1</v>
      </c>
      <c r="D978" t="s">
        <v>1470</v>
      </c>
      <c r="E978" t="s">
        <v>822</v>
      </c>
      <c r="F978">
        <v>9</v>
      </c>
      <c r="G978">
        <v>22.34</v>
      </c>
      <c r="H978">
        <v>73.88</v>
      </c>
      <c r="I978">
        <v>20.260000000000002</v>
      </c>
      <c r="J978">
        <v>66.98</v>
      </c>
      <c r="K978">
        <v>2</v>
      </c>
      <c r="T978">
        <v>3</v>
      </c>
      <c r="U978">
        <v>1</v>
      </c>
      <c r="V978" t="s">
        <v>93</v>
      </c>
      <c r="W978" t="s">
        <v>1243</v>
      </c>
      <c r="X978">
        <v>6</v>
      </c>
      <c r="Y978">
        <v>6</v>
      </c>
      <c r="Z978" t="s">
        <v>1471</v>
      </c>
      <c r="AA978" t="s">
        <v>1472</v>
      </c>
      <c r="AB978" t="s">
        <v>96</v>
      </c>
      <c r="AC978" t="s">
        <v>97</v>
      </c>
      <c r="AD978" t="s">
        <v>1463</v>
      </c>
      <c r="AG978" t="s">
        <v>1473</v>
      </c>
      <c r="AH978">
        <v>0</v>
      </c>
      <c r="AI978">
        <v>294</v>
      </c>
      <c r="AJ978">
        <v>64</v>
      </c>
      <c r="AK978">
        <v>8</v>
      </c>
      <c r="AL978">
        <v>0.89</v>
      </c>
    </row>
    <row r="979" spans="1:38" x14ac:dyDescent="0.3">
      <c r="A979" t="s">
        <v>1459</v>
      </c>
      <c r="B979">
        <v>13561</v>
      </c>
      <c r="C979">
        <v>2</v>
      </c>
      <c r="D979" t="s">
        <v>1470</v>
      </c>
      <c r="E979" t="s">
        <v>822</v>
      </c>
      <c r="F979">
        <v>9</v>
      </c>
      <c r="G979">
        <v>22.46</v>
      </c>
      <c r="H979">
        <v>74.25</v>
      </c>
      <c r="I979">
        <v>20.36</v>
      </c>
      <c r="J979">
        <v>67.31</v>
      </c>
      <c r="K979">
        <v>7</v>
      </c>
      <c r="T979">
        <v>3</v>
      </c>
      <c r="U979">
        <v>2</v>
      </c>
      <c r="V979" t="s">
        <v>93</v>
      </c>
      <c r="W979" t="s">
        <v>876</v>
      </c>
      <c r="X979">
        <v>6</v>
      </c>
      <c r="Y979">
        <v>6</v>
      </c>
      <c r="Z979" t="s">
        <v>1471</v>
      </c>
      <c r="AA979" t="s">
        <v>1472</v>
      </c>
      <c r="AB979" t="s">
        <v>96</v>
      </c>
      <c r="AC979" t="s">
        <v>97</v>
      </c>
      <c r="AD979" t="s">
        <v>1463</v>
      </c>
      <c r="AG979" t="s">
        <v>1473</v>
      </c>
      <c r="AH979">
        <v>0</v>
      </c>
      <c r="AI979">
        <v>294</v>
      </c>
      <c r="AJ979">
        <v>64</v>
      </c>
      <c r="AK979">
        <v>8</v>
      </c>
      <c r="AL979">
        <v>0.89</v>
      </c>
    </row>
    <row r="980" spans="1:38" x14ac:dyDescent="0.3">
      <c r="A980" t="s">
        <v>1459</v>
      </c>
      <c r="B980">
        <v>142022</v>
      </c>
      <c r="C980">
        <v>1</v>
      </c>
      <c r="D980" t="s">
        <v>1474</v>
      </c>
      <c r="E980" t="s">
        <v>1475</v>
      </c>
      <c r="F980">
        <v>2277</v>
      </c>
      <c r="G980">
        <v>24.93</v>
      </c>
      <c r="H980">
        <v>82.42</v>
      </c>
      <c r="I980">
        <v>18.14</v>
      </c>
      <c r="J980">
        <v>59.97</v>
      </c>
      <c r="K980">
        <v>571</v>
      </c>
      <c r="T980">
        <v>3</v>
      </c>
      <c r="U980">
        <v>2</v>
      </c>
      <c r="V980" t="s">
        <v>93</v>
      </c>
      <c r="W980" t="s">
        <v>152</v>
      </c>
      <c r="X980">
        <v>34</v>
      </c>
      <c r="Y980">
        <v>7</v>
      </c>
      <c r="Z980" t="s">
        <v>1476</v>
      </c>
      <c r="AA980" t="s">
        <v>1477</v>
      </c>
      <c r="AB980" t="s">
        <v>96</v>
      </c>
      <c r="AC980" t="s">
        <v>97</v>
      </c>
      <c r="AD980" t="s">
        <v>1463</v>
      </c>
      <c r="AG980" t="s">
        <v>285</v>
      </c>
      <c r="AH980">
        <v>0</v>
      </c>
      <c r="AI980">
        <v>260</v>
      </c>
      <c r="AJ980">
        <v>15</v>
      </c>
      <c r="AK980">
        <v>2961</v>
      </c>
      <c r="AL980">
        <v>1.3</v>
      </c>
    </row>
    <row r="981" spans="1:38" x14ac:dyDescent="0.3">
      <c r="A981" t="s">
        <v>1459</v>
      </c>
      <c r="B981">
        <v>142022</v>
      </c>
      <c r="C981">
        <v>2</v>
      </c>
      <c r="D981" t="s">
        <v>1474</v>
      </c>
      <c r="E981" t="s">
        <v>1475</v>
      </c>
      <c r="F981">
        <v>2277</v>
      </c>
      <c r="G981">
        <v>24.98</v>
      </c>
      <c r="H981">
        <v>82.61</v>
      </c>
      <c r="I981">
        <v>18.14</v>
      </c>
      <c r="J981">
        <v>59.99</v>
      </c>
      <c r="K981">
        <v>168</v>
      </c>
      <c r="T981">
        <v>2</v>
      </c>
      <c r="U981">
        <v>2</v>
      </c>
      <c r="V981" t="s">
        <v>93</v>
      </c>
      <c r="W981" t="s">
        <v>748</v>
      </c>
      <c r="X981">
        <v>34</v>
      </c>
      <c r="Y981">
        <v>7</v>
      </c>
      <c r="Z981" t="s">
        <v>1476</v>
      </c>
      <c r="AA981" t="s">
        <v>1477</v>
      </c>
      <c r="AB981" t="s">
        <v>96</v>
      </c>
      <c r="AC981" t="s">
        <v>97</v>
      </c>
      <c r="AD981" t="s">
        <v>1463</v>
      </c>
      <c r="AG981" t="s">
        <v>285</v>
      </c>
      <c r="AH981">
        <v>0</v>
      </c>
      <c r="AI981">
        <v>260</v>
      </c>
      <c r="AJ981">
        <v>15</v>
      </c>
      <c r="AK981">
        <v>2961</v>
      </c>
      <c r="AL981">
        <v>1.3</v>
      </c>
    </row>
    <row r="982" spans="1:38" x14ac:dyDescent="0.3">
      <c r="A982" t="s">
        <v>1459</v>
      </c>
      <c r="B982">
        <v>142022</v>
      </c>
      <c r="C982">
        <v>3</v>
      </c>
      <c r="D982" t="s">
        <v>1474</v>
      </c>
      <c r="E982" t="s">
        <v>1475</v>
      </c>
      <c r="F982">
        <v>2277</v>
      </c>
      <c r="G982">
        <v>24.98</v>
      </c>
      <c r="H982">
        <v>82.58</v>
      </c>
      <c r="I982">
        <v>18.13</v>
      </c>
      <c r="J982">
        <v>59.95</v>
      </c>
      <c r="K982">
        <v>12</v>
      </c>
      <c r="T982">
        <v>3</v>
      </c>
      <c r="U982">
        <v>2</v>
      </c>
      <c r="V982" t="s">
        <v>93</v>
      </c>
      <c r="W982" t="s">
        <v>503</v>
      </c>
      <c r="X982">
        <v>34</v>
      </c>
      <c r="Y982">
        <v>7</v>
      </c>
      <c r="Z982" t="s">
        <v>1476</v>
      </c>
      <c r="AA982" t="s">
        <v>1477</v>
      </c>
      <c r="AB982" t="s">
        <v>96</v>
      </c>
      <c r="AC982" t="s">
        <v>97</v>
      </c>
      <c r="AD982" t="s">
        <v>1463</v>
      </c>
      <c r="AG982" t="s">
        <v>285</v>
      </c>
      <c r="AH982">
        <v>0</v>
      </c>
      <c r="AI982">
        <v>260</v>
      </c>
      <c r="AJ982">
        <v>15</v>
      </c>
      <c r="AK982">
        <v>2961</v>
      </c>
      <c r="AL982">
        <v>1.3</v>
      </c>
    </row>
    <row r="983" spans="1:38" x14ac:dyDescent="0.3">
      <c r="A983" t="s">
        <v>1459</v>
      </c>
      <c r="B983">
        <v>142022</v>
      </c>
      <c r="C983">
        <v>4</v>
      </c>
      <c r="D983" t="s">
        <v>1474</v>
      </c>
      <c r="E983" t="s">
        <v>1475</v>
      </c>
      <c r="F983">
        <v>2277</v>
      </c>
      <c r="G983">
        <v>24.93</v>
      </c>
      <c r="H983">
        <v>82.42</v>
      </c>
      <c r="I983">
        <v>18.14</v>
      </c>
      <c r="J983">
        <v>59.97</v>
      </c>
      <c r="K983">
        <v>6</v>
      </c>
      <c r="T983">
        <v>3</v>
      </c>
      <c r="U983">
        <v>2</v>
      </c>
      <c r="V983" t="s">
        <v>93</v>
      </c>
      <c r="W983" t="s">
        <v>1074</v>
      </c>
      <c r="X983">
        <v>34</v>
      </c>
      <c r="Y983">
        <v>7</v>
      </c>
      <c r="Z983" t="s">
        <v>1476</v>
      </c>
      <c r="AA983" t="s">
        <v>1477</v>
      </c>
      <c r="AB983" t="s">
        <v>96</v>
      </c>
      <c r="AC983" t="s">
        <v>97</v>
      </c>
      <c r="AD983" t="s">
        <v>1463</v>
      </c>
      <c r="AG983" t="s">
        <v>285</v>
      </c>
      <c r="AH983">
        <v>0</v>
      </c>
      <c r="AI983">
        <v>260</v>
      </c>
      <c r="AJ983">
        <v>15</v>
      </c>
      <c r="AK983">
        <v>2961</v>
      </c>
      <c r="AL983">
        <v>1.3</v>
      </c>
    </row>
    <row r="984" spans="1:38" x14ac:dyDescent="0.3">
      <c r="A984" t="s">
        <v>1459</v>
      </c>
      <c r="B984">
        <v>142022</v>
      </c>
      <c r="C984">
        <v>5</v>
      </c>
      <c r="D984" t="s">
        <v>1474</v>
      </c>
      <c r="E984" t="s">
        <v>1475</v>
      </c>
      <c r="F984">
        <v>2277</v>
      </c>
      <c r="G984">
        <v>30.98</v>
      </c>
      <c r="H984">
        <v>102.44</v>
      </c>
      <c r="I984">
        <v>22.67</v>
      </c>
      <c r="J984">
        <v>74.97</v>
      </c>
      <c r="K984">
        <v>293</v>
      </c>
      <c r="T984">
        <v>3</v>
      </c>
      <c r="U984">
        <v>2</v>
      </c>
      <c r="V984" t="s">
        <v>93</v>
      </c>
      <c r="W984" t="s">
        <v>1262</v>
      </c>
      <c r="X984">
        <v>34</v>
      </c>
      <c r="Y984">
        <v>7</v>
      </c>
      <c r="Z984" t="s">
        <v>1476</v>
      </c>
      <c r="AA984" t="s">
        <v>1477</v>
      </c>
      <c r="AB984" t="s">
        <v>96</v>
      </c>
      <c r="AC984" t="s">
        <v>97</v>
      </c>
      <c r="AD984" t="s">
        <v>1463</v>
      </c>
      <c r="AG984" t="s">
        <v>285</v>
      </c>
      <c r="AH984">
        <v>0</v>
      </c>
      <c r="AI984">
        <v>260</v>
      </c>
      <c r="AJ984">
        <v>15</v>
      </c>
      <c r="AK984">
        <v>2961</v>
      </c>
      <c r="AL984">
        <v>1.3</v>
      </c>
    </row>
    <row r="985" spans="1:38" x14ac:dyDescent="0.3">
      <c r="A985" t="s">
        <v>1459</v>
      </c>
      <c r="B985">
        <v>142022</v>
      </c>
      <c r="C985">
        <v>6</v>
      </c>
      <c r="D985" t="s">
        <v>1474</v>
      </c>
      <c r="E985" t="s">
        <v>1475</v>
      </c>
      <c r="F985">
        <v>2277</v>
      </c>
      <c r="G985">
        <v>30.98</v>
      </c>
      <c r="H985">
        <v>102.43</v>
      </c>
      <c r="I985">
        <v>22.68</v>
      </c>
      <c r="J985">
        <v>74.98</v>
      </c>
      <c r="K985">
        <v>253</v>
      </c>
      <c r="T985">
        <v>4</v>
      </c>
      <c r="U985">
        <v>2</v>
      </c>
      <c r="V985" t="s">
        <v>93</v>
      </c>
      <c r="W985" t="s">
        <v>186</v>
      </c>
      <c r="X985">
        <v>34</v>
      </c>
      <c r="Y985">
        <v>7</v>
      </c>
      <c r="Z985" t="s">
        <v>1476</v>
      </c>
      <c r="AA985" t="s">
        <v>1477</v>
      </c>
      <c r="AB985" t="s">
        <v>96</v>
      </c>
      <c r="AC985" t="s">
        <v>97</v>
      </c>
      <c r="AD985" t="s">
        <v>1463</v>
      </c>
      <c r="AG985" t="s">
        <v>285</v>
      </c>
      <c r="AH985">
        <v>0</v>
      </c>
      <c r="AI985">
        <v>260</v>
      </c>
      <c r="AJ985">
        <v>15</v>
      </c>
      <c r="AK985">
        <v>2961</v>
      </c>
      <c r="AL985">
        <v>1.3</v>
      </c>
    </row>
    <row r="986" spans="1:38" x14ac:dyDescent="0.3">
      <c r="A986" t="s">
        <v>1459</v>
      </c>
      <c r="B986">
        <v>142022</v>
      </c>
      <c r="C986">
        <v>7</v>
      </c>
      <c r="D986" t="s">
        <v>1474</v>
      </c>
      <c r="E986" t="s">
        <v>1475</v>
      </c>
      <c r="F986">
        <v>2277</v>
      </c>
      <c r="G986">
        <v>31.07</v>
      </c>
      <c r="H986">
        <v>102.73</v>
      </c>
      <c r="I986">
        <v>22.67</v>
      </c>
      <c r="J986">
        <v>74.97</v>
      </c>
      <c r="K986">
        <v>161</v>
      </c>
      <c r="T986">
        <v>4</v>
      </c>
      <c r="U986">
        <v>2</v>
      </c>
      <c r="V986" t="s">
        <v>93</v>
      </c>
      <c r="W986" t="s">
        <v>1478</v>
      </c>
      <c r="X986">
        <v>34</v>
      </c>
      <c r="Y986">
        <v>7</v>
      </c>
      <c r="Z986" t="s">
        <v>1476</v>
      </c>
      <c r="AA986" t="s">
        <v>1477</v>
      </c>
      <c r="AB986" t="s">
        <v>96</v>
      </c>
      <c r="AC986" t="s">
        <v>97</v>
      </c>
      <c r="AD986" t="s">
        <v>1463</v>
      </c>
      <c r="AG986" t="s">
        <v>285</v>
      </c>
      <c r="AH986">
        <v>0</v>
      </c>
      <c r="AI986">
        <v>260</v>
      </c>
      <c r="AJ986">
        <v>15</v>
      </c>
      <c r="AK986">
        <v>2961</v>
      </c>
      <c r="AL986">
        <v>1.3</v>
      </c>
    </row>
    <row r="987" spans="1:38" x14ac:dyDescent="0.3">
      <c r="A987" t="s">
        <v>1459</v>
      </c>
      <c r="B987">
        <v>142022</v>
      </c>
      <c r="C987">
        <v>8</v>
      </c>
      <c r="D987" t="s">
        <v>1474</v>
      </c>
      <c r="E987" t="s">
        <v>1475</v>
      </c>
      <c r="F987">
        <v>2277</v>
      </c>
      <c r="G987">
        <v>31.04</v>
      </c>
      <c r="H987">
        <v>102.62</v>
      </c>
      <c r="I987">
        <v>22.67</v>
      </c>
      <c r="J987">
        <v>74.959999999999994</v>
      </c>
      <c r="K987">
        <v>5</v>
      </c>
      <c r="T987">
        <v>4</v>
      </c>
      <c r="U987">
        <v>2</v>
      </c>
      <c r="V987" t="s">
        <v>93</v>
      </c>
      <c r="W987" t="s">
        <v>634</v>
      </c>
      <c r="X987">
        <v>34</v>
      </c>
      <c r="Y987">
        <v>7</v>
      </c>
      <c r="Z987" t="s">
        <v>1476</v>
      </c>
      <c r="AA987" t="s">
        <v>1477</v>
      </c>
      <c r="AB987" t="s">
        <v>96</v>
      </c>
      <c r="AC987" t="s">
        <v>97</v>
      </c>
      <c r="AD987" t="s">
        <v>1463</v>
      </c>
      <c r="AG987" t="s">
        <v>285</v>
      </c>
      <c r="AH987">
        <v>0</v>
      </c>
      <c r="AI987">
        <v>260</v>
      </c>
      <c r="AJ987">
        <v>15</v>
      </c>
      <c r="AK987">
        <v>2961</v>
      </c>
      <c r="AL987">
        <v>1.3</v>
      </c>
    </row>
    <row r="988" spans="1:38" x14ac:dyDescent="0.3">
      <c r="A988" t="s">
        <v>1459</v>
      </c>
      <c r="B988">
        <v>142022</v>
      </c>
      <c r="C988">
        <v>9</v>
      </c>
      <c r="D988" t="s">
        <v>1474</v>
      </c>
      <c r="E988" t="s">
        <v>1475</v>
      </c>
      <c r="F988">
        <v>2277</v>
      </c>
      <c r="G988">
        <v>34.75</v>
      </c>
      <c r="H988">
        <v>114.88</v>
      </c>
      <c r="I988">
        <v>25.7</v>
      </c>
      <c r="J988">
        <v>84.98</v>
      </c>
      <c r="K988">
        <v>167</v>
      </c>
      <c r="T988">
        <v>3</v>
      </c>
      <c r="U988">
        <v>2</v>
      </c>
      <c r="V988" t="s">
        <v>93</v>
      </c>
      <c r="W988" t="s">
        <v>188</v>
      </c>
      <c r="X988">
        <v>34</v>
      </c>
      <c r="Y988">
        <v>7</v>
      </c>
      <c r="Z988" t="s">
        <v>1476</v>
      </c>
      <c r="AA988" t="s">
        <v>1477</v>
      </c>
      <c r="AB988" t="s">
        <v>96</v>
      </c>
      <c r="AC988" t="s">
        <v>97</v>
      </c>
      <c r="AD988" t="s">
        <v>1463</v>
      </c>
      <c r="AG988" t="s">
        <v>285</v>
      </c>
      <c r="AH988">
        <v>0</v>
      </c>
      <c r="AI988">
        <v>260</v>
      </c>
      <c r="AJ988">
        <v>15</v>
      </c>
      <c r="AK988">
        <v>2961</v>
      </c>
      <c r="AL988">
        <v>1.3</v>
      </c>
    </row>
    <row r="989" spans="1:38" x14ac:dyDescent="0.3">
      <c r="A989" t="s">
        <v>1459</v>
      </c>
      <c r="B989">
        <v>142022</v>
      </c>
      <c r="C989">
        <v>10</v>
      </c>
      <c r="D989" t="s">
        <v>1474</v>
      </c>
      <c r="E989" t="s">
        <v>1475</v>
      </c>
      <c r="F989">
        <v>2277</v>
      </c>
      <c r="G989">
        <v>34.869999999999997</v>
      </c>
      <c r="H989">
        <v>115.3</v>
      </c>
      <c r="I989">
        <v>25.7</v>
      </c>
      <c r="J989">
        <v>84.99</v>
      </c>
      <c r="K989">
        <v>641</v>
      </c>
      <c r="T989">
        <v>4</v>
      </c>
      <c r="U989">
        <v>2</v>
      </c>
      <c r="V989" t="s">
        <v>93</v>
      </c>
      <c r="W989" t="s">
        <v>1479</v>
      </c>
      <c r="X989">
        <v>34</v>
      </c>
      <c r="Y989">
        <v>7</v>
      </c>
      <c r="Z989" t="s">
        <v>1476</v>
      </c>
      <c r="AA989" t="s">
        <v>1477</v>
      </c>
      <c r="AB989" t="s">
        <v>96</v>
      </c>
      <c r="AC989" t="s">
        <v>97</v>
      </c>
      <c r="AD989" t="s">
        <v>1463</v>
      </c>
      <c r="AG989" t="s">
        <v>285</v>
      </c>
      <c r="AH989">
        <v>0</v>
      </c>
      <c r="AI989">
        <v>260</v>
      </c>
      <c r="AJ989">
        <v>15</v>
      </c>
      <c r="AK989">
        <v>2961</v>
      </c>
      <c r="AL989">
        <v>1.3</v>
      </c>
    </row>
    <row r="990" spans="1:38" x14ac:dyDescent="0.3">
      <c r="A990" t="s">
        <v>1459</v>
      </c>
      <c r="B990">
        <v>13163</v>
      </c>
      <c r="C990">
        <v>1</v>
      </c>
      <c r="D990" t="s">
        <v>1480</v>
      </c>
      <c r="E990" t="s">
        <v>890</v>
      </c>
      <c r="F990">
        <v>33</v>
      </c>
      <c r="G990">
        <v>12.9</v>
      </c>
      <c r="H990">
        <v>42.65</v>
      </c>
      <c r="I990">
        <v>10.43</v>
      </c>
      <c r="J990">
        <v>34.51</v>
      </c>
      <c r="K990">
        <v>6</v>
      </c>
      <c r="T990">
        <v>2</v>
      </c>
      <c r="U990">
        <v>1</v>
      </c>
      <c r="V990" t="s">
        <v>211</v>
      </c>
      <c r="W990">
        <v>42</v>
      </c>
      <c r="X990">
        <v>7</v>
      </c>
      <c r="Y990">
        <v>6</v>
      </c>
      <c r="Z990" t="s">
        <v>1481</v>
      </c>
      <c r="AA990" t="s">
        <v>1482</v>
      </c>
      <c r="AB990" t="s">
        <v>96</v>
      </c>
      <c r="AC990" t="s">
        <v>97</v>
      </c>
      <c r="AD990" t="s">
        <v>1463</v>
      </c>
      <c r="AG990" t="s">
        <v>1483</v>
      </c>
      <c r="AH990">
        <v>0</v>
      </c>
      <c r="AI990">
        <v>294</v>
      </c>
      <c r="AJ990">
        <v>60</v>
      </c>
      <c r="AK990">
        <v>16</v>
      </c>
      <c r="AL990">
        <v>0.48</v>
      </c>
    </row>
    <row r="991" spans="1:38" x14ac:dyDescent="0.3">
      <c r="A991" t="s">
        <v>1459</v>
      </c>
      <c r="B991">
        <v>13163</v>
      </c>
      <c r="C991">
        <v>2</v>
      </c>
      <c r="D991" t="s">
        <v>1480</v>
      </c>
      <c r="E991" t="s">
        <v>890</v>
      </c>
      <c r="F991">
        <v>33</v>
      </c>
      <c r="G991">
        <v>17.14</v>
      </c>
      <c r="H991">
        <v>56.68</v>
      </c>
      <c r="I991">
        <v>13.93</v>
      </c>
      <c r="J991">
        <v>46.08</v>
      </c>
      <c r="K991">
        <v>6</v>
      </c>
      <c r="T991">
        <v>2</v>
      </c>
      <c r="U991">
        <v>1</v>
      </c>
      <c r="V991" t="s">
        <v>211</v>
      </c>
      <c r="W991">
        <v>56</v>
      </c>
      <c r="X991">
        <v>7</v>
      </c>
      <c r="Y991">
        <v>6</v>
      </c>
      <c r="Z991" t="s">
        <v>1481</v>
      </c>
      <c r="AA991" t="s">
        <v>1482</v>
      </c>
      <c r="AB991" t="s">
        <v>96</v>
      </c>
      <c r="AC991" t="s">
        <v>97</v>
      </c>
      <c r="AD991" t="s">
        <v>1463</v>
      </c>
      <c r="AG991" t="s">
        <v>1483</v>
      </c>
      <c r="AH991">
        <v>0</v>
      </c>
      <c r="AI991">
        <v>294</v>
      </c>
      <c r="AJ991">
        <v>60</v>
      </c>
      <c r="AK991">
        <v>16</v>
      </c>
      <c r="AL991">
        <v>0.48</v>
      </c>
    </row>
    <row r="992" spans="1:38" x14ac:dyDescent="0.3">
      <c r="A992" t="s">
        <v>1459</v>
      </c>
      <c r="B992">
        <v>13163</v>
      </c>
      <c r="C992">
        <v>3</v>
      </c>
      <c r="D992" t="s">
        <v>1480</v>
      </c>
      <c r="E992" t="s">
        <v>890</v>
      </c>
      <c r="F992">
        <v>33</v>
      </c>
      <c r="G992">
        <v>17.850000000000001</v>
      </c>
      <c r="H992">
        <v>59.02</v>
      </c>
      <c r="I992">
        <v>14.52</v>
      </c>
      <c r="J992">
        <v>48.01</v>
      </c>
      <c r="K992">
        <v>6</v>
      </c>
      <c r="T992">
        <v>2</v>
      </c>
      <c r="U992">
        <v>1</v>
      </c>
      <c r="V992" t="s">
        <v>211</v>
      </c>
      <c r="W992" t="s">
        <v>1431</v>
      </c>
      <c r="X992">
        <v>7</v>
      </c>
      <c r="Y992">
        <v>6</v>
      </c>
      <c r="Z992" t="s">
        <v>1481</v>
      </c>
      <c r="AA992" t="s">
        <v>1482</v>
      </c>
      <c r="AB992" t="s">
        <v>96</v>
      </c>
      <c r="AC992" t="s">
        <v>97</v>
      </c>
      <c r="AD992" t="s">
        <v>1463</v>
      </c>
      <c r="AG992" t="s">
        <v>1483</v>
      </c>
      <c r="AH992">
        <v>0</v>
      </c>
      <c r="AI992">
        <v>294</v>
      </c>
      <c r="AJ992">
        <v>60</v>
      </c>
      <c r="AK992">
        <v>16</v>
      </c>
      <c r="AL992">
        <v>0.48</v>
      </c>
    </row>
    <row r="993" spans="1:38" x14ac:dyDescent="0.3">
      <c r="A993" t="s">
        <v>1459</v>
      </c>
      <c r="B993">
        <v>13163</v>
      </c>
      <c r="C993">
        <v>4</v>
      </c>
      <c r="D993" t="s">
        <v>1480</v>
      </c>
      <c r="E993" t="s">
        <v>890</v>
      </c>
      <c r="F993">
        <v>33</v>
      </c>
      <c r="G993">
        <v>18.41</v>
      </c>
      <c r="H993">
        <v>60.88</v>
      </c>
      <c r="I993">
        <v>15.5</v>
      </c>
      <c r="J993">
        <v>51.27</v>
      </c>
      <c r="K993">
        <v>5</v>
      </c>
      <c r="T993">
        <v>2</v>
      </c>
      <c r="U993">
        <v>1</v>
      </c>
      <c r="V993" t="s">
        <v>211</v>
      </c>
      <c r="W993" t="s">
        <v>179</v>
      </c>
      <c r="X993">
        <v>7</v>
      </c>
      <c r="Y993">
        <v>6</v>
      </c>
      <c r="Z993" t="s">
        <v>1481</v>
      </c>
      <c r="AA993" t="s">
        <v>1482</v>
      </c>
      <c r="AB993" t="s">
        <v>96</v>
      </c>
      <c r="AC993" t="s">
        <v>97</v>
      </c>
      <c r="AD993" t="s">
        <v>1463</v>
      </c>
      <c r="AG993" t="s">
        <v>1483</v>
      </c>
      <c r="AH993">
        <v>0</v>
      </c>
      <c r="AI993">
        <v>294</v>
      </c>
      <c r="AJ993">
        <v>60</v>
      </c>
      <c r="AK993">
        <v>16</v>
      </c>
      <c r="AL993">
        <v>0.48</v>
      </c>
    </row>
    <row r="994" spans="1:38" x14ac:dyDescent="0.3">
      <c r="A994" t="s">
        <v>1459</v>
      </c>
      <c r="B994">
        <v>13163</v>
      </c>
      <c r="C994">
        <v>5</v>
      </c>
      <c r="D994" t="s">
        <v>1480</v>
      </c>
      <c r="E994" t="s">
        <v>890</v>
      </c>
      <c r="F994">
        <v>33</v>
      </c>
      <c r="G994">
        <v>19.55</v>
      </c>
      <c r="H994">
        <v>64.64</v>
      </c>
      <c r="I994">
        <v>16.46</v>
      </c>
      <c r="J994">
        <v>54.44</v>
      </c>
      <c r="K994">
        <v>5</v>
      </c>
      <c r="T994">
        <v>3</v>
      </c>
      <c r="U994">
        <v>1</v>
      </c>
      <c r="V994" t="s">
        <v>93</v>
      </c>
      <c r="W994" t="s">
        <v>279</v>
      </c>
      <c r="X994">
        <v>7</v>
      </c>
      <c r="Y994">
        <v>6</v>
      </c>
      <c r="Z994" t="s">
        <v>1481</v>
      </c>
      <c r="AA994" t="s">
        <v>1482</v>
      </c>
      <c r="AB994" t="s">
        <v>96</v>
      </c>
      <c r="AC994" t="s">
        <v>97</v>
      </c>
      <c r="AD994" t="s">
        <v>1463</v>
      </c>
      <c r="AG994" t="s">
        <v>1483</v>
      </c>
      <c r="AH994">
        <v>0</v>
      </c>
      <c r="AI994">
        <v>294</v>
      </c>
      <c r="AJ994">
        <v>60</v>
      </c>
      <c r="AK994">
        <v>16</v>
      </c>
      <c r="AL994">
        <v>0.48</v>
      </c>
    </row>
    <row r="995" spans="1:38" x14ac:dyDescent="0.3">
      <c r="A995" t="s">
        <v>1459</v>
      </c>
      <c r="B995">
        <v>13163</v>
      </c>
      <c r="C995">
        <v>6</v>
      </c>
      <c r="D995" t="s">
        <v>1480</v>
      </c>
      <c r="E995" t="s">
        <v>890</v>
      </c>
      <c r="F995">
        <v>33</v>
      </c>
      <c r="G995">
        <v>19.559999999999999</v>
      </c>
      <c r="H995">
        <v>64.69</v>
      </c>
      <c r="I995">
        <v>16.48</v>
      </c>
      <c r="J995">
        <v>54.48</v>
      </c>
      <c r="K995">
        <v>5</v>
      </c>
      <c r="T995">
        <v>3</v>
      </c>
      <c r="U995">
        <v>1</v>
      </c>
      <c r="V995" t="s">
        <v>93</v>
      </c>
      <c r="W995" t="s">
        <v>275</v>
      </c>
      <c r="X995">
        <v>7</v>
      </c>
      <c r="Y995">
        <v>6</v>
      </c>
      <c r="Z995" t="s">
        <v>1481</v>
      </c>
      <c r="AA995" t="s">
        <v>1482</v>
      </c>
      <c r="AB995" t="s">
        <v>96</v>
      </c>
      <c r="AC995" t="s">
        <v>97</v>
      </c>
      <c r="AD995" t="s">
        <v>1463</v>
      </c>
      <c r="AG995" t="s">
        <v>1483</v>
      </c>
      <c r="AH995">
        <v>0</v>
      </c>
      <c r="AI995">
        <v>294</v>
      </c>
      <c r="AJ995">
        <v>60</v>
      </c>
      <c r="AK995">
        <v>16</v>
      </c>
      <c r="AL995">
        <v>0.48</v>
      </c>
    </row>
    <row r="996" spans="1:38" x14ac:dyDescent="0.3">
      <c r="A996" t="s">
        <v>1459</v>
      </c>
      <c r="B996">
        <v>100510</v>
      </c>
      <c r="C996">
        <v>1</v>
      </c>
      <c r="D996" t="s">
        <v>1484</v>
      </c>
      <c r="E996" t="s">
        <v>1485</v>
      </c>
      <c r="F996">
        <v>630</v>
      </c>
      <c r="G996">
        <v>25.19</v>
      </c>
      <c r="H996">
        <v>83.3</v>
      </c>
      <c r="I996">
        <v>18.12</v>
      </c>
      <c r="J996">
        <v>59.93</v>
      </c>
      <c r="K996">
        <v>58</v>
      </c>
      <c r="T996">
        <v>3</v>
      </c>
      <c r="U996">
        <v>2</v>
      </c>
      <c r="V996" t="s">
        <v>93</v>
      </c>
      <c r="W996" t="s">
        <v>220</v>
      </c>
      <c r="X996">
        <v>51</v>
      </c>
      <c r="Y996">
        <v>30</v>
      </c>
      <c r="Z996" t="s">
        <v>1486</v>
      </c>
      <c r="AA996" t="s">
        <v>1487</v>
      </c>
      <c r="AB996" t="s">
        <v>96</v>
      </c>
      <c r="AC996" t="s">
        <v>97</v>
      </c>
      <c r="AD996" t="s">
        <v>1463</v>
      </c>
      <c r="AG996" t="s">
        <v>1488</v>
      </c>
      <c r="AH996">
        <v>0</v>
      </c>
      <c r="AI996">
        <v>501</v>
      </c>
      <c r="AJ996">
        <v>18</v>
      </c>
      <c r="AK996">
        <v>1174</v>
      </c>
      <c r="AL996">
        <v>1.86</v>
      </c>
    </row>
    <row r="997" spans="1:38" x14ac:dyDescent="0.3">
      <c r="A997" t="s">
        <v>1459</v>
      </c>
      <c r="B997">
        <v>100510</v>
      </c>
      <c r="C997">
        <v>2</v>
      </c>
      <c r="D997" t="s">
        <v>1484</v>
      </c>
      <c r="E997" t="s">
        <v>1485</v>
      </c>
      <c r="F997">
        <v>630</v>
      </c>
      <c r="G997">
        <v>25.61</v>
      </c>
      <c r="H997">
        <v>84.67</v>
      </c>
      <c r="I997">
        <v>18.14</v>
      </c>
      <c r="J997">
        <v>59.97</v>
      </c>
      <c r="K997">
        <v>57</v>
      </c>
      <c r="T997">
        <v>3</v>
      </c>
      <c r="U997">
        <v>2</v>
      </c>
      <c r="V997" t="s">
        <v>93</v>
      </c>
      <c r="W997" t="s">
        <v>221</v>
      </c>
      <c r="X997">
        <v>51</v>
      </c>
      <c r="Y997">
        <v>30</v>
      </c>
      <c r="Z997" t="s">
        <v>1486</v>
      </c>
      <c r="AA997" t="s">
        <v>1487</v>
      </c>
      <c r="AB997" t="s">
        <v>96</v>
      </c>
      <c r="AC997" t="s">
        <v>97</v>
      </c>
      <c r="AD997" t="s">
        <v>1463</v>
      </c>
      <c r="AG997" t="s">
        <v>1488</v>
      </c>
      <c r="AH997">
        <v>0</v>
      </c>
      <c r="AI997">
        <v>501</v>
      </c>
      <c r="AJ997">
        <v>18</v>
      </c>
      <c r="AK997">
        <v>1174</v>
      </c>
      <c r="AL997">
        <v>1.86</v>
      </c>
    </row>
    <row r="998" spans="1:38" x14ac:dyDescent="0.3">
      <c r="A998" t="s">
        <v>1459</v>
      </c>
      <c r="B998">
        <v>100510</v>
      </c>
      <c r="C998">
        <v>3</v>
      </c>
      <c r="D998" t="s">
        <v>1484</v>
      </c>
      <c r="E998" t="s">
        <v>1485</v>
      </c>
      <c r="F998">
        <v>630</v>
      </c>
      <c r="G998">
        <v>33.94</v>
      </c>
      <c r="H998">
        <v>112.23</v>
      </c>
      <c r="I998">
        <v>25.64</v>
      </c>
      <c r="J998">
        <v>84.77</v>
      </c>
      <c r="K998">
        <v>74</v>
      </c>
      <c r="T998">
        <v>3</v>
      </c>
      <c r="U998">
        <v>2</v>
      </c>
      <c r="V998" t="s">
        <v>93</v>
      </c>
      <c r="W998">
        <v>112</v>
      </c>
      <c r="X998">
        <v>51</v>
      </c>
      <c r="Y998">
        <v>30</v>
      </c>
      <c r="Z998" t="s">
        <v>1486</v>
      </c>
      <c r="AA998" t="s">
        <v>1487</v>
      </c>
      <c r="AB998" t="s">
        <v>96</v>
      </c>
      <c r="AC998" t="s">
        <v>97</v>
      </c>
      <c r="AD998" t="s">
        <v>1463</v>
      </c>
      <c r="AG998" t="s">
        <v>1488</v>
      </c>
      <c r="AH998">
        <v>0</v>
      </c>
      <c r="AI998">
        <v>501</v>
      </c>
      <c r="AJ998">
        <v>18</v>
      </c>
      <c r="AK998">
        <v>1174</v>
      </c>
      <c r="AL998">
        <v>1.86</v>
      </c>
    </row>
    <row r="999" spans="1:38" x14ac:dyDescent="0.3">
      <c r="A999" t="s">
        <v>1459</v>
      </c>
      <c r="B999">
        <v>100510</v>
      </c>
      <c r="C999">
        <v>4</v>
      </c>
      <c r="D999" t="s">
        <v>1484</v>
      </c>
      <c r="E999" t="s">
        <v>1485</v>
      </c>
      <c r="F999">
        <v>630</v>
      </c>
      <c r="G999">
        <v>36.93</v>
      </c>
      <c r="H999">
        <v>122.1</v>
      </c>
      <c r="I999">
        <v>28.35</v>
      </c>
      <c r="J999">
        <v>93.74</v>
      </c>
      <c r="K999">
        <v>86</v>
      </c>
      <c r="T999">
        <v>3</v>
      </c>
      <c r="U999">
        <v>2</v>
      </c>
      <c r="V999" t="s">
        <v>93</v>
      </c>
      <c r="W999">
        <v>122</v>
      </c>
      <c r="X999">
        <v>51</v>
      </c>
      <c r="Y999">
        <v>30</v>
      </c>
      <c r="Z999" t="s">
        <v>1486</v>
      </c>
      <c r="AA999" t="s">
        <v>1487</v>
      </c>
      <c r="AB999" t="s">
        <v>96</v>
      </c>
      <c r="AC999" t="s">
        <v>97</v>
      </c>
      <c r="AD999" t="s">
        <v>1463</v>
      </c>
      <c r="AG999" t="s">
        <v>1488</v>
      </c>
      <c r="AH999">
        <v>0</v>
      </c>
      <c r="AI999">
        <v>501</v>
      </c>
      <c r="AJ999">
        <v>18</v>
      </c>
      <c r="AK999">
        <v>1174</v>
      </c>
      <c r="AL999">
        <v>1.86</v>
      </c>
    </row>
    <row r="1000" spans="1:38" x14ac:dyDescent="0.3">
      <c r="A1000" t="s">
        <v>1459</v>
      </c>
      <c r="B1000">
        <v>100510</v>
      </c>
      <c r="C1000">
        <v>5</v>
      </c>
      <c r="D1000" t="s">
        <v>1484</v>
      </c>
      <c r="E1000" t="s">
        <v>1485</v>
      </c>
      <c r="F1000">
        <v>630</v>
      </c>
      <c r="G1000">
        <v>41.28</v>
      </c>
      <c r="H1000">
        <v>136.47999999999999</v>
      </c>
      <c r="I1000">
        <v>31</v>
      </c>
      <c r="J1000">
        <v>102.48</v>
      </c>
      <c r="K1000">
        <v>80</v>
      </c>
      <c r="T1000">
        <v>3</v>
      </c>
      <c r="U1000">
        <v>2</v>
      </c>
      <c r="V1000" t="s">
        <v>93</v>
      </c>
      <c r="W1000">
        <v>136</v>
      </c>
      <c r="X1000">
        <v>51</v>
      </c>
      <c r="Y1000">
        <v>30</v>
      </c>
      <c r="Z1000" t="s">
        <v>1486</v>
      </c>
      <c r="AA1000" t="s">
        <v>1487</v>
      </c>
      <c r="AB1000" t="s">
        <v>96</v>
      </c>
      <c r="AC1000" t="s">
        <v>97</v>
      </c>
      <c r="AD1000" t="s">
        <v>1463</v>
      </c>
      <c r="AG1000" t="s">
        <v>1488</v>
      </c>
      <c r="AH1000">
        <v>0</v>
      </c>
      <c r="AI1000">
        <v>501</v>
      </c>
      <c r="AJ1000">
        <v>18</v>
      </c>
      <c r="AK1000">
        <v>1174</v>
      </c>
      <c r="AL1000">
        <v>1.86</v>
      </c>
    </row>
    <row r="1001" spans="1:38" x14ac:dyDescent="0.3">
      <c r="A1001" t="s">
        <v>1459</v>
      </c>
      <c r="B1001">
        <v>100510</v>
      </c>
      <c r="C1001">
        <v>6</v>
      </c>
      <c r="D1001" t="s">
        <v>1484</v>
      </c>
      <c r="E1001" t="s">
        <v>1485</v>
      </c>
      <c r="F1001">
        <v>630</v>
      </c>
      <c r="G1001">
        <v>43.26</v>
      </c>
      <c r="H1001">
        <v>143.03</v>
      </c>
      <c r="I1001">
        <v>33.42</v>
      </c>
      <c r="J1001">
        <v>110.5</v>
      </c>
      <c r="K1001">
        <v>93</v>
      </c>
      <c r="T1001">
        <v>3</v>
      </c>
      <c r="U1001">
        <v>2</v>
      </c>
      <c r="V1001" t="s">
        <v>93</v>
      </c>
      <c r="W1001">
        <v>143</v>
      </c>
      <c r="X1001">
        <v>51</v>
      </c>
      <c r="Y1001">
        <v>30</v>
      </c>
      <c r="Z1001" t="s">
        <v>1486</v>
      </c>
      <c r="AA1001" t="s">
        <v>1487</v>
      </c>
      <c r="AB1001" t="s">
        <v>96</v>
      </c>
      <c r="AC1001" t="s">
        <v>97</v>
      </c>
      <c r="AD1001" t="s">
        <v>1463</v>
      </c>
      <c r="AG1001" t="s">
        <v>1488</v>
      </c>
      <c r="AH1001">
        <v>0</v>
      </c>
      <c r="AI1001">
        <v>501</v>
      </c>
      <c r="AJ1001">
        <v>18</v>
      </c>
      <c r="AK1001">
        <v>1174</v>
      </c>
      <c r="AL1001">
        <v>1.86</v>
      </c>
    </row>
    <row r="1002" spans="1:38" x14ac:dyDescent="0.3">
      <c r="A1002" t="s">
        <v>1459</v>
      </c>
      <c r="B1002">
        <v>100510</v>
      </c>
      <c r="C1002">
        <v>7</v>
      </c>
      <c r="D1002" t="s">
        <v>1484</v>
      </c>
      <c r="E1002" t="s">
        <v>1485</v>
      </c>
      <c r="F1002">
        <v>630</v>
      </c>
      <c r="G1002">
        <v>48.98</v>
      </c>
      <c r="H1002">
        <v>161.91999999999999</v>
      </c>
      <c r="I1002">
        <v>37.79</v>
      </c>
      <c r="J1002">
        <v>124.95</v>
      </c>
      <c r="K1002">
        <v>85</v>
      </c>
      <c r="T1002">
        <v>3</v>
      </c>
      <c r="U1002">
        <v>2</v>
      </c>
      <c r="V1002" t="s">
        <v>93</v>
      </c>
      <c r="W1002">
        <v>161</v>
      </c>
      <c r="X1002">
        <v>51</v>
      </c>
      <c r="Y1002">
        <v>30</v>
      </c>
      <c r="Z1002" t="s">
        <v>1486</v>
      </c>
      <c r="AA1002" t="s">
        <v>1487</v>
      </c>
      <c r="AB1002" t="s">
        <v>96</v>
      </c>
      <c r="AC1002" t="s">
        <v>97</v>
      </c>
      <c r="AD1002" t="s">
        <v>1463</v>
      </c>
      <c r="AG1002" t="s">
        <v>1488</v>
      </c>
      <c r="AH1002">
        <v>0</v>
      </c>
      <c r="AI1002">
        <v>501</v>
      </c>
      <c r="AJ1002">
        <v>18</v>
      </c>
      <c r="AK1002">
        <v>1174</v>
      </c>
      <c r="AL1002">
        <v>1.86</v>
      </c>
    </row>
    <row r="1003" spans="1:38" x14ac:dyDescent="0.3">
      <c r="A1003" t="s">
        <v>1459</v>
      </c>
      <c r="B1003">
        <v>100510</v>
      </c>
      <c r="C1003">
        <v>8</v>
      </c>
      <c r="D1003" t="s">
        <v>1484</v>
      </c>
      <c r="E1003" t="s">
        <v>1485</v>
      </c>
      <c r="F1003">
        <v>630</v>
      </c>
      <c r="G1003">
        <v>52.53</v>
      </c>
      <c r="H1003">
        <v>173.68</v>
      </c>
      <c r="I1003">
        <v>40.64</v>
      </c>
      <c r="J1003">
        <v>134.36000000000001</v>
      </c>
      <c r="K1003">
        <v>97</v>
      </c>
      <c r="T1003">
        <v>3</v>
      </c>
      <c r="U1003">
        <v>2</v>
      </c>
      <c r="V1003" t="s">
        <v>93</v>
      </c>
      <c r="W1003">
        <v>173</v>
      </c>
      <c r="X1003">
        <v>51</v>
      </c>
      <c r="Y1003">
        <v>30</v>
      </c>
      <c r="Z1003" t="s">
        <v>1486</v>
      </c>
      <c r="AA1003" t="s">
        <v>1487</v>
      </c>
      <c r="AB1003" t="s">
        <v>96</v>
      </c>
      <c r="AC1003" t="s">
        <v>97</v>
      </c>
      <c r="AD1003" t="s">
        <v>1463</v>
      </c>
      <c r="AG1003" t="s">
        <v>1488</v>
      </c>
      <c r="AH1003">
        <v>0</v>
      </c>
      <c r="AI1003">
        <v>501</v>
      </c>
      <c r="AJ1003">
        <v>18</v>
      </c>
      <c r="AK1003">
        <v>1174</v>
      </c>
      <c r="AL1003">
        <v>1.86</v>
      </c>
    </row>
    <row r="1004" spans="1:38" x14ac:dyDescent="0.3">
      <c r="A1004" t="s">
        <v>1459</v>
      </c>
      <c r="B1004">
        <v>2419</v>
      </c>
      <c r="C1004">
        <v>1</v>
      </c>
      <c r="D1004" t="s">
        <v>1489</v>
      </c>
      <c r="E1004" t="s">
        <v>1490</v>
      </c>
      <c r="F1004">
        <v>940</v>
      </c>
      <c r="G1004">
        <v>24.61</v>
      </c>
      <c r="H1004">
        <v>81.38</v>
      </c>
      <c r="I1004">
        <v>17.690000000000001</v>
      </c>
      <c r="J1004">
        <v>58.5</v>
      </c>
      <c r="K1004">
        <v>145</v>
      </c>
      <c r="T1004">
        <v>3</v>
      </c>
      <c r="U1004">
        <v>1</v>
      </c>
      <c r="V1004" t="s">
        <v>132</v>
      </c>
      <c r="W1004">
        <v>81</v>
      </c>
      <c r="X1004">
        <v>15</v>
      </c>
      <c r="Y1004">
        <v>14</v>
      </c>
      <c r="Z1004" t="s">
        <v>1491</v>
      </c>
      <c r="AA1004" t="s">
        <v>1492</v>
      </c>
      <c r="AB1004" t="s">
        <v>96</v>
      </c>
      <c r="AC1004" t="s">
        <v>97</v>
      </c>
      <c r="AD1004" t="s">
        <v>1463</v>
      </c>
      <c r="AG1004" t="s">
        <v>1493</v>
      </c>
      <c r="AH1004">
        <v>0</v>
      </c>
      <c r="AI1004">
        <v>241</v>
      </c>
      <c r="AJ1004">
        <v>24</v>
      </c>
      <c r="AK1004">
        <v>900</v>
      </c>
      <c r="AL1004">
        <v>0.96</v>
      </c>
    </row>
    <row r="1005" spans="1:38" x14ac:dyDescent="0.3">
      <c r="A1005" t="s">
        <v>1459</v>
      </c>
      <c r="B1005">
        <v>2419</v>
      </c>
      <c r="C1005">
        <v>2</v>
      </c>
      <c r="D1005" t="s">
        <v>1489</v>
      </c>
      <c r="E1005" t="s">
        <v>1490</v>
      </c>
      <c r="F1005">
        <v>940</v>
      </c>
      <c r="G1005">
        <v>27.56</v>
      </c>
      <c r="H1005">
        <v>91.11</v>
      </c>
      <c r="I1005">
        <v>22.6</v>
      </c>
      <c r="J1005">
        <v>74.72</v>
      </c>
      <c r="K1005">
        <v>114</v>
      </c>
      <c r="T1005">
        <v>3</v>
      </c>
      <c r="U1005">
        <v>1</v>
      </c>
      <c r="V1005" t="s">
        <v>132</v>
      </c>
      <c r="W1005">
        <v>91</v>
      </c>
      <c r="X1005">
        <v>15</v>
      </c>
      <c r="Y1005">
        <v>14</v>
      </c>
      <c r="Z1005" t="s">
        <v>1491</v>
      </c>
      <c r="AA1005" t="s">
        <v>1492</v>
      </c>
      <c r="AB1005" t="s">
        <v>96</v>
      </c>
      <c r="AC1005" t="s">
        <v>97</v>
      </c>
      <c r="AD1005" t="s">
        <v>1463</v>
      </c>
      <c r="AG1005" t="s">
        <v>1493</v>
      </c>
      <c r="AH1005">
        <v>0</v>
      </c>
      <c r="AI1005">
        <v>241</v>
      </c>
      <c r="AJ1005">
        <v>24</v>
      </c>
      <c r="AK1005">
        <v>900</v>
      </c>
      <c r="AL1005">
        <v>0.96</v>
      </c>
    </row>
    <row r="1006" spans="1:38" x14ac:dyDescent="0.3">
      <c r="A1006" t="s">
        <v>1459</v>
      </c>
      <c r="B1006">
        <v>2419</v>
      </c>
      <c r="C1006">
        <v>3</v>
      </c>
      <c r="D1006" t="s">
        <v>1489</v>
      </c>
      <c r="E1006" t="s">
        <v>1490</v>
      </c>
      <c r="F1006">
        <v>940</v>
      </c>
      <c r="G1006">
        <v>28.61</v>
      </c>
      <c r="H1006">
        <v>94.58</v>
      </c>
      <c r="I1006">
        <v>23.57</v>
      </c>
      <c r="J1006">
        <v>77.95</v>
      </c>
      <c r="K1006">
        <v>120</v>
      </c>
      <c r="T1006">
        <v>3</v>
      </c>
      <c r="U1006">
        <v>1</v>
      </c>
      <c r="V1006" t="s">
        <v>93</v>
      </c>
      <c r="W1006">
        <v>94</v>
      </c>
      <c r="X1006">
        <v>15</v>
      </c>
      <c r="Y1006">
        <v>14</v>
      </c>
      <c r="Z1006" t="s">
        <v>1491</v>
      </c>
      <c r="AA1006" t="s">
        <v>1492</v>
      </c>
      <c r="AB1006" t="s">
        <v>96</v>
      </c>
      <c r="AC1006" t="s">
        <v>97</v>
      </c>
      <c r="AD1006" t="s">
        <v>1463</v>
      </c>
      <c r="AG1006" t="s">
        <v>1493</v>
      </c>
      <c r="AH1006">
        <v>0</v>
      </c>
      <c r="AI1006">
        <v>241</v>
      </c>
      <c r="AJ1006">
        <v>24</v>
      </c>
      <c r="AK1006">
        <v>900</v>
      </c>
      <c r="AL1006">
        <v>0.96</v>
      </c>
    </row>
    <row r="1007" spans="1:38" x14ac:dyDescent="0.3">
      <c r="A1007" t="s">
        <v>1459</v>
      </c>
      <c r="B1007">
        <v>2419</v>
      </c>
      <c r="C1007">
        <v>4</v>
      </c>
      <c r="D1007" t="s">
        <v>1489</v>
      </c>
      <c r="E1007" t="s">
        <v>1490</v>
      </c>
      <c r="F1007">
        <v>940</v>
      </c>
      <c r="G1007">
        <v>30.73</v>
      </c>
      <c r="H1007">
        <v>101.59</v>
      </c>
      <c r="I1007">
        <v>25.68</v>
      </c>
      <c r="J1007">
        <v>84.92</v>
      </c>
      <c r="K1007">
        <v>356</v>
      </c>
      <c r="T1007">
        <v>3</v>
      </c>
      <c r="U1007">
        <v>2</v>
      </c>
      <c r="V1007" t="s">
        <v>93</v>
      </c>
      <c r="W1007" t="s">
        <v>182</v>
      </c>
      <c r="X1007">
        <v>15</v>
      </c>
      <c r="Y1007">
        <v>14</v>
      </c>
      <c r="Z1007" t="s">
        <v>1491</v>
      </c>
      <c r="AA1007" t="s">
        <v>1492</v>
      </c>
      <c r="AB1007" t="s">
        <v>96</v>
      </c>
      <c r="AC1007" t="s">
        <v>97</v>
      </c>
      <c r="AD1007" t="s">
        <v>1463</v>
      </c>
      <c r="AG1007" t="s">
        <v>1493</v>
      </c>
      <c r="AH1007">
        <v>0</v>
      </c>
      <c r="AI1007">
        <v>241</v>
      </c>
      <c r="AJ1007">
        <v>24</v>
      </c>
      <c r="AK1007">
        <v>900</v>
      </c>
      <c r="AL1007">
        <v>0.96</v>
      </c>
    </row>
    <row r="1008" spans="1:38" x14ac:dyDescent="0.3">
      <c r="A1008" t="s">
        <v>1459</v>
      </c>
      <c r="B1008">
        <v>2419</v>
      </c>
      <c r="C1008">
        <v>5</v>
      </c>
      <c r="D1008" t="s">
        <v>1489</v>
      </c>
      <c r="E1008" t="s">
        <v>1490</v>
      </c>
      <c r="F1008">
        <v>940</v>
      </c>
      <c r="G1008">
        <v>30.8</v>
      </c>
      <c r="H1008">
        <v>101.84</v>
      </c>
      <c r="I1008">
        <v>25.67</v>
      </c>
      <c r="J1008">
        <v>84.88</v>
      </c>
      <c r="K1008">
        <v>119</v>
      </c>
      <c r="T1008">
        <v>3</v>
      </c>
      <c r="U1008">
        <v>2</v>
      </c>
      <c r="V1008" t="s">
        <v>93</v>
      </c>
      <c r="W1008" t="s">
        <v>1055</v>
      </c>
      <c r="X1008">
        <v>15</v>
      </c>
      <c r="Y1008">
        <v>14</v>
      </c>
      <c r="Z1008" t="s">
        <v>1491</v>
      </c>
      <c r="AA1008" t="s">
        <v>1492</v>
      </c>
      <c r="AB1008" t="s">
        <v>96</v>
      </c>
      <c r="AC1008" t="s">
        <v>97</v>
      </c>
      <c r="AD1008" t="s">
        <v>1463</v>
      </c>
      <c r="AG1008" t="s">
        <v>1493</v>
      </c>
      <c r="AH1008">
        <v>0</v>
      </c>
      <c r="AI1008">
        <v>241</v>
      </c>
      <c r="AJ1008">
        <v>24</v>
      </c>
      <c r="AK1008">
        <v>900</v>
      </c>
      <c r="AL1008">
        <v>0.96</v>
      </c>
    </row>
    <row r="1009" spans="1:38" x14ac:dyDescent="0.3">
      <c r="A1009" t="s">
        <v>1459</v>
      </c>
      <c r="B1009">
        <v>2419</v>
      </c>
      <c r="C1009">
        <v>6</v>
      </c>
      <c r="D1009" t="s">
        <v>1489</v>
      </c>
      <c r="E1009" t="s">
        <v>1490</v>
      </c>
      <c r="F1009">
        <v>940</v>
      </c>
      <c r="G1009">
        <v>40.479999999999997</v>
      </c>
      <c r="H1009">
        <v>133.83000000000001</v>
      </c>
      <c r="I1009">
        <v>34.51</v>
      </c>
      <c r="J1009">
        <v>114.11</v>
      </c>
      <c r="K1009">
        <v>86</v>
      </c>
      <c r="T1009">
        <v>4</v>
      </c>
      <c r="U1009">
        <v>2</v>
      </c>
      <c r="V1009" t="s">
        <v>93</v>
      </c>
      <c r="W1009">
        <v>133</v>
      </c>
      <c r="X1009">
        <v>15</v>
      </c>
      <c r="Y1009">
        <v>14</v>
      </c>
      <c r="Z1009" t="s">
        <v>1491</v>
      </c>
      <c r="AA1009" t="s">
        <v>1492</v>
      </c>
      <c r="AB1009" t="s">
        <v>96</v>
      </c>
      <c r="AC1009" t="s">
        <v>97</v>
      </c>
      <c r="AD1009" t="s">
        <v>1463</v>
      </c>
      <c r="AG1009" t="s">
        <v>1493</v>
      </c>
      <c r="AH1009">
        <v>0</v>
      </c>
      <c r="AI1009">
        <v>241</v>
      </c>
      <c r="AJ1009">
        <v>24</v>
      </c>
      <c r="AK1009">
        <v>900</v>
      </c>
      <c r="AL1009">
        <v>0.96</v>
      </c>
    </row>
    <row r="1010" spans="1:38" x14ac:dyDescent="0.3">
      <c r="A1010" t="s">
        <v>1459</v>
      </c>
      <c r="B1010">
        <v>129968</v>
      </c>
      <c r="C1010">
        <v>1</v>
      </c>
      <c r="D1010" t="s">
        <v>1494</v>
      </c>
      <c r="E1010" t="s">
        <v>328</v>
      </c>
      <c r="F1010">
        <v>6</v>
      </c>
      <c r="G1010">
        <v>31.68</v>
      </c>
      <c r="H1010">
        <v>104.75</v>
      </c>
      <c r="I1010">
        <v>25.48</v>
      </c>
      <c r="J1010">
        <v>84.25</v>
      </c>
      <c r="K1010">
        <v>3</v>
      </c>
      <c r="T1010">
        <v>3</v>
      </c>
      <c r="U1010">
        <v>2</v>
      </c>
      <c r="V1010" t="s">
        <v>93</v>
      </c>
      <c r="W1010" t="s">
        <v>1495</v>
      </c>
      <c r="X1010">
        <v>14</v>
      </c>
      <c r="Y1010">
        <v>14</v>
      </c>
      <c r="Z1010" t="s">
        <v>1496</v>
      </c>
      <c r="AA1010" t="s">
        <v>1497</v>
      </c>
      <c r="AB1010" t="s">
        <v>96</v>
      </c>
      <c r="AC1010" t="s">
        <v>97</v>
      </c>
      <c r="AD1010" t="s">
        <v>1463</v>
      </c>
      <c r="AG1010" t="s">
        <v>1498</v>
      </c>
      <c r="AH1010">
        <v>0</v>
      </c>
      <c r="AI1010">
        <v>850</v>
      </c>
      <c r="AJ1010">
        <v>75</v>
      </c>
      <c r="AK1010">
        <v>5</v>
      </c>
      <c r="AL1010">
        <v>0.83</v>
      </c>
    </row>
    <row r="1011" spans="1:38" x14ac:dyDescent="0.3">
      <c r="A1011" t="s">
        <v>1459</v>
      </c>
      <c r="B1011">
        <v>129968</v>
      </c>
      <c r="C1011">
        <v>2</v>
      </c>
      <c r="D1011" t="s">
        <v>1494</v>
      </c>
      <c r="E1011" t="s">
        <v>328</v>
      </c>
      <c r="F1011">
        <v>6</v>
      </c>
      <c r="G1011">
        <v>31.89</v>
      </c>
      <c r="H1011">
        <v>105.43</v>
      </c>
      <c r="I1011">
        <v>25.68</v>
      </c>
      <c r="J1011">
        <v>84.9</v>
      </c>
      <c r="K1011">
        <v>3</v>
      </c>
      <c r="T1011">
        <v>3</v>
      </c>
      <c r="U1011">
        <v>2</v>
      </c>
      <c r="V1011" t="s">
        <v>93</v>
      </c>
      <c r="W1011" t="s">
        <v>1254</v>
      </c>
      <c r="X1011">
        <v>14</v>
      </c>
      <c r="Y1011">
        <v>14</v>
      </c>
      <c r="Z1011" t="s">
        <v>1496</v>
      </c>
      <c r="AA1011" t="s">
        <v>1497</v>
      </c>
      <c r="AB1011" t="s">
        <v>96</v>
      </c>
      <c r="AC1011" t="s">
        <v>97</v>
      </c>
      <c r="AD1011" t="s">
        <v>1463</v>
      </c>
      <c r="AG1011" t="s">
        <v>1498</v>
      </c>
      <c r="AH1011">
        <v>0</v>
      </c>
      <c r="AI1011">
        <v>850</v>
      </c>
      <c r="AJ1011">
        <v>75</v>
      </c>
      <c r="AK1011">
        <v>5</v>
      </c>
      <c r="AL1011">
        <v>0.83</v>
      </c>
    </row>
    <row r="1012" spans="1:38" x14ac:dyDescent="0.3">
      <c r="A1012" t="s">
        <v>1459</v>
      </c>
      <c r="B1012">
        <v>110952</v>
      </c>
      <c r="C1012">
        <v>1</v>
      </c>
      <c r="D1012" t="s">
        <v>1499</v>
      </c>
      <c r="E1012" t="s">
        <v>1500</v>
      </c>
      <c r="F1012">
        <v>16</v>
      </c>
      <c r="G1012">
        <v>20</v>
      </c>
      <c r="H1012">
        <v>66.12</v>
      </c>
      <c r="I1012">
        <v>16.21</v>
      </c>
      <c r="J1012">
        <v>53.61</v>
      </c>
      <c r="K1012">
        <v>1</v>
      </c>
      <c r="T1012">
        <v>3</v>
      </c>
      <c r="U1012">
        <v>1</v>
      </c>
      <c r="V1012" t="s">
        <v>93</v>
      </c>
      <c r="W1012">
        <v>66</v>
      </c>
      <c r="X1012">
        <v>9</v>
      </c>
      <c r="Y1012">
        <v>5</v>
      </c>
      <c r="Z1012" t="s">
        <v>1501</v>
      </c>
      <c r="AA1012" t="s">
        <v>1502</v>
      </c>
      <c r="AB1012" t="s">
        <v>96</v>
      </c>
      <c r="AC1012" t="s">
        <v>97</v>
      </c>
      <c r="AD1012" t="s">
        <v>1463</v>
      </c>
      <c r="AG1012" t="s">
        <v>1503</v>
      </c>
      <c r="AH1012">
        <v>0</v>
      </c>
      <c r="AI1012">
        <v>359</v>
      </c>
      <c r="AJ1012">
        <v>74</v>
      </c>
      <c r="AK1012">
        <v>16</v>
      </c>
      <c r="AL1012">
        <v>1</v>
      </c>
    </row>
    <row r="1013" spans="1:38" x14ac:dyDescent="0.3">
      <c r="A1013" t="s">
        <v>1459</v>
      </c>
      <c r="B1013">
        <v>110952</v>
      </c>
      <c r="C1013">
        <v>2</v>
      </c>
      <c r="D1013" t="s">
        <v>1499</v>
      </c>
      <c r="E1013" t="s">
        <v>1500</v>
      </c>
      <c r="F1013">
        <v>16</v>
      </c>
      <c r="G1013">
        <v>20.73</v>
      </c>
      <c r="H1013">
        <v>68.53</v>
      </c>
      <c r="I1013">
        <v>16.8</v>
      </c>
      <c r="J1013">
        <v>55.57</v>
      </c>
      <c r="K1013">
        <v>6</v>
      </c>
      <c r="T1013">
        <v>3</v>
      </c>
      <c r="U1013">
        <v>1</v>
      </c>
      <c r="V1013" t="s">
        <v>93</v>
      </c>
      <c r="W1013" t="s">
        <v>230</v>
      </c>
      <c r="X1013">
        <v>9</v>
      </c>
      <c r="Y1013">
        <v>5</v>
      </c>
      <c r="Z1013" t="s">
        <v>1501</v>
      </c>
      <c r="AA1013" t="s">
        <v>1502</v>
      </c>
      <c r="AB1013" t="s">
        <v>96</v>
      </c>
      <c r="AC1013" t="s">
        <v>97</v>
      </c>
      <c r="AD1013" t="s">
        <v>1463</v>
      </c>
      <c r="AG1013" t="s">
        <v>1503</v>
      </c>
      <c r="AH1013">
        <v>0</v>
      </c>
      <c r="AI1013">
        <v>359</v>
      </c>
      <c r="AJ1013">
        <v>74</v>
      </c>
      <c r="AK1013">
        <v>16</v>
      </c>
      <c r="AL1013">
        <v>1</v>
      </c>
    </row>
    <row r="1014" spans="1:38" x14ac:dyDescent="0.3">
      <c r="A1014" t="s">
        <v>1459</v>
      </c>
      <c r="B1014">
        <v>110952</v>
      </c>
      <c r="C1014">
        <v>3</v>
      </c>
      <c r="D1014" t="s">
        <v>1499</v>
      </c>
      <c r="E1014" t="s">
        <v>1500</v>
      </c>
      <c r="F1014">
        <v>16</v>
      </c>
      <c r="G1014">
        <v>20.7</v>
      </c>
      <c r="H1014">
        <v>68.45</v>
      </c>
      <c r="I1014">
        <v>16.79</v>
      </c>
      <c r="J1014">
        <v>55.51</v>
      </c>
      <c r="K1014">
        <v>3</v>
      </c>
      <c r="T1014">
        <v>3</v>
      </c>
      <c r="U1014">
        <v>1</v>
      </c>
      <c r="V1014" t="s">
        <v>93</v>
      </c>
      <c r="W1014" t="s">
        <v>226</v>
      </c>
      <c r="X1014">
        <v>9</v>
      </c>
      <c r="Y1014">
        <v>5</v>
      </c>
      <c r="Z1014" t="s">
        <v>1501</v>
      </c>
      <c r="AA1014" t="s">
        <v>1502</v>
      </c>
      <c r="AB1014" t="s">
        <v>96</v>
      </c>
      <c r="AC1014" t="s">
        <v>97</v>
      </c>
      <c r="AD1014" t="s">
        <v>1463</v>
      </c>
      <c r="AG1014" t="s">
        <v>1503</v>
      </c>
      <c r="AH1014">
        <v>0</v>
      </c>
      <c r="AI1014">
        <v>359</v>
      </c>
      <c r="AJ1014">
        <v>74</v>
      </c>
      <c r="AK1014">
        <v>16</v>
      </c>
      <c r="AL1014">
        <v>1</v>
      </c>
    </row>
    <row r="1015" spans="1:38" x14ac:dyDescent="0.3">
      <c r="A1015" t="s">
        <v>1459</v>
      </c>
      <c r="B1015">
        <v>110952</v>
      </c>
      <c r="C1015">
        <v>4</v>
      </c>
      <c r="D1015" t="s">
        <v>1499</v>
      </c>
      <c r="E1015" t="s">
        <v>1500</v>
      </c>
      <c r="F1015">
        <v>16</v>
      </c>
      <c r="G1015">
        <v>22.63</v>
      </c>
      <c r="H1015">
        <v>74.81</v>
      </c>
      <c r="I1015">
        <v>18.350000000000001</v>
      </c>
      <c r="J1015">
        <v>60.67</v>
      </c>
      <c r="K1015">
        <v>2</v>
      </c>
      <c r="T1015">
        <v>3</v>
      </c>
      <c r="U1015">
        <v>1</v>
      </c>
      <c r="V1015" t="s">
        <v>93</v>
      </c>
      <c r="W1015">
        <v>74</v>
      </c>
      <c r="X1015">
        <v>9</v>
      </c>
      <c r="Y1015">
        <v>5</v>
      </c>
      <c r="Z1015" t="s">
        <v>1501</v>
      </c>
      <c r="AA1015" t="s">
        <v>1502</v>
      </c>
      <c r="AB1015" t="s">
        <v>96</v>
      </c>
      <c r="AC1015" t="s">
        <v>97</v>
      </c>
      <c r="AD1015" t="s">
        <v>1463</v>
      </c>
      <c r="AG1015" t="s">
        <v>1503</v>
      </c>
      <c r="AH1015">
        <v>0</v>
      </c>
      <c r="AI1015">
        <v>359</v>
      </c>
      <c r="AJ1015">
        <v>74</v>
      </c>
      <c r="AK1015">
        <v>16</v>
      </c>
      <c r="AL1015">
        <v>1</v>
      </c>
    </row>
    <row r="1016" spans="1:38" x14ac:dyDescent="0.3">
      <c r="A1016" t="s">
        <v>1459</v>
      </c>
      <c r="B1016">
        <v>110952</v>
      </c>
      <c r="C1016">
        <v>5</v>
      </c>
      <c r="D1016" t="s">
        <v>1499</v>
      </c>
      <c r="E1016" t="s">
        <v>1500</v>
      </c>
      <c r="F1016">
        <v>16</v>
      </c>
      <c r="G1016">
        <v>27.41</v>
      </c>
      <c r="H1016">
        <v>90.64</v>
      </c>
      <c r="I1016">
        <v>22.23</v>
      </c>
      <c r="J1016">
        <v>73.5</v>
      </c>
      <c r="K1016">
        <v>4</v>
      </c>
      <c r="T1016">
        <v>3</v>
      </c>
      <c r="U1016">
        <v>2</v>
      </c>
      <c r="V1016" t="s">
        <v>93</v>
      </c>
      <c r="W1016">
        <v>90</v>
      </c>
      <c r="X1016">
        <v>9</v>
      </c>
      <c r="Y1016">
        <v>5</v>
      </c>
      <c r="Z1016" t="s">
        <v>1501</v>
      </c>
      <c r="AA1016" t="s">
        <v>1502</v>
      </c>
      <c r="AB1016" t="s">
        <v>96</v>
      </c>
      <c r="AC1016" t="s">
        <v>97</v>
      </c>
      <c r="AD1016" t="s">
        <v>1463</v>
      </c>
      <c r="AG1016" t="s">
        <v>1503</v>
      </c>
      <c r="AH1016">
        <v>0</v>
      </c>
      <c r="AI1016">
        <v>359</v>
      </c>
      <c r="AJ1016">
        <v>74</v>
      </c>
      <c r="AK1016">
        <v>16</v>
      </c>
      <c r="AL1016">
        <v>1</v>
      </c>
    </row>
    <row r="1017" spans="1:38" x14ac:dyDescent="0.3">
      <c r="A1017" t="s">
        <v>1459</v>
      </c>
      <c r="B1017">
        <v>117280</v>
      </c>
      <c r="C1017">
        <v>1</v>
      </c>
      <c r="D1017" t="s">
        <v>1109</v>
      </c>
      <c r="E1017" t="s">
        <v>910</v>
      </c>
      <c r="F1017">
        <v>62</v>
      </c>
      <c r="G1017">
        <v>20.399999999999999</v>
      </c>
      <c r="H1017">
        <v>67.459999999999994</v>
      </c>
      <c r="I1017">
        <v>15.77</v>
      </c>
      <c r="J1017">
        <v>52.14</v>
      </c>
      <c r="K1017">
        <v>15</v>
      </c>
      <c r="T1017">
        <v>3</v>
      </c>
      <c r="U1017">
        <v>2</v>
      </c>
      <c r="V1017" t="s">
        <v>93</v>
      </c>
      <c r="W1017" t="s">
        <v>1504</v>
      </c>
      <c r="X1017">
        <v>17</v>
      </c>
      <c r="Y1017">
        <v>16</v>
      </c>
      <c r="Z1017" t="s">
        <v>1505</v>
      </c>
      <c r="AA1017" t="s">
        <v>1506</v>
      </c>
      <c r="AB1017" t="s">
        <v>96</v>
      </c>
      <c r="AC1017" t="s">
        <v>97</v>
      </c>
      <c r="AD1017" t="s">
        <v>1463</v>
      </c>
      <c r="AG1017" t="s">
        <v>1507</v>
      </c>
      <c r="AH1017">
        <v>0</v>
      </c>
      <c r="AI1017">
        <v>792</v>
      </c>
      <c r="AJ1017">
        <v>58</v>
      </c>
      <c r="AK1017">
        <v>49</v>
      </c>
      <c r="AL1017">
        <v>0.79</v>
      </c>
    </row>
    <row r="1018" spans="1:38" x14ac:dyDescent="0.3">
      <c r="A1018" t="s">
        <v>1459</v>
      </c>
      <c r="B1018">
        <v>117280</v>
      </c>
      <c r="C1018">
        <v>2</v>
      </c>
      <c r="D1018" t="s">
        <v>1109</v>
      </c>
      <c r="E1018" t="s">
        <v>910</v>
      </c>
      <c r="F1018">
        <v>62</v>
      </c>
      <c r="G1018">
        <v>20.399999999999999</v>
      </c>
      <c r="H1018">
        <v>67.459999999999994</v>
      </c>
      <c r="I1018">
        <v>15.77</v>
      </c>
      <c r="J1018">
        <v>52.14</v>
      </c>
      <c r="K1018">
        <v>15</v>
      </c>
      <c r="T1018">
        <v>3</v>
      </c>
      <c r="U1018">
        <v>2</v>
      </c>
      <c r="V1018" t="s">
        <v>93</v>
      </c>
      <c r="W1018" t="s">
        <v>1508</v>
      </c>
      <c r="X1018">
        <v>17</v>
      </c>
      <c r="Y1018">
        <v>16</v>
      </c>
      <c r="Z1018" t="s">
        <v>1505</v>
      </c>
      <c r="AA1018" t="s">
        <v>1506</v>
      </c>
      <c r="AB1018" t="s">
        <v>96</v>
      </c>
      <c r="AC1018" t="s">
        <v>97</v>
      </c>
      <c r="AD1018" t="s">
        <v>1463</v>
      </c>
      <c r="AG1018" t="s">
        <v>1507</v>
      </c>
      <c r="AH1018">
        <v>0</v>
      </c>
      <c r="AI1018">
        <v>792</v>
      </c>
      <c r="AJ1018">
        <v>58</v>
      </c>
      <c r="AK1018">
        <v>49</v>
      </c>
      <c r="AL1018">
        <v>0.79</v>
      </c>
    </row>
    <row r="1019" spans="1:38" x14ac:dyDescent="0.3">
      <c r="A1019" t="s">
        <v>1459</v>
      </c>
      <c r="B1019">
        <v>117280</v>
      </c>
      <c r="C1019">
        <v>3</v>
      </c>
      <c r="D1019" t="s">
        <v>1109</v>
      </c>
      <c r="E1019" t="s">
        <v>910</v>
      </c>
      <c r="F1019">
        <v>62</v>
      </c>
      <c r="G1019">
        <v>20.57</v>
      </c>
      <c r="H1019">
        <v>68.02</v>
      </c>
      <c r="I1019">
        <v>15.56</v>
      </c>
      <c r="J1019">
        <v>51.46</v>
      </c>
      <c r="K1019">
        <v>15</v>
      </c>
      <c r="T1019">
        <v>3</v>
      </c>
      <c r="U1019">
        <v>2</v>
      </c>
      <c r="V1019" t="s">
        <v>93</v>
      </c>
      <c r="W1019" t="s">
        <v>1509</v>
      </c>
      <c r="X1019">
        <v>17</v>
      </c>
      <c r="Y1019">
        <v>16</v>
      </c>
      <c r="Z1019" t="s">
        <v>1505</v>
      </c>
      <c r="AA1019" t="s">
        <v>1506</v>
      </c>
      <c r="AB1019" t="s">
        <v>96</v>
      </c>
      <c r="AC1019" t="s">
        <v>97</v>
      </c>
      <c r="AD1019" t="s">
        <v>1463</v>
      </c>
      <c r="AG1019" t="s">
        <v>1507</v>
      </c>
      <c r="AH1019">
        <v>0</v>
      </c>
      <c r="AI1019">
        <v>792</v>
      </c>
      <c r="AJ1019">
        <v>58</v>
      </c>
      <c r="AK1019">
        <v>49</v>
      </c>
      <c r="AL1019">
        <v>0.79</v>
      </c>
    </row>
    <row r="1020" spans="1:38" x14ac:dyDescent="0.3">
      <c r="A1020" t="s">
        <v>1459</v>
      </c>
      <c r="B1020">
        <v>117280</v>
      </c>
      <c r="C1020">
        <v>4</v>
      </c>
      <c r="D1020" t="s">
        <v>1109</v>
      </c>
      <c r="E1020" t="s">
        <v>910</v>
      </c>
      <c r="F1020">
        <v>62</v>
      </c>
      <c r="G1020">
        <v>20.86</v>
      </c>
      <c r="H1020">
        <v>68.959999999999994</v>
      </c>
      <c r="I1020">
        <v>15.25</v>
      </c>
      <c r="J1020">
        <v>50.42</v>
      </c>
      <c r="K1020">
        <v>1</v>
      </c>
      <c r="T1020">
        <v>3</v>
      </c>
      <c r="U1020">
        <v>2</v>
      </c>
      <c r="V1020" t="s">
        <v>93</v>
      </c>
      <c r="W1020" t="s">
        <v>1510</v>
      </c>
      <c r="X1020">
        <v>17</v>
      </c>
      <c r="Y1020">
        <v>16</v>
      </c>
      <c r="Z1020" t="s">
        <v>1505</v>
      </c>
      <c r="AA1020" t="s">
        <v>1506</v>
      </c>
      <c r="AB1020" t="s">
        <v>96</v>
      </c>
      <c r="AC1020" t="s">
        <v>97</v>
      </c>
      <c r="AD1020" t="s">
        <v>1463</v>
      </c>
      <c r="AG1020" t="s">
        <v>1507</v>
      </c>
      <c r="AH1020">
        <v>0</v>
      </c>
      <c r="AI1020">
        <v>792</v>
      </c>
      <c r="AJ1020">
        <v>58</v>
      </c>
      <c r="AK1020">
        <v>49</v>
      </c>
      <c r="AL1020">
        <v>0.79</v>
      </c>
    </row>
    <row r="1021" spans="1:38" x14ac:dyDescent="0.3">
      <c r="A1021" t="s">
        <v>1459</v>
      </c>
      <c r="B1021">
        <v>117280</v>
      </c>
      <c r="C1021">
        <v>5</v>
      </c>
      <c r="D1021" t="s">
        <v>1109</v>
      </c>
      <c r="E1021" t="s">
        <v>910</v>
      </c>
      <c r="F1021">
        <v>62</v>
      </c>
      <c r="G1021">
        <v>20.98</v>
      </c>
      <c r="H1021">
        <v>69.37</v>
      </c>
      <c r="I1021">
        <v>15.79</v>
      </c>
      <c r="J1021">
        <v>52.23</v>
      </c>
      <c r="K1021">
        <v>15</v>
      </c>
      <c r="T1021">
        <v>3</v>
      </c>
      <c r="U1021">
        <v>2</v>
      </c>
      <c r="V1021" t="s">
        <v>93</v>
      </c>
      <c r="W1021" t="s">
        <v>1511</v>
      </c>
      <c r="X1021">
        <v>17</v>
      </c>
      <c r="Y1021">
        <v>16</v>
      </c>
      <c r="Z1021" t="s">
        <v>1505</v>
      </c>
      <c r="AA1021" t="s">
        <v>1506</v>
      </c>
      <c r="AB1021" t="s">
        <v>96</v>
      </c>
      <c r="AC1021" t="s">
        <v>97</v>
      </c>
      <c r="AD1021" t="s">
        <v>1463</v>
      </c>
      <c r="AG1021" t="s">
        <v>1507</v>
      </c>
      <c r="AH1021">
        <v>0</v>
      </c>
      <c r="AI1021">
        <v>792</v>
      </c>
      <c r="AJ1021">
        <v>58</v>
      </c>
      <c r="AK1021">
        <v>49</v>
      </c>
      <c r="AL1021">
        <v>0.79</v>
      </c>
    </row>
    <row r="1022" spans="1:38" x14ac:dyDescent="0.3">
      <c r="A1022" t="s">
        <v>1459</v>
      </c>
      <c r="B1022">
        <v>117280</v>
      </c>
      <c r="C1022">
        <v>6</v>
      </c>
      <c r="D1022" t="s">
        <v>1109</v>
      </c>
      <c r="E1022" t="s">
        <v>910</v>
      </c>
      <c r="F1022">
        <v>62</v>
      </c>
      <c r="G1022">
        <v>20.92</v>
      </c>
      <c r="H1022">
        <v>69.19</v>
      </c>
      <c r="I1022">
        <v>15</v>
      </c>
      <c r="J1022">
        <v>49.59</v>
      </c>
      <c r="K1022">
        <v>1</v>
      </c>
      <c r="T1022">
        <v>3</v>
      </c>
      <c r="U1022">
        <v>2</v>
      </c>
      <c r="V1022" t="s">
        <v>93</v>
      </c>
      <c r="W1022" t="s">
        <v>1512</v>
      </c>
      <c r="X1022">
        <v>17</v>
      </c>
      <c r="Y1022">
        <v>16</v>
      </c>
      <c r="Z1022" t="s">
        <v>1505</v>
      </c>
      <c r="AA1022" t="s">
        <v>1506</v>
      </c>
      <c r="AB1022" t="s">
        <v>96</v>
      </c>
      <c r="AC1022" t="s">
        <v>97</v>
      </c>
      <c r="AD1022" t="s">
        <v>1463</v>
      </c>
      <c r="AG1022" t="s">
        <v>1507</v>
      </c>
      <c r="AH1022">
        <v>0</v>
      </c>
      <c r="AI1022">
        <v>792</v>
      </c>
      <c r="AJ1022">
        <v>58</v>
      </c>
      <c r="AK1022">
        <v>49</v>
      </c>
      <c r="AL1022">
        <v>0.79</v>
      </c>
    </row>
    <row r="1023" spans="1:38" x14ac:dyDescent="0.3">
      <c r="A1023" t="s">
        <v>1459</v>
      </c>
      <c r="B1023">
        <v>123101</v>
      </c>
      <c r="C1023">
        <v>1</v>
      </c>
      <c r="D1023" t="s">
        <v>1513</v>
      </c>
      <c r="E1023" t="s">
        <v>442</v>
      </c>
      <c r="F1023">
        <v>26</v>
      </c>
      <c r="G1023">
        <v>21.14</v>
      </c>
      <c r="H1023">
        <v>69.91</v>
      </c>
      <c r="I1023">
        <v>17.350000000000001</v>
      </c>
      <c r="J1023">
        <v>57.36</v>
      </c>
      <c r="K1023">
        <v>13</v>
      </c>
      <c r="T1023">
        <v>3</v>
      </c>
      <c r="U1023">
        <v>2</v>
      </c>
      <c r="V1023" t="s">
        <v>93</v>
      </c>
      <c r="W1023" t="s">
        <v>382</v>
      </c>
      <c r="X1023">
        <v>14</v>
      </c>
      <c r="Y1023">
        <v>14</v>
      </c>
      <c r="Z1023" t="s">
        <v>1514</v>
      </c>
      <c r="AA1023" t="s">
        <v>1515</v>
      </c>
      <c r="AB1023" t="s">
        <v>96</v>
      </c>
      <c r="AC1023" t="s">
        <v>97</v>
      </c>
      <c r="AD1023" t="s">
        <v>1463</v>
      </c>
      <c r="AG1023" t="s">
        <v>1516</v>
      </c>
      <c r="AH1023">
        <v>0</v>
      </c>
      <c r="AI1023">
        <v>647</v>
      </c>
      <c r="AJ1023">
        <v>67</v>
      </c>
      <c r="AK1023">
        <v>23</v>
      </c>
      <c r="AL1023">
        <v>0.88</v>
      </c>
    </row>
    <row r="1024" spans="1:38" x14ac:dyDescent="0.3">
      <c r="A1024" t="s">
        <v>1459</v>
      </c>
      <c r="B1024">
        <v>123101</v>
      </c>
      <c r="C1024">
        <v>2</v>
      </c>
      <c r="D1024" t="s">
        <v>1513</v>
      </c>
      <c r="E1024" t="s">
        <v>442</v>
      </c>
      <c r="F1024">
        <v>26</v>
      </c>
      <c r="G1024">
        <v>21.34</v>
      </c>
      <c r="H1024">
        <v>70.56</v>
      </c>
      <c r="I1024">
        <v>17.510000000000002</v>
      </c>
      <c r="J1024">
        <v>57.89</v>
      </c>
      <c r="K1024">
        <v>13</v>
      </c>
      <c r="T1024">
        <v>3</v>
      </c>
      <c r="U1024">
        <v>2</v>
      </c>
      <c r="V1024" t="s">
        <v>93</v>
      </c>
      <c r="W1024" t="s">
        <v>490</v>
      </c>
      <c r="X1024">
        <v>14</v>
      </c>
      <c r="Y1024">
        <v>14</v>
      </c>
      <c r="Z1024" t="s">
        <v>1514</v>
      </c>
      <c r="AA1024" t="s">
        <v>1515</v>
      </c>
      <c r="AB1024" t="s">
        <v>96</v>
      </c>
      <c r="AC1024" t="s">
        <v>97</v>
      </c>
      <c r="AD1024" t="s">
        <v>1463</v>
      </c>
      <c r="AG1024" t="s">
        <v>1516</v>
      </c>
      <c r="AH1024">
        <v>0</v>
      </c>
      <c r="AI1024">
        <v>647</v>
      </c>
      <c r="AJ1024">
        <v>67</v>
      </c>
      <c r="AK1024">
        <v>23</v>
      </c>
      <c r="AL1024">
        <v>0.88</v>
      </c>
    </row>
    <row r="1025" spans="1:38" x14ac:dyDescent="0.3">
      <c r="A1025" t="s">
        <v>1459</v>
      </c>
      <c r="B1025">
        <v>120697</v>
      </c>
      <c r="C1025">
        <v>1</v>
      </c>
      <c r="D1025" t="s">
        <v>1517</v>
      </c>
      <c r="E1025" t="s">
        <v>981</v>
      </c>
      <c r="F1025">
        <v>12</v>
      </c>
      <c r="G1025">
        <v>22.55</v>
      </c>
      <c r="H1025">
        <v>74.569999999999993</v>
      </c>
      <c r="I1025">
        <v>18.079999999999998</v>
      </c>
      <c r="J1025">
        <v>59.77</v>
      </c>
      <c r="K1025">
        <v>4</v>
      </c>
      <c r="T1025">
        <v>3</v>
      </c>
      <c r="U1025">
        <v>1</v>
      </c>
      <c r="V1025" t="s">
        <v>93</v>
      </c>
      <c r="W1025" t="s">
        <v>406</v>
      </c>
      <c r="X1025">
        <v>14</v>
      </c>
      <c r="Y1025">
        <v>14</v>
      </c>
      <c r="Z1025" t="s">
        <v>1518</v>
      </c>
      <c r="AA1025" t="s">
        <v>1519</v>
      </c>
      <c r="AB1025" t="s">
        <v>96</v>
      </c>
      <c r="AC1025" t="s">
        <v>97</v>
      </c>
      <c r="AD1025" t="s">
        <v>1463</v>
      </c>
      <c r="AG1025" t="s">
        <v>1520</v>
      </c>
      <c r="AH1025">
        <v>0</v>
      </c>
      <c r="AI1025">
        <v>818</v>
      </c>
      <c r="AJ1025">
        <v>79</v>
      </c>
      <c r="AK1025">
        <v>11</v>
      </c>
      <c r="AL1025">
        <v>0.92</v>
      </c>
    </row>
    <row r="1026" spans="1:38" x14ac:dyDescent="0.3">
      <c r="A1026" t="s">
        <v>1459</v>
      </c>
      <c r="B1026">
        <v>120697</v>
      </c>
      <c r="C1026">
        <v>2</v>
      </c>
      <c r="D1026" t="s">
        <v>1517</v>
      </c>
      <c r="E1026" t="s">
        <v>981</v>
      </c>
      <c r="F1026">
        <v>12</v>
      </c>
      <c r="G1026">
        <v>22.97</v>
      </c>
      <c r="H1026">
        <v>75.95</v>
      </c>
      <c r="I1026">
        <v>18.13</v>
      </c>
      <c r="J1026">
        <v>59.96</v>
      </c>
      <c r="K1026">
        <v>4</v>
      </c>
      <c r="T1026">
        <v>3</v>
      </c>
      <c r="U1026">
        <v>1</v>
      </c>
      <c r="V1026" t="s">
        <v>93</v>
      </c>
      <c r="W1026" t="s">
        <v>407</v>
      </c>
      <c r="X1026">
        <v>14</v>
      </c>
      <c r="Y1026">
        <v>14</v>
      </c>
      <c r="Z1026" t="s">
        <v>1518</v>
      </c>
      <c r="AA1026" t="s">
        <v>1519</v>
      </c>
      <c r="AB1026" t="s">
        <v>96</v>
      </c>
      <c r="AC1026" t="s">
        <v>97</v>
      </c>
      <c r="AD1026" t="s">
        <v>1463</v>
      </c>
      <c r="AG1026" t="s">
        <v>1520</v>
      </c>
      <c r="AH1026">
        <v>0</v>
      </c>
      <c r="AI1026">
        <v>818</v>
      </c>
      <c r="AJ1026">
        <v>79</v>
      </c>
      <c r="AK1026">
        <v>11</v>
      </c>
      <c r="AL1026">
        <v>0.92</v>
      </c>
    </row>
    <row r="1027" spans="1:38" x14ac:dyDescent="0.3">
      <c r="A1027" t="s">
        <v>1459</v>
      </c>
      <c r="B1027">
        <v>120697</v>
      </c>
      <c r="C1027">
        <v>3</v>
      </c>
      <c r="D1027" t="s">
        <v>1517</v>
      </c>
      <c r="E1027" t="s">
        <v>981</v>
      </c>
      <c r="F1027">
        <v>12</v>
      </c>
      <c r="G1027">
        <v>22.86</v>
      </c>
      <c r="H1027">
        <v>75.58</v>
      </c>
      <c r="I1027">
        <v>18.14</v>
      </c>
      <c r="J1027">
        <v>59.98</v>
      </c>
      <c r="K1027">
        <v>4</v>
      </c>
      <c r="T1027">
        <v>3</v>
      </c>
      <c r="U1027">
        <v>1</v>
      </c>
      <c r="V1027" t="s">
        <v>93</v>
      </c>
      <c r="W1027" t="s">
        <v>881</v>
      </c>
      <c r="X1027">
        <v>14</v>
      </c>
      <c r="Y1027">
        <v>14</v>
      </c>
      <c r="Z1027" t="s">
        <v>1518</v>
      </c>
      <c r="AA1027" t="s">
        <v>1519</v>
      </c>
      <c r="AB1027" t="s">
        <v>96</v>
      </c>
      <c r="AC1027" t="s">
        <v>97</v>
      </c>
      <c r="AD1027" t="s">
        <v>1463</v>
      </c>
      <c r="AG1027" t="s">
        <v>1520</v>
      </c>
      <c r="AH1027">
        <v>0</v>
      </c>
      <c r="AI1027">
        <v>818</v>
      </c>
      <c r="AJ1027">
        <v>79</v>
      </c>
      <c r="AK1027">
        <v>11</v>
      </c>
      <c r="AL1027">
        <v>0.92</v>
      </c>
    </row>
    <row r="1028" spans="1:38" x14ac:dyDescent="0.3">
      <c r="A1028" t="s">
        <v>1459</v>
      </c>
      <c r="B1028">
        <v>114697</v>
      </c>
      <c r="C1028">
        <v>1</v>
      </c>
      <c r="D1028" t="s">
        <v>1521</v>
      </c>
      <c r="E1028" t="s">
        <v>1522</v>
      </c>
      <c r="F1028">
        <v>24</v>
      </c>
      <c r="G1028">
        <v>23.26</v>
      </c>
      <c r="H1028">
        <v>76.900000000000006</v>
      </c>
      <c r="I1028">
        <v>18.14</v>
      </c>
      <c r="J1028">
        <v>59.97</v>
      </c>
      <c r="K1028">
        <v>11</v>
      </c>
      <c r="T1028">
        <v>3</v>
      </c>
      <c r="U1028">
        <v>1</v>
      </c>
      <c r="V1028" t="s">
        <v>93</v>
      </c>
      <c r="W1028" t="s">
        <v>1413</v>
      </c>
      <c r="X1028">
        <v>13</v>
      </c>
      <c r="Y1028">
        <v>12</v>
      </c>
      <c r="Z1028" t="s">
        <v>1523</v>
      </c>
      <c r="AA1028" t="s">
        <v>1524</v>
      </c>
      <c r="AB1028" t="s">
        <v>96</v>
      </c>
      <c r="AC1028" t="s">
        <v>97</v>
      </c>
      <c r="AD1028" t="s">
        <v>1463</v>
      </c>
      <c r="AG1028" t="s">
        <v>1525</v>
      </c>
      <c r="AH1028">
        <v>0</v>
      </c>
      <c r="AI1028">
        <v>774</v>
      </c>
      <c r="AJ1028">
        <v>74</v>
      </c>
      <c r="AK1028">
        <v>20</v>
      </c>
      <c r="AL1028">
        <v>0.83</v>
      </c>
    </row>
    <row r="1029" spans="1:38" x14ac:dyDescent="0.3">
      <c r="A1029" t="s">
        <v>1459</v>
      </c>
      <c r="B1029">
        <v>114697</v>
      </c>
      <c r="C1029">
        <v>2</v>
      </c>
      <c r="D1029" t="s">
        <v>1521</v>
      </c>
      <c r="E1029" t="s">
        <v>1522</v>
      </c>
      <c r="F1029">
        <v>24</v>
      </c>
      <c r="G1029">
        <v>23.17</v>
      </c>
      <c r="H1029">
        <v>76.599999999999994</v>
      </c>
      <c r="I1029">
        <v>18.14</v>
      </c>
      <c r="J1029">
        <v>59.98</v>
      </c>
      <c r="K1029">
        <v>11</v>
      </c>
      <c r="T1029">
        <v>3</v>
      </c>
      <c r="U1029">
        <v>1</v>
      </c>
      <c r="V1029" t="s">
        <v>93</v>
      </c>
      <c r="W1029" t="s">
        <v>1126</v>
      </c>
      <c r="X1029">
        <v>13</v>
      </c>
      <c r="Y1029">
        <v>12</v>
      </c>
      <c r="Z1029" t="s">
        <v>1523</v>
      </c>
      <c r="AA1029" t="s">
        <v>1524</v>
      </c>
      <c r="AB1029" t="s">
        <v>96</v>
      </c>
      <c r="AC1029" t="s">
        <v>97</v>
      </c>
      <c r="AD1029" t="s">
        <v>1463</v>
      </c>
      <c r="AG1029" t="s">
        <v>1525</v>
      </c>
      <c r="AH1029">
        <v>0</v>
      </c>
      <c r="AI1029">
        <v>774</v>
      </c>
      <c r="AJ1029">
        <v>74</v>
      </c>
      <c r="AK1029">
        <v>20</v>
      </c>
      <c r="AL1029">
        <v>0.83</v>
      </c>
    </row>
    <row r="1030" spans="1:38" x14ac:dyDescent="0.3">
      <c r="A1030" t="s">
        <v>1459</v>
      </c>
      <c r="B1030">
        <v>114697</v>
      </c>
      <c r="C1030">
        <v>3</v>
      </c>
      <c r="D1030" t="s">
        <v>1521</v>
      </c>
      <c r="E1030" t="s">
        <v>1522</v>
      </c>
      <c r="F1030">
        <v>24</v>
      </c>
      <c r="G1030">
        <v>23.25</v>
      </c>
      <c r="H1030">
        <v>76.87</v>
      </c>
      <c r="I1030">
        <v>18.079999999999998</v>
      </c>
      <c r="J1030">
        <v>59.78</v>
      </c>
      <c r="K1030">
        <v>1</v>
      </c>
      <c r="T1030">
        <v>3</v>
      </c>
      <c r="U1030">
        <v>1</v>
      </c>
      <c r="V1030" t="s">
        <v>93</v>
      </c>
      <c r="W1030" t="s">
        <v>711</v>
      </c>
      <c r="X1030">
        <v>13</v>
      </c>
      <c r="Y1030">
        <v>12</v>
      </c>
      <c r="Z1030" t="s">
        <v>1523</v>
      </c>
      <c r="AA1030" t="s">
        <v>1524</v>
      </c>
      <c r="AB1030" t="s">
        <v>96</v>
      </c>
      <c r="AC1030" t="s">
        <v>97</v>
      </c>
      <c r="AD1030" t="s">
        <v>1463</v>
      </c>
      <c r="AG1030" t="s">
        <v>1525</v>
      </c>
      <c r="AH1030">
        <v>0</v>
      </c>
      <c r="AI1030">
        <v>774</v>
      </c>
      <c r="AJ1030">
        <v>74</v>
      </c>
      <c r="AK1030">
        <v>20</v>
      </c>
      <c r="AL1030">
        <v>0.83</v>
      </c>
    </row>
    <row r="1031" spans="1:38" x14ac:dyDescent="0.3">
      <c r="A1031" t="s">
        <v>1459</v>
      </c>
      <c r="B1031">
        <v>114697</v>
      </c>
      <c r="C1031">
        <v>4</v>
      </c>
      <c r="D1031" t="s">
        <v>1521</v>
      </c>
      <c r="E1031" t="s">
        <v>1522</v>
      </c>
      <c r="F1031">
        <v>24</v>
      </c>
      <c r="G1031">
        <v>23.39</v>
      </c>
      <c r="H1031">
        <v>77.33</v>
      </c>
      <c r="I1031">
        <v>18.079999999999998</v>
      </c>
      <c r="J1031">
        <v>59.77</v>
      </c>
      <c r="K1031">
        <v>1</v>
      </c>
      <c r="T1031">
        <v>3</v>
      </c>
      <c r="U1031">
        <v>1</v>
      </c>
      <c r="V1031" t="s">
        <v>93</v>
      </c>
      <c r="W1031" t="s">
        <v>1526</v>
      </c>
      <c r="X1031">
        <v>13</v>
      </c>
      <c r="Y1031">
        <v>12</v>
      </c>
      <c r="Z1031" t="s">
        <v>1523</v>
      </c>
      <c r="AA1031" t="s">
        <v>1524</v>
      </c>
      <c r="AB1031" t="s">
        <v>96</v>
      </c>
      <c r="AC1031" t="s">
        <v>97</v>
      </c>
      <c r="AD1031" t="s">
        <v>1463</v>
      </c>
      <c r="AG1031" t="s">
        <v>1525</v>
      </c>
      <c r="AH1031">
        <v>0</v>
      </c>
      <c r="AI1031">
        <v>774</v>
      </c>
      <c r="AJ1031">
        <v>74</v>
      </c>
      <c r="AK1031">
        <v>20</v>
      </c>
      <c r="AL1031">
        <v>0.83</v>
      </c>
    </row>
    <row r="1032" spans="1:38" x14ac:dyDescent="0.3">
      <c r="A1032" t="s">
        <v>1459</v>
      </c>
      <c r="B1032">
        <v>2420</v>
      </c>
      <c r="C1032">
        <v>1</v>
      </c>
      <c r="D1032" t="s">
        <v>1527</v>
      </c>
      <c r="E1032" t="s">
        <v>1528</v>
      </c>
      <c r="F1032">
        <v>368</v>
      </c>
      <c r="G1032">
        <v>23.62</v>
      </c>
      <c r="H1032">
        <v>78.09</v>
      </c>
      <c r="I1032">
        <v>18.100000000000001</v>
      </c>
      <c r="J1032">
        <v>59.86</v>
      </c>
      <c r="K1032">
        <v>180</v>
      </c>
      <c r="T1032">
        <v>3</v>
      </c>
      <c r="U1032">
        <v>1</v>
      </c>
      <c r="V1032" t="s">
        <v>132</v>
      </c>
      <c r="W1032">
        <v>78</v>
      </c>
      <c r="X1032">
        <v>20</v>
      </c>
      <c r="Y1032">
        <v>18</v>
      </c>
      <c r="Z1032" t="s">
        <v>1529</v>
      </c>
      <c r="AA1032" t="s">
        <v>1530</v>
      </c>
      <c r="AB1032" t="s">
        <v>96</v>
      </c>
      <c r="AC1032" t="s">
        <v>97</v>
      </c>
      <c r="AD1032" t="s">
        <v>1463</v>
      </c>
      <c r="AG1032" t="s">
        <v>1531</v>
      </c>
      <c r="AH1032">
        <v>0</v>
      </c>
      <c r="AI1032">
        <v>242</v>
      </c>
      <c r="AJ1032">
        <v>19</v>
      </c>
      <c r="AK1032">
        <v>257</v>
      </c>
      <c r="AL1032">
        <v>0.7</v>
      </c>
    </row>
    <row r="1033" spans="1:38" x14ac:dyDescent="0.3">
      <c r="A1033" t="s">
        <v>1459</v>
      </c>
      <c r="B1033">
        <v>2420</v>
      </c>
      <c r="C1033">
        <v>2</v>
      </c>
      <c r="D1033" t="s">
        <v>1527</v>
      </c>
      <c r="E1033" t="s">
        <v>1528</v>
      </c>
      <c r="F1033">
        <v>368</v>
      </c>
      <c r="G1033">
        <v>27.51</v>
      </c>
      <c r="H1033">
        <v>90.95</v>
      </c>
      <c r="I1033">
        <v>21.98</v>
      </c>
      <c r="J1033">
        <v>72.69</v>
      </c>
      <c r="K1033">
        <v>80</v>
      </c>
      <c r="T1033">
        <v>3</v>
      </c>
      <c r="U1033">
        <v>1</v>
      </c>
      <c r="V1033" t="s">
        <v>93</v>
      </c>
      <c r="W1033">
        <v>90</v>
      </c>
      <c r="X1033">
        <v>20</v>
      </c>
      <c r="Y1033">
        <v>18</v>
      </c>
      <c r="Z1033" t="s">
        <v>1529</v>
      </c>
      <c r="AA1033" t="s">
        <v>1530</v>
      </c>
      <c r="AB1033" t="s">
        <v>96</v>
      </c>
      <c r="AC1033" t="s">
        <v>97</v>
      </c>
      <c r="AD1033" t="s">
        <v>1463</v>
      </c>
      <c r="AG1033" t="s">
        <v>1531</v>
      </c>
      <c r="AH1033">
        <v>0</v>
      </c>
      <c r="AI1033">
        <v>242</v>
      </c>
      <c r="AJ1033">
        <v>19</v>
      </c>
      <c r="AK1033">
        <v>257</v>
      </c>
      <c r="AL1033">
        <v>0.7</v>
      </c>
    </row>
    <row r="1034" spans="1:38" x14ac:dyDescent="0.3">
      <c r="A1034" t="s">
        <v>1459</v>
      </c>
      <c r="B1034">
        <v>2420</v>
      </c>
      <c r="C1034">
        <v>3</v>
      </c>
      <c r="D1034" t="s">
        <v>1527</v>
      </c>
      <c r="E1034" t="s">
        <v>1528</v>
      </c>
      <c r="F1034">
        <v>368</v>
      </c>
      <c r="G1034">
        <v>32.479999999999997</v>
      </c>
      <c r="H1034">
        <v>107.39</v>
      </c>
      <c r="I1034">
        <v>26.7</v>
      </c>
      <c r="J1034">
        <v>88.28</v>
      </c>
      <c r="K1034">
        <v>108</v>
      </c>
      <c r="T1034">
        <v>3</v>
      </c>
      <c r="U1034">
        <v>2</v>
      </c>
      <c r="V1034" t="s">
        <v>93</v>
      </c>
      <c r="W1034">
        <v>107</v>
      </c>
      <c r="X1034">
        <v>20</v>
      </c>
      <c r="Y1034">
        <v>18</v>
      </c>
      <c r="Z1034" t="s">
        <v>1529</v>
      </c>
      <c r="AA1034" t="s">
        <v>1530</v>
      </c>
      <c r="AB1034" t="s">
        <v>96</v>
      </c>
      <c r="AC1034" t="s">
        <v>97</v>
      </c>
      <c r="AD1034" t="s">
        <v>1463</v>
      </c>
      <c r="AG1034" t="s">
        <v>1531</v>
      </c>
      <c r="AH1034">
        <v>0</v>
      </c>
      <c r="AI1034">
        <v>242</v>
      </c>
      <c r="AJ1034">
        <v>19</v>
      </c>
      <c r="AK1034">
        <v>257</v>
      </c>
      <c r="AL1034">
        <v>0.7</v>
      </c>
    </row>
    <row r="1035" spans="1:38" x14ac:dyDescent="0.3">
      <c r="A1035" t="s">
        <v>1459</v>
      </c>
      <c r="B1035">
        <v>11751</v>
      </c>
      <c r="C1035">
        <v>1</v>
      </c>
      <c r="D1035" t="s">
        <v>1532</v>
      </c>
      <c r="E1035" t="s">
        <v>519</v>
      </c>
      <c r="F1035">
        <v>130</v>
      </c>
      <c r="G1035">
        <v>13.16</v>
      </c>
      <c r="H1035">
        <v>43.53</v>
      </c>
      <c r="I1035">
        <v>9.94</v>
      </c>
      <c r="J1035">
        <v>32.880000000000003</v>
      </c>
      <c r="K1035">
        <v>84</v>
      </c>
      <c r="T1035">
        <v>2</v>
      </c>
      <c r="U1035">
        <v>1</v>
      </c>
      <c r="V1035" t="s">
        <v>93</v>
      </c>
      <c r="W1035">
        <v>43</v>
      </c>
      <c r="X1035">
        <v>5</v>
      </c>
      <c r="Y1035">
        <v>4</v>
      </c>
      <c r="Z1035" t="s">
        <v>1533</v>
      </c>
      <c r="AA1035" t="s">
        <v>1534</v>
      </c>
      <c r="AB1035" t="s">
        <v>96</v>
      </c>
      <c r="AC1035" t="s">
        <v>97</v>
      </c>
      <c r="AD1035" t="s">
        <v>1463</v>
      </c>
      <c r="AG1035" t="s">
        <v>1535</v>
      </c>
      <c r="AH1035">
        <v>0</v>
      </c>
      <c r="AI1035">
        <v>126</v>
      </c>
      <c r="AJ1035">
        <v>26</v>
      </c>
      <c r="AK1035">
        <v>0</v>
      </c>
      <c r="AL1035">
        <v>0</v>
      </c>
    </row>
    <row r="1036" spans="1:38" x14ac:dyDescent="0.3">
      <c r="A1036" t="s">
        <v>1459</v>
      </c>
      <c r="B1036">
        <v>11751</v>
      </c>
      <c r="C1036">
        <v>2</v>
      </c>
      <c r="D1036" t="s">
        <v>1532</v>
      </c>
      <c r="E1036" t="s">
        <v>519</v>
      </c>
      <c r="F1036">
        <v>130</v>
      </c>
      <c r="G1036">
        <v>14.94</v>
      </c>
      <c r="H1036">
        <v>49.39</v>
      </c>
      <c r="I1036">
        <v>11.17</v>
      </c>
      <c r="J1036">
        <v>36.93</v>
      </c>
      <c r="K1036">
        <v>30</v>
      </c>
      <c r="T1036">
        <v>2</v>
      </c>
      <c r="U1036">
        <v>1</v>
      </c>
      <c r="V1036" t="s">
        <v>93</v>
      </c>
      <c r="W1036">
        <v>49</v>
      </c>
      <c r="X1036">
        <v>5</v>
      </c>
      <c r="Y1036">
        <v>4</v>
      </c>
      <c r="Z1036" t="s">
        <v>1533</v>
      </c>
      <c r="AA1036" t="s">
        <v>1534</v>
      </c>
      <c r="AB1036" t="s">
        <v>96</v>
      </c>
      <c r="AC1036" t="s">
        <v>97</v>
      </c>
      <c r="AD1036" t="s">
        <v>1463</v>
      </c>
      <c r="AG1036" t="s">
        <v>1535</v>
      </c>
      <c r="AH1036">
        <v>0</v>
      </c>
      <c r="AI1036">
        <v>126</v>
      </c>
      <c r="AJ1036">
        <v>26</v>
      </c>
      <c r="AK1036">
        <v>0</v>
      </c>
      <c r="AL1036">
        <v>0</v>
      </c>
    </row>
    <row r="1037" spans="1:38" x14ac:dyDescent="0.3">
      <c r="A1037" t="s">
        <v>1459</v>
      </c>
      <c r="B1037">
        <v>11751</v>
      </c>
      <c r="C1037">
        <v>3</v>
      </c>
      <c r="D1037" t="s">
        <v>1532</v>
      </c>
      <c r="E1037" t="s">
        <v>519</v>
      </c>
      <c r="F1037">
        <v>130</v>
      </c>
      <c r="G1037">
        <v>21.26</v>
      </c>
      <c r="H1037">
        <v>70.3</v>
      </c>
      <c r="I1037">
        <v>16.89</v>
      </c>
      <c r="J1037">
        <v>55.84</v>
      </c>
      <c r="K1037">
        <v>16</v>
      </c>
      <c r="T1037">
        <v>3</v>
      </c>
      <c r="U1037">
        <v>1</v>
      </c>
      <c r="V1037" t="s">
        <v>93</v>
      </c>
      <c r="W1037">
        <v>70</v>
      </c>
      <c r="X1037">
        <v>5</v>
      </c>
      <c r="Y1037">
        <v>4</v>
      </c>
      <c r="Z1037" t="s">
        <v>1533</v>
      </c>
      <c r="AA1037" t="s">
        <v>1534</v>
      </c>
      <c r="AB1037" t="s">
        <v>96</v>
      </c>
      <c r="AC1037" t="s">
        <v>97</v>
      </c>
      <c r="AD1037" t="s">
        <v>1463</v>
      </c>
      <c r="AG1037" t="s">
        <v>1535</v>
      </c>
      <c r="AH1037">
        <v>0</v>
      </c>
      <c r="AI1037">
        <v>126</v>
      </c>
      <c r="AJ1037">
        <v>26</v>
      </c>
      <c r="AK1037">
        <v>0</v>
      </c>
      <c r="AL1037">
        <v>0</v>
      </c>
    </row>
    <row r="1038" spans="1:38" x14ac:dyDescent="0.3">
      <c r="A1038" t="s">
        <v>1459</v>
      </c>
      <c r="B1038">
        <v>102348</v>
      </c>
      <c r="C1038">
        <v>1</v>
      </c>
      <c r="D1038" t="s">
        <v>1536</v>
      </c>
      <c r="E1038" t="s">
        <v>1537</v>
      </c>
      <c r="F1038">
        <v>171</v>
      </c>
      <c r="G1038">
        <v>23.87</v>
      </c>
      <c r="H1038">
        <v>78.91</v>
      </c>
      <c r="I1038">
        <v>18.010000000000002</v>
      </c>
      <c r="J1038">
        <v>59.55</v>
      </c>
      <c r="K1038">
        <v>25</v>
      </c>
      <c r="T1038">
        <v>3</v>
      </c>
      <c r="U1038">
        <v>2</v>
      </c>
      <c r="V1038" t="s">
        <v>93</v>
      </c>
      <c r="W1038">
        <v>78</v>
      </c>
      <c r="X1038">
        <v>19</v>
      </c>
      <c r="Y1038">
        <v>19</v>
      </c>
      <c r="Z1038" t="s">
        <v>1538</v>
      </c>
      <c r="AA1038" t="s">
        <v>1539</v>
      </c>
      <c r="AB1038" t="s">
        <v>96</v>
      </c>
      <c r="AC1038" t="s">
        <v>97</v>
      </c>
      <c r="AD1038" t="s">
        <v>1463</v>
      </c>
      <c r="AG1038" t="s">
        <v>1540</v>
      </c>
      <c r="AH1038">
        <v>0</v>
      </c>
      <c r="AI1038">
        <v>295</v>
      </c>
      <c r="AJ1038">
        <v>21</v>
      </c>
      <c r="AK1038">
        <v>171</v>
      </c>
      <c r="AL1038">
        <v>1</v>
      </c>
    </row>
    <row r="1039" spans="1:38" x14ac:dyDescent="0.3">
      <c r="A1039" t="s">
        <v>1459</v>
      </c>
      <c r="B1039">
        <v>102348</v>
      </c>
      <c r="C1039">
        <v>2</v>
      </c>
      <c r="D1039" t="s">
        <v>1536</v>
      </c>
      <c r="E1039" t="s">
        <v>1537</v>
      </c>
      <c r="F1039">
        <v>171</v>
      </c>
      <c r="G1039">
        <v>27.63</v>
      </c>
      <c r="H1039">
        <v>91.35</v>
      </c>
      <c r="I1039">
        <v>21.73</v>
      </c>
      <c r="J1039">
        <v>71.86</v>
      </c>
      <c r="K1039">
        <v>26</v>
      </c>
      <c r="T1039">
        <v>3</v>
      </c>
      <c r="U1039">
        <v>2</v>
      </c>
      <c r="V1039" t="s">
        <v>93</v>
      </c>
      <c r="W1039">
        <v>91</v>
      </c>
      <c r="X1039">
        <v>19</v>
      </c>
      <c r="Y1039">
        <v>19</v>
      </c>
      <c r="Z1039" t="s">
        <v>1538</v>
      </c>
      <c r="AA1039" t="s">
        <v>1539</v>
      </c>
      <c r="AB1039" t="s">
        <v>96</v>
      </c>
      <c r="AC1039" t="s">
        <v>97</v>
      </c>
      <c r="AD1039" t="s">
        <v>1463</v>
      </c>
      <c r="AG1039" t="s">
        <v>1540</v>
      </c>
      <c r="AH1039">
        <v>0</v>
      </c>
      <c r="AI1039">
        <v>295</v>
      </c>
      <c r="AJ1039">
        <v>21</v>
      </c>
      <c r="AK1039">
        <v>171</v>
      </c>
      <c r="AL1039">
        <v>1</v>
      </c>
    </row>
    <row r="1040" spans="1:38" x14ac:dyDescent="0.3">
      <c r="A1040" t="s">
        <v>1459</v>
      </c>
      <c r="B1040">
        <v>102348</v>
      </c>
      <c r="C1040">
        <v>3</v>
      </c>
      <c r="D1040" t="s">
        <v>1536</v>
      </c>
      <c r="E1040" t="s">
        <v>1537</v>
      </c>
      <c r="F1040">
        <v>171</v>
      </c>
      <c r="G1040">
        <v>32.450000000000003</v>
      </c>
      <c r="H1040">
        <v>107.28</v>
      </c>
      <c r="I1040">
        <v>25.68</v>
      </c>
      <c r="J1040">
        <v>84.92</v>
      </c>
      <c r="K1040">
        <v>74</v>
      </c>
      <c r="T1040">
        <v>3</v>
      </c>
      <c r="U1040">
        <v>2</v>
      </c>
      <c r="V1040" t="s">
        <v>93</v>
      </c>
      <c r="W1040" t="s">
        <v>907</v>
      </c>
      <c r="X1040">
        <v>19</v>
      </c>
      <c r="Y1040">
        <v>19</v>
      </c>
      <c r="Z1040" t="s">
        <v>1538</v>
      </c>
      <c r="AA1040" t="s">
        <v>1539</v>
      </c>
      <c r="AB1040" t="s">
        <v>96</v>
      </c>
      <c r="AC1040" t="s">
        <v>97</v>
      </c>
      <c r="AD1040" t="s">
        <v>1463</v>
      </c>
      <c r="AG1040" t="s">
        <v>1540</v>
      </c>
      <c r="AH1040">
        <v>0</v>
      </c>
      <c r="AI1040">
        <v>295</v>
      </c>
      <c r="AJ1040">
        <v>21</v>
      </c>
      <c r="AK1040">
        <v>171</v>
      </c>
      <c r="AL1040">
        <v>1</v>
      </c>
    </row>
    <row r="1041" spans="1:38" x14ac:dyDescent="0.3">
      <c r="A1041" t="s">
        <v>1459</v>
      </c>
      <c r="B1041">
        <v>102348</v>
      </c>
      <c r="C1041">
        <v>4</v>
      </c>
      <c r="D1041" t="s">
        <v>1536</v>
      </c>
      <c r="E1041" t="s">
        <v>1537</v>
      </c>
      <c r="F1041">
        <v>171</v>
      </c>
      <c r="G1041">
        <v>32.72</v>
      </c>
      <c r="H1041">
        <v>108.17</v>
      </c>
      <c r="I1041">
        <v>25.7</v>
      </c>
      <c r="J1041">
        <v>84.98</v>
      </c>
      <c r="K1041">
        <v>18</v>
      </c>
      <c r="T1041">
        <v>3</v>
      </c>
      <c r="U1041">
        <v>2</v>
      </c>
      <c r="V1041" t="s">
        <v>93</v>
      </c>
      <c r="W1041" t="s">
        <v>908</v>
      </c>
      <c r="X1041">
        <v>19</v>
      </c>
      <c r="Y1041">
        <v>19</v>
      </c>
      <c r="Z1041" t="s">
        <v>1538</v>
      </c>
      <c r="AA1041" t="s">
        <v>1539</v>
      </c>
      <c r="AB1041" t="s">
        <v>96</v>
      </c>
      <c r="AC1041" t="s">
        <v>97</v>
      </c>
      <c r="AD1041" t="s">
        <v>1463</v>
      </c>
      <c r="AG1041" t="s">
        <v>1540</v>
      </c>
      <c r="AH1041">
        <v>0</v>
      </c>
      <c r="AI1041">
        <v>295</v>
      </c>
      <c r="AJ1041">
        <v>21</v>
      </c>
      <c r="AK1041">
        <v>171</v>
      </c>
      <c r="AL1041">
        <v>1</v>
      </c>
    </row>
    <row r="1042" spans="1:38" x14ac:dyDescent="0.3">
      <c r="A1042" t="s">
        <v>1459</v>
      </c>
      <c r="B1042">
        <v>102348</v>
      </c>
      <c r="C1042">
        <v>5</v>
      </c>
      <c r="D1042" t="s">
        <v>1536</v>
      </c>
      <c r="E1042" t="s">
        <v>1537</v>
      </c>
      <c r="F1042">
        <v>171</v>
      </c>
      <c r="G1042">
        <v>32.96</v>
      </c>
      <c r="H1042">
        <v>108.98</v>
      </c>
      <c r="I1042">
        <v>25.66</v>
      </c>
      <c r="J1042">
        <v>84.85</v>
      </c>
      <c r="K1042">
        <v>16</v>
      </c>
      <c r="T1042">
        <v>3</v>
      </c>
      <c r="U1042">
        <v>2</v>
      </c>
      <c r="V1042" t="s">
        <v>93</v>
      </c>
      <c r="W1042" t="s">
        <v>1541</v>
      </c>
      <c r="X1042">
        <v>19</v>
      </c>
      <c r="Y1042">
        <v>19</v>
      </c>
      <c r="Z1042" t="s">
        <v>1538</v>
      </c>
      <c r="AA1042" t="s">
        <v>1539</v>
      </c>
      <c r="AB1042" t="s">
        <v>96</v>
      </c>
      <c r="AC1042" t="s">
        <v>97</v>
      </c>
      <c r="AD1042" t="s">
        <v>1463</v>
      </c>
      <c r="AG1042" t="s">
        <v>1540</v>
      </c>
      <c r="AH1042">
        <v>0</v>
      </c>
      <c r="AI1042">
        <v>295</v>
      </c>
      <c r="AJ1042">
        <v>21</v>
      </c>
      <c r="AK1042">
        <v>171</v>
      </c>
      <c r="AL1042">
        <v>1</v>
      </c>
    </row>
    <row r="1043" spans="1:38" x14ac:dyDescent="0.3">
      <c r="A1043" t="s">
        <v>1459</v>
      </c>
      <c r="B1043">
        <v>102348</v>
      </c>
      <c r="C1043">
        <v>6</v>
      </c>
      <c r="D1043" t="s">
        <v>1536</v>
      </c>
      <c r="E1043" t="s">
        <v>1537</v>
      </c>
      <c r="F1043">
        <v>171</v>
      </c>
      <c r="G1043">
        <v>33.840000000000003</v>
      </c>
      <c r="H1043">
        <v>111.9</v>
      </c>
      <c r="I1043">
        <v>25.7</v>
      </c>
      <c r="J1043">
        <v>84.97</v>
      </c>
      <c r="K1043">
        <v>12</v>
      </c>
      <c r="T1043">
        <v>3</v>
      </c>
      <c r="U1043">
        <v>2</v>
      </c>
      <c r="V1043" t="s">
        <v>93</v>
      </c>
      <c r="W1043" t="s">
        <v>1542</v>
      </c>
      <c r="X1043">
        <v>19</v>
      </c>
      <c r="Y1043">
        <v>19</v>
      </c>
      <c r="Z1043" t="s">
        <v>1538</v>
      </c>
      <c r="AA1043" t="s">
        <v>1539</v>
      </c>
      <c r="AB1043" t="s">
        <v>96</v>
      </c>
      <c r="AC1043" t="s">
        <v>97</v>
      </c>
      <c r="AD1043" t="s">
        <v>1463</v>
      </c>
      <c r="AG1043" t="s">
        <v>1540</v>
      </c>
      <c r="AH1043">
        <v>0</v>
      </c>
      <c r="AI1043">
        <v>295</v>
      </c>
      <c r="AJ1043">
        <v>21</v>
      </c>
      <c r="AK1043">
        <v>171</v>
      </c>
      <c r="AL1043">
        <v>1</v>
      </c>
    </row>
    <row r="1044" spans="1:38" x14ac:dyDescent="0.3">
      <c r="A1044" t="s">
        <v>1459</v>
      </c>
      <c r="B1044">
        <v>124770</v>
      </c>
      <c r="C1044">
        <v>1</v>
      </c>
      <c r="D1044" t="s">
        <v>1543</v>
      </c>
      <c r="E1044" t="s">
        <v>317</v>
      </c>
      <c r="F1044">
        <v>8</v>
      </c>
      <c r="G1044">
        <v>20.440000000000001</v>
      </c>
      <c r="H1044">
        <v>67.58</v>
      </c>
      <c r="I1044">
        <v>18.23</v>
      </c>
      <c r="J1044">
        <v>60.28</v>
      </c>
      <c r="K1044">
        <v>1</v>
      </c>
      <c r="T1044">
        <v>3</v>
      </c>
      <c r="U1044">
        <v>1</v>
      </c>
      <c r="V1044" t="s">
        <v>93</v>
      </c>
      <c r="W1044">
        <v>67</v>
      </c>
      <c r="X1044">
        <v>6</v>
      </c>
      <c r="Y1044">
        <v>5</v>
      </c>
      <c r="Z1044" t="s">
        <v>1544</v>
      </c>
      <c r="AA1044" t="s">
        <v>1545</v>
      </c>
      <c r="AB1044" t="s">
        <v>96</v>
      </c>
      <c r="AC1044" t="s">
        <v>97</v>
      </c>
      <c r="AD1044" t="s">
        <v>1463</v>
      </c>
      <c r="AG1044" t="s">
        <v>1546</v>
      </c>
      <c r="AH1044">
        <v>0</v>
      </c>
      <c r="AI1044">
        <v>281</v>
      </c>
      <c r="AJ1044">
        <v>65</v>
      </c>
      <c r="AK1044">
        <v>7</v>
      </c>
      <c r="AL1044">
        <v>0.88</v>
      </c>
    </row>
    <row r="1045" spans="1:38" x14ac:dyDescent="0.3">
      <c r="A1045" t="s">
        <v>1459</v>
      </c>
      <c r="B1045">
        <v>124770</v>
      </c>
      <c r="C1045">
        <v>2</v>
      </c>
      <c r="D1045" t="s">
        <v>1543</v>
      </c>
      <c r="E1045" t="s">
        <v>317</v>
      </c>
      <c r="F1045">
        <v>8</v>
      </c>
      <c r="G1045">
        <v>22.81</v>
      </c>
      <c r="H1045">
        <v>75.430000000000007</v>
      </c>
      <c r="I1045">
        <v>20.350000000000001</v>
      </c>
      <c r="J1045">
        <v>67.28</v>
      </c>
      <c r="K1045">
        <v>1</v>
      </c>
      <c r="T1045">
        <v>3</v>
      </c>
      <c r="U1045">
        <v>1</v>
      </c>
      <c r="V1045" t="s">
        <v>93</v>
      </c>
      <c r="W1045">
        <v>75</v>
      </c>
      <c r="X1045">
        <v>6</v>
      </c>
      <c r="Y1045">
        <v>5</v>
      </c>
      <c r="Z1045" t="s">
        <v>1544</v>
      </c>
      <c r="AA1045" t="s">
        <v>1545</v>
      </c>
      <c r="AB1045" t="s">
        <v>96</v>
      </c>
      <c r="AC1045" t="s">
        <v>97</v>
      </c>
      <c r="AD1045" t="s">
        <v>1463</v>
      </c>
      <c r="AG1045" t="s">
        <v>1546</v>
      </c>
      <c r="AH1045">
        <v>0</v>
      </c>
      <c r="AI1045">
        <v>281</v>
      </c>
      <c r="AJ1045">
        <v>65</v>
      </c>
      <c r="AK1045">
        <v>7</v>
      </c>
      <c r="AL1045">
        <v>0.88</v>
      </c>
    </row>
    <row r="1046" spans="1:38" x14ac:dyDescent="0.3">
      <c r="A1046" t="s">
        <v>1459</v>
      </c>
      <c r="B1046">
        <v>124770</v>
      </c>
      <c r="C1046">
        <v>3</v>
      </c>
      <c r="D1046" t="s">
        <v>1543</v>
      </c>
      <c r="E1046" t="s">
        <v>317</v>
      </c>
      <c r="F1046">
        <v>8</v>
      </c>
      <c r="G1046">
        <v>24.7</v>
      </c>
      <c r="H1046">
        <v>81.680000000000007</v>
      </c>
      <c r="I1046">
        <v>22.04</v>
      </c>
      <c r="J1046">
        <v>72.86</v>
      </c>
      <c r="K1046">
        <v>5</v>
      </c>
      <c r="T1046">
        <v>3</v>
      </c>
      <c r="U1046">
        <v>2</v>
      </c>
      <c r="V1046" t="s">
        <v>93</v>
      </c>
      <c r="W1046">
        <v>81</v>
      </c>
      <c r="X1046">
        <v>6</v>
      </c>
      <c r="Y1046">
        <v>5</v>
      </c>
      <c r="Z1046" t="s">
        <v>1544</v>
      </c>
      <c r="AA1046" t="s">
        <v>1545</v>
      </c>
      <c r="AB1046" t="s">
        <v>96</v>
      </c>
      <c r="AC1046" t="s">
        <v>97</v>
      </c>
      <c r="AD1046" t="s">
        <v>1463</v>
      </c>
      <c r="AG1046" t="s">
        <v>1546</v>
      </c>
      <c r="AH1046">
        <v>0</v>
      </c>
      <c r="AI1046">
        <v>281</v>
      </c>
      <c r="AJ1046">
        <v>65</v>
      </c>
      <c r="AK1046">
        <v>7</v>
      </c>
      <c r="AL1046">
        <v>0.88</v>
      </c>
    </row>
    <row r="1047" spans="1:38" x14ac:dyDescent="0.3">
      <c r="A1047" t="s">
        <v>1459</v>
      </c>
      <c r="B1047">
        <v>124770</v>
      </c>
      <c r="C1047">
        <v>4</v>
      </c>
      <c r="D1047" t="s">
        <v>1543</v>
      </c>
      <c r="E1047" t="s">
        <v>317</v>
      </c>
      <c r="F1047">
        <v>8</v>
      </c>
      <c r="G1047">
        <v>27.16</v>
      </c>
      <c r="H1047">
        <v>89.8</v>
      </c>
      <c r="I1047">
        <v>24.23</v>
      </c>
      <c r="J1047">
        <v>80.099999999999994</v>
      </c>
      <c r="K1047">
        <v>1</v>
      </c>
      <c r="T1047">
        <v>3</v>
      </c>
      <c r="U1047">
        <v>2</v>
      </c>
      <c r="V1047" t="s">
        <v>93</v>
      </c>
      <c r="W1047">
        <v>89</v>
      </c>
      <c r="X1047">
        <v>6</v>
      </c>
      <c r="Y1047">
        <v>5</v>
      </c>
      <c r="Z1047" t="s">
        <v>1544</v>
      </c>
      <c r="AA1047" t="s">
        <v>1545</v>
      </c>
      <c r="AB1047" t="s">
        <v>96</v>
      </c>
      <c r="AC1047" t="s">
        <v>97</v>
      </c>
      <c r="AD1047" t="s">
        <v>1463</v>
      </c>
      <c r="AG1047" t="s">
        <v>1546</v>
      </c>
      <c r="AH1047">
        <v>0</v>
      </c>
      <c r="AI1047">
        <v>281</v>
      </c>
      <c r="AJ1047">
        <v>65</v>
      </c>
      <c r="AK1047">
        <v>7</v>
      </c>
      <c r="AL1047">
        <v>0.88</v>
      </c>
    </row>
    <row r="1048" spans="1:38" x14ac:dyDescent="0.3">
      <c r="A1048" t="s">
        <v>1459</v>
      </c>
      <c r="B1048">
        <v>27897</v>
      </c>
      <c r="C1048">
        <v>1</v>
      </c>
      <c r="D1048" t="s">
        <v>1547</v>
      </c>
      <c r="E1048" t="s">
        <v>1548</v>
      </c>
      <c r="F1048">
        <v>180</v>
      </c>
      <c r="G1048">
        <v>23.41</v>
      </c>
      <c r="H1048">
        <v>77.42</v>
      </c>
      <c r="I1048">
        <v>18.11</v>
      </c>
      <c r="J1048">
        <v>59.88</v>
      </c>
      <c r="K1048">
        <v>28</v>
      </c>
      <c r="T1048">
        <v>3</v>
      </c>
      <c r="U1048">
        <v>2</v>
      </c>
      <c r="V1048" t="s">
        <v>93</v>
      </c>
      <c r="W1048">
        <v>77</v>
      </c>
      <c r="X1048">
        <v>15</v>
      </c>
      <c r="Y1048">
        <v>15</v>
      </c>
      <c r="Z1048" t="s">
        <v>1549</v>
      </c>
      <c r="AA1048" t="s">
        <v>1550</v>
      </c>
      <c r="AB1048" t="s">
        <v>96</v>
      </c>
      <c r="AC1048" t="s">
        <v>97</v>
      </c>
      <c r="AD1048" t="s">
        <v>1463</v>
      </c>
      <c r="AG1048" t="s">
        <v>1551</v>
      </c>
      <c r="AH1048">
        <v>0</v>
      </c>
      <c r="AI1048">
        <v>249</v>
      </c>
      <c r="AJ1048">
        <v>29</v>
      </c>
      <c r="AK1048">
        <v>186</v>
      </c>
      <c r="AL1048">
        <v>1.03</v>
      </c>
    </row>
    <row r="1049" spans="1:38" x14ac:dyDescent="0.3">
      <c r="A1049" t="s">
        <v>1459</v>
      </c>
      <c r="B1049">
        <v>27897</v>
      </c>
      <c r="C1049">
        <v>2</v>
      </c>
      <c r="D1049" t="s">
        <v>1547</v>
      </c>
      <c r="E1049" t="s">
        <v>1548</v>
      </c>
      <c r="F1049">
        <v>180</v>
      </c>
      <c r="G1049">
        <v>28.9</v>
      </c>
      <c r="H1049">
        <v>95.54</v>
      </c>
      <c r="I1049">
        <v>23.17</v>
      </c>
      <c r="J1049">
        <v>76.62</v>
      </c>
      <c r="K1049">
        <v>68</v>
      </c>
      <c r="T1049">
        <v>3</v>
      </c>
      <c r="U1049">
        <v>2</v>
      </c>
      <c r="V1049" t="s">
        <v>93</v>
      </c>
      <c r="W1049">
        <v>95</v>
      </c>
      <c r="X1049">
        <v>15</v>
      </c>
      <c r="Y1049">
        <v>15</v>
      </c>
      <c r="Z1049" t="s">
        <v>1549</v>
      </c>
      <c r="AA1049" t="s">
        <v>1550</v>
      </c>
      <c r="AB1049" t="s">
        <v>96</v>
      </c>
      <c r="AC1049" t="s">
        <v>97</v>
      </c>
      <c r="AD1049" t="s">
        <v>1463</v>
      </c>
      <c r="AG1049" t="s">
        <v>1551</v>
      </c>
      <c r="AH1049">
        <v>0</v>
      </c>
      <c r="AI1049">
        <v>249</v>
      </c>
      <c r="AJ1049">
        <v>29</v>
      </c>
      <c r="AK1049">
        <v>186</v>
      </c>
      <c r="AL1049">
        <v>1.03</v>
      </c>
    </row>
    <row r="1050" spans="1:38" x14ac:dyDescent="0.3">
      <c r="A1050" t="s">
        <v>1459</v>
      </c>
      <c r="B1050">
        <v>27897</v>
      </c>
      <c r="C1050">
        <v>3</v>
      </c>
      <c r="D1050" t="s">
        <v>1547</v>
      </c>
      <c r="E1050" t="s">
        <v>1548</v>
      </c>
      <c r="F1050">
        <v>180</v>
      </c>
      <c r="G1050">
        <v>32.44</v>
      </c>
      <c r="H1050">
        <v>107.25</v>
      </c>
      <c r="I1050">
        <v>25.66</v>
      </c>
      <c r="J1050">
        <v>84.84</v>
      </c>
      <c r="K1050">
        <v>56</v>
      </c>
      <c r="T1050">
        <v>3</v>
      </c>
      <c r="U1050">
        <v>2</v>
      </c>
      <c r="V1050" t="s">
        <v>93</v>
      </c>
      <c r="W1050">
        <v>107</v>
      </c>
      <c r="X1050">
        <v>15</v>
      </c>
      <c r="Y1050">
        <v>15</v>
      </c>
      <c r="Z1050" t="s">
        <v>1549</v>
      </c>
      <c r="AA1050" t="s">
        <v>1550</v>
      </c>
      <c r="AB1050" t="s">
        <v>96</v>
      </c>
      <c r="AC1050" t="s">
        <v>97</v>
      </c>
      <c r="AD1050" t="s">
        <v>1463</v>
      </c>
      <c r="AG1050" t="s">
        <v>1551</v>
      </c>
      <c r="AH1050">
        <v>0</v>
      </c>
      <c r="AI1050">
        <v>249</v>
      </c>
      <c r="AJ1050">
        <v>29</v>
      </c>
      <c r="AK1050">
        <v>186</v>
      </c>
      <c r="AL1050">
        <v>1.03</v>
      </c>
    </row>
    <row r="1051" spans="1:38" x14ac:dyDescent="0.3">
      <c r="A1051" t="s">
        <v>1459</v>
      </c>
      <c r="B1051">
        <v>27897</v>
      </c>
      <c r="C1051">
        <v>4</v>
      </c>
      <c r="D1051" t="s">
        <v>1547</v>
      </c>
      <c r="E1051" t="s">
        <v>1548</v>
      </c>
      <c r="F1051">
        <v>180</v>
      </c>
      <c r="G1051">
        <v>33.25</v>
      </c>
      <c r="H1051">
        <v>109.94</v>
      </c>
      <c r="I1051">
        <v>25.63</v>
      </c>
      <c r="J1051">
        <v>84.73</v>
      </c>
      <c r="K1051">
        <v>28</v>
      </c>
      <c r="T1051">
        <v>3</v>
      </c>
      <c r="U1051">
        <v>2</v>
      </c>
      <c r="V1051" t="s">
        <v>93</v>
      </c>
      <c r="W1051">
        <v>109</v>
      </c>
      <c r="X1051">
        <v>15</v>
      </c>
      <c r="Y1051">
        <v>15</v>
      </c>
      <c r="Z1051" t="s">
        <v>1549</v>
      </c>
      <c r="AA1051" t="s">
        <v>1550</v>
      </c>
      <c r="AB1051" t="s">
        <v>96</v>
      </c>
      <c r="AC1051" t="s">
        <v>97</v>
      </c>
      <c r="AD1051" t="s">
        <v>1463</v>
      </c>
      <c r="AG1051" t="s">
        <v>1551</v>
      </c>
      <c r="AH1051">
        <v>0</v>
      </c>
      <c r="AI1051">
        <v>249</v>
      </c>
      <c r="AJ1051">
        <v>29</v>
      </c>
      <c r="AK1051">
        <v>186</v>
      </c>
      <c r="AL1051">
        <v>1.03</v>
      </c>
    </row>
    <row r="1052" spans="1:38" x14ac:dyDescent="0.3">
      <c r="A1052" t="s">
        <v>1459</v>
      </c>
      <c r="B1052">
        <v>14080</v>
      </c>
      <c r="C1052">
        <v>1</v>
      </c>
      <c r="D1052" t="s">
        <v>1552</v>
      </c>
      <c r="E1052" t="s">
        <v>1553</v>
      </c>
      <c r="F1052">
        <v>135</v>
      </c>
      <c r="G1052">
        <v>17.91</v>
      </c>
      <c r="H1052">
        <v>59.23</v>
      </c>
      <c r="I1052">
        <v>16.489999999999998</v>
      </c>
      <c r="J1052">
        <v>54.52</v>
      </c>
      <c r="K1052">
        <v>100</v>
      </c>
      <c r="T1052">
        <v>2</v>
      </c>
      <c r="U1052">
        <v>1</v>
      </c>
      <c r="V1052" t="s">
        <v>93</v>
      </c>
      <c r="W1052" t="s">
        <v>1431</v>
      </c>
      <c r="X1052">
        <v>5</v>
      </c>
      <c r="Y1052">
        <v>5</v>
      </c>
      <c r="Z1052" t="s">
        <v>1554</v>
      </c>
      <c r="AA1052" t="s">
        <v>1555</v>
      </c>
      <c r="AB1052" t="s">
        <v>96</v>
      </c>
      <c r="AC1052" t="s">
        <v>97</v>
      </c>
      <c r="AD1052" t="s">
        <v>1463</v>
      </c>
      <c r="AG1052" t="s">
        <v>1556</v>
      </c>
      <c r="AH1052">
        <v>0</v>
      </c>
      <c r="AI1052">
        <v>107</v>
      </c>
      <c r="AJ1052">
        <v>21</v>
      </c>
      <c r="AK1052">
        <v>0</v>
      </c>
      <c r="AL1052">
        <v>0</v>
      </c>
    </row>
    <row r="1053" spans="1:38" x14ac:dyDescent="0.3">
      <c r="A1053" t="s">
        <v>1459</v>
      </c>
      <c r="B1053">
        <v>14080</v>
      </c>
      <c r="C1053">
        <v>2</v>
      </c>
      <c r="D1053" t="s">
        <v>1552</v>
      </c>
      <c r="E1053" t="s">
        <v>1553</v>
      </c>
      <c r="F1053">
        <v>135</v>
      </c>
      <c r="G1053">
        <v>18.23</v>
      </c>
      <c r="H1053">
        <v>60.27</v>
      </c>
      <c r="I1053">
        <v>16.77</v>
      </c>
      <c r="J1053">
        <v>55.44</v>
      </c>
      <c r="K1053">
        <v>30</v>
      </c>
      <c r="T1053">
        <v>2</v>
      </c>
      <c r="U1053">
        <v>1</v>
      </c>
      <c r="V1053" t="s">
        <v>93</v>
      </c>
      <c r="W1053" t="s">
        <v>179</v>
      </c>
      <c r="X1053">
        <v>5</v>
      </c>
      <c r="Y1053">
        <v>5</v>
      </c>
      <c r="Z1053" t="s">
        <v>1554</v>
      </c>
      <c r="AA1053" t="s">
        <v>1555</v>
      </c>
      <c r="AB1053" t="s">
        <v>96</v>
      </c>
      <c r="AC1053" t="s">
        <v>97</v>
      </c>
      <c r="AD1053" t="s">
        <v>1463</v>
      </c>
      <c r="AG1053" t="s">
        <v>1556</v>
      </c>
      <c r="AH1053">
        <v>0</v>
      </c>
      <c r="AI1053">
        <v>107</v>
      </c>
      <c r="AJ1053">
        <v>21</v>
      </c>
      <c r="AK1053">
        <v>0</v>
      </c>
      <c r="AL1053">
        <v>0</v>
      </c>
    </row>
    <row r="1054" spans="1:38" x14ac:dyDescent="0.3">
      <c r="A1054" t="s">
        <v>1459</v>
      </c>
      <c r="B1054">
        <v>14080</v>
      </c>
      <c r="C1054">
        <v>3</v>
      </c>
      <c r="D1054" t="s">
        <v>1552</v>
      </c>
      <c r="E1054" t="s">
        <v>1553</v>
      </c>
      <c r="F1054">
        <v>135</v>
      </c>
      <c r="G1054">
        <v>18.23</v>
      </c>
      <c r="H1054">
        <v>60.28</v>
      </c>
      <c r="I1054">
        <v>16.77</v>
      </c>
      <c r="J1054">
        <v>55.45</v>
      </c>
      <c r="K1054">
        <v>5</v>
      </c>
      <c r="T1054">
        <v>2</v>
      </c>
      <c r="U1054">
        <v>1</v>
      </c>
      <c r="V1054" t="s">
        <v>93</v>
      </c>
      <c r="W1054" t="s">
        <v>1435</v>
      </c>
      <c r="X1054">
        <v>5</v>
      </c>
      <c r="Y1054">
        <v>5</v>
      </c>
      <c r="Z1054" t="s">
        <v>1554</v>
      </c>
      <c r="AA1054" t="s">
        <v>1555</v>
      </c>
      <c r="AB1054" t="s">
        <v>96</v>
      </c>
      <c r="AC1054" t="s">
        <v>97</v>
      </c>
      <c r="AD1054" t="s">
        <v>1463</v>
      </c>
      <c r="AG1054" t="s">
        <v>1556</v>
      </c>
      <c r="AH1054">
        <v>0</v>
      </c>
      <c r="AI1054">
        <v>107</v>
      </c>
      <c r="AJ1054">
        <v>21</v>
      </c>
      <c r="AK1054">
        <v>0</v>
      </c>
      <c r="AL1054">
        <v>0</v>
      </c>
    </row>
    <row r="1055" spans="1:38" x14ac:dyDescent="0.3">
      <c r="A1055" t="s">
        <v>1459</v>
      </c>
      <c r="B1055">
        <v>113681</v>
      </c>
      <c r="C1055">
        <v>1</v>
      </c>
      <c r="D1055" t="s">
        <v>1455</v>
      </c>
      <c r="E1055" t="s">
        <v>317</v>
      </c>
      <c r="F1055">
        <v>7</v>
      </c>
      <c r="G1055">
        <v>16.13</v>
      </c>
      <c r="H1055">
        <v>53.33</v>
      </c>
      <c r="I1055">
        <v>14.06</v>
      </c>
      <c r="J1055">
        <v>46.49</v>
      </c>
      <c r="K1055">
        <v>2</v>
      </c>
      <c r="T1055">
        <v>2</v>
      </c>
      <c r="U1055">
        <v>1</v>
      </c>
      <c r="V1055" t="s">
        <v>211</v>
      </c>
      <c r="W1055">
        <v>53</v>
      </c>
      <c r="X1055">
        <v>6</v>
      </c>
      <c r="Y1055">
        <v>5</v>
      </c>
      <c r="Z1055" t="s">
        <v>1557</v>
      </c>
      <c r="AA1055" t="s">
        <v>1558</v>
      </c>
      <c r="AB1055" t="s">
        <v>96</v>
      </c>
      <c r="AC1055" t="s">
        <v>97</v>
      </c>
      <c r="AD1055" t="s">
        <v>1463</v>
      </c>
      <c r="AG1055" t="s">
        <v>1559</v>
      </c>
      <c r="AH1055">
        <v>0</v>
      </c>
      <c r="AI1055">
        <v>340</v>
      </c>
      <c r="AJ1055">
        <v>78</v>
      </c>
      <c r="AK1055">
        <v>6</v>
      </c>
      <c r="AL1055">
        <v>0.86</v>
      </c>
    </row>
    <row r="1056" spans="1:38" x14ac:dyDescent="0.3">
      <c r="A1056" t="s">
        <v>1459</v>
      </c>
      <c r="B1056">
        <v>113681</v>
      </c>
      <c r="C1056">
        <v>2</v>
      </c>
      <c r="D1056" t="s">
        <v>1455</v>
      </c>
      <c r="E1056" t="s">
        <v>317</v>
      </c>
      <c r="F1056">
        <v>7</v>
      </c>
      <c r="G1056">
        <v>19.91</v>
      </c>
      <c r="H1056">
        <v>65.819999999999993</v>
      </c>
      <c r="I1056">
        <v>17.350000000000001</v>
      </c>
      <c r="J1056">
        <v>57.38</v>
      </c>
      <c r="K1056">
        <v>4</v>
      </c>
      <c r="T1056">
        <v>3</v>
      </c>
      <c r="U1056">
        <v>1</v>
      </c>
      <c r="V1056" t="s">
        <v>211</v>
      </c>
      <c r="W1056">
        <v>65</v>
      </c>
      <c r="X1056">
        <v>6</v>
      </c>
      <c r="Y1056">
        <v>5</v>
      </c>
      <c r="Z1056" t="s">
        <v>1557</v>
      </c>
      <c r="AA1056" t="s">
        <v>1558</v>
      </c>
      <c r="AB1056" t="s">
        <v>96</v>
      </c>
      <c r="AC1056" t="s">
        <v>97</v>
      </c>
      <c r="AD1056" t="s">
        <v>1463</v>
      </c>
      <c r="AG1056" t="s">
        <v>1559</v>
      </c>
      <c r="AH1056">
        <v>0</v>
      </c>
      <c r="AI1056">
        <v>340</v>
      </c>
      <c r="AJ1056">
        <v>78</v>
      </c>
      <c r="AK1056">
        <v>6</v>
      </c>
      <c r="AL1056">
        <v>0.86</v>
      </c>
    </row>
    <row r="1057" spans="1:38" x14ac:dyDescent="0.3">
      <c r="A1057" t="s">
        <v>1459</v>
      </c>
      <c r="B1057">
        <v>113681</v>
      </c>
      <c r="C1057">
        <v>3</v>
      </c>
      <c r="D1057" t="s">
        <v>1455</v>
      </c>
      <c r="E1057" t="s">
        <v>317</v>
      </c>
      <c r="F1057">
        <v>7</v>
      </c>
      <c r="G1057">
        <v>25.44</v>
      </c>
      <c r="H1057">
        <v>84.12</v>
      </c>
      <c r="I1057">
        <v>22.18</v>
      </c>
      <c r="J1057">
        <v>73.33</v>
      </c>
      <c r="K1057">
        <v>1</v>
      </c>
      <c r="T1057">
        <v>3</v>
      </c>
      <c r="U1057">
        <v>2</v>
      </c>
      <c r="V1057" t="s">
        <v>211</v>
      </c>
      <c r="W1057">
        <v>84</v>
      </c>
      <c r="X1057">
        <v>6</v>
      </c>
      <c r="Y1057">
        <v>5</v>
      </c>
      <c r="Z1057" t="s">
        <v>1557</v>
      </c>
      <c r="AA1057" t="s">
        <v>1558</v>
      </c>
      <c r="AB1057" t="s">
        <v>96</v>
      </c>
      <c r="AC1057" t="s">
        <v>97</v>
      </c>
      <c r="AD1057" t="s">
        <v>1463</v>
      </c>
      <c r="AG1057" t="s">
        <v>1559</v>
      </c>
      <c r="AH1057">
        <v>0</v>
      </c>
      <c r="AI1057">
        <v>340</v>
      </c>
      <c r="AJ1057">
        <v>78</v>
      </c>
      <c r="AK1057">
        <v>6</v>
      </c>
      <c r="AL1057">
        <v>0.86</v>
      </c>
    </row>
    <row r="1058" spans="1:38" x14ac:dyDescent="0.3">
      <c r="A1058" t="s">
        <v>1459</v>
      </c>
      <c r="B1058">
        <v>9693</v>
      </c>
      <c r="C1058">
        <v>1</v>
      </c>
      <c r="D1058" t="s">
        <v>1560</v>
      </c>
      <c r="E1058" t="s">
        <v>264</v>
      </c>
      <c r="F1058">
        <v>60</v>
      </c>
      <c r="G1058">
        <v>22.63</v>
      </c>
      <c r="H1058">
        <v>74.84</v>
      </c>
      <c r="I1058">
        <v>18.59</v>
      </c>
      <c r="J1058">
        <v>61.47</v>
      </c>
      <c r="K1058">
        <v>30</v>
      </c>
      <c r="T1058">
        <v>3</v>
      </c>
      <c r="U1058">
        <v>1</v>
      </c>
      <c r="V1058" t="s">
        <v>93</v>
      </c>
      <c r="W1058">
        <v>74</v>
      </c>
      <c r="X1058">
        <v>5</v>
      </c>
      <c r="Y1058">
        <v>5</v>
      </c>
      <c r="Z1058" t="s">
        <v>1561</v>
      </c>
      <c r="AA1058" t="s">
        <v>1562</v>
      </c>
      <c r="AB1058" t="s">
        <v>96</v>
      </c>
      <c r="AC1058" t="s">
        <v>97</v>
      </c>
      <c r="AD1058" t="s">
        <v>1463</v>
      </c>
      <c r="AG1058" t="s">
        <v>1563</v>
      </c>
      <c r="AH1058">
        <v>0</v>
      </c>
      <c r="AI1058">
        <v>0</v>
      </c>
      <c r="AJ1058">
        <v>0</v>
      </c>
      <c r="AK1058">
        <v>0</v>
      </c>
      <c r="AL1058">
        <v>0</v>
      </c>
    </row>
    <row r="1059" spans="1:38" x14ac:dyDescent="0.3">
      <c r="A1059" t="s">
        <v>1459</v>
      </c>
      <c r="B1059">
        <v>9693</v>
      </c>
      <c r="C1059">
        <v>2</v>
      </c>
      <c r="D1059" t="s">
        <v>1560</v>
      </c>
      <c r="E1059" t="s">
        <v>264</v>
      </c>
      <c r="F1059">
        <v>60</v>
      </c>
      <c r="G1059">
        <v>24.89</v>
      </c>
      <c r="H1059">
        <v>82.29</v>
      </c>
      <c r="I1059">
        <v>20.47</v>
      </c>
      <c r="J1059">
        <v>67.680000000000007</v>
      </c>
      <c r="K1059">
        <v>30</v>
      </c>
      <c r="T1059">
        <v>3</v>
      </c>
      <c r="U1059">
        <v>1</v>
      </c>
      <c r="V1059" t="s">
        <v>93</v>
      </c>
      <c r="W1059">
        <v>82</v>
      </c>
      <c r="X1059">
        <v>5</v>
      </c>
      <c r="Y1059">
        <v>5</v>
      </c>
      <c r="Z1059" t="s">
        <v>1561</v>
      </c>
      <c r="AA1059" t="s">
        <v>1562</v>
      </c>
      <c r="AB1059" t="s">
        <v>96</v>
      </c>
      <c r="AC1059" t="s">
        <v>97</v>
      </c>
      <c r="AD1059" t="s">
        <v>1463</v>
      </c>
      <c r="AG1059" t="s">
        <v>1563</v>
      </c>
      <c r="AH1059">
        <v>0</v>
      </c>
      <c r="AI1059">
        <v>0</v>
      </c>
      <c r="AJ1059">
        <v>0</v>
      </c>
      <c r="AK1059">
        <v>0</v>
      </c>
      <c r="AL1059">
        <v>0</v>
      </c>
    </row>
    <row r="1060" spans="1:38" x14ac:dyDescent="0.3">
      <c r="A1060" t="s">
        <v>1459</v>
      </c>
      <c r="B1060">
        <v>8109</v>
      </c>
      <c r="C1060">
        <v>1</v>
      </c>
      <c r="D1060" t="s">
        <v>1564</v>
      </c>
      <c r="E1060" t="s">
        <v>1565</v>
      </c>
      <c r="F1060">
        <v>204</v>
      </c>
      <c r="G1060">
        <v>15.99</v>
      </c>
      <c r="H1060">
        <v>52.89</v>
      </c>
      <c r="I1060">
        <v>12.84</v>
      </c>
      <c r="J1060">
        <v>42.45</v>
      </c>
      <c r="K1060">
        <v>30</v>
      </c>
      <c r="T1060">
        <v>2</v>
      </c>
      <c r="U1060">
        <v>1</v>
      </c>
      <c r="V1060" t="s">
        <v>93</v>
      </c>
      <c r="W1060">
        <v>52</v>
      </c>
      <c r="X1060">
        <v>6</v>
      </c>
      <c r="Y1060">
        <v>6</v>
      </c>
      <c r="Z1060" t="s">
        <v>1566</v>
      </c>
      <c r="AA1060" t="s">
        <v>1567</v>
      </c>
      <c r="AB1060" t="s">
        <v>96</v>
      </c>
      <c r="AC1060" t="s">
        <v>97</v>
      </c>
      <c r="AD1060" t="s">
        <v>1463</v>
      </c>
      <c r="AG1060" t="s">
        <v>1568</v>
      </c>
      <c r="AH1060">
        <v>0</v>
      </c>
      <c r="AI1060">
        <v>168</v>
      </c>
      <c r="AJ1060">
        <v>28</v>
      </c>
      <c r="AK1060">
        <v>0</v>
      </c>
      <c r="AL1060">
        <v>0</v>
      </c>
    </row>
    <row r="1061" spans="1:38" x14ac:dyDescent="0.3">
      <c r="A1061" t="s">
        <v>1459</v>
      </c>
      <c r="B1061">
        <v>8109</v>
      </c>
      <c r="C1061">
        <v>2</v>
      </c>
      <c r="D1061" t="s">
        <v>1564</v>
      </c>
      <c r="E1061" t="s">
        <v>1565</v>
      </c>
      <c r="F1061">
        <v>204</v>
      </c>
      <c r="G1061">
        <v>17</v>
      </c>
      <c r="H1061">
        <v>56.2</v>
      </c>
      <c r="I1061">
        <v>13.66</v>
      </c>
      <c r="J1061">
        <v>45.18</v>
      </c>
      <c r="K1061">
        <v>114</v>
      </c>
      <c r="T1061">
        <v>2</v>
      </c>
      <c r="U1061">
        <v>1</v>
      </c>
      <c r="V1061" t="s">
        <v>93</v>
      </c>
      <c r="W1061">
        <v>56</v>
      </c>
      <c r="X1061">
        <v>6</v>
      </c>
      <c r="Y1061">
        <v>6</v>
      </c>
      <c r="Z1061" t="s">
        <v>1566</v>
      </c>
      <c r="AA1061" t="s">
        <v>1567</v>
      </c>
      <c r="AB1061" t="s">
        <v>96</v>
      </c>
      <c r="AC1061" t="s">
        <v>97</v>
      </c>
      <c r="AD1061" t="s">
        <v>1463</v>
      </c>
      <c r="AG1061" t="s">
        <v>1568</v>
      </c>
      <c r="AH1061">
        <v>0</v>
      </c>
      <c r="AI1061">
        <v>168</v>
      </c>
      <c r="AJ1061">
        <v>28</v>
      </c>
      <c r="AK1061">
        <v>0</v>
      </c>
      <c r="AL1061">
        <v>0</v>
      </c>
    </row>
    <row r="1062" spans="1:38" x14ac:dyDescent="0.3">
      <c r="A1062" t="s">
        <v>1459</v>
      </c>
      <c r="B1062">
        <v>8109</v>
      </c>
      <c r="C1062">
        <v>3</v>
      </c>
      <c r="D1062" t="s">
        <v>1564</v>
      </c>
      <c r="E1062" t="s">
        <v>1565</v>
      </c>
      <c r="F1062">
        <v>204</v>
      </c>
      <c r="G1062">
        <v>20.99</v>
      </c>
      <c r="H1062">
        <v>69.42</v>
      </c>
      <c r="I1062">
        <v>15.92</v>
      </c>
      <c r="J1062">
        <v>52.65</v>
      </c>
      <c r="K1062">
        <v>60</v>
      </c>
      <c r="T1062">
        <v>3</v>
      </c>
      <c r="U1062">
        <v>1</v>
      </c>
      <c r="V1062" t="s">
        <v>93</v>
      </c>
      <c r="W1062">
        <v>69</v>
      </c>
      <c r="X1062">
        <v>6</v>
      </c>
      <c r="Y1062">
        <v>6</v>
      </c>
      <c r="Z1062" t="s">
        <v>1566</v>
      </c>
      <c r="AA1062" t="s">
        <v>1567</v>
      </c>
      <c r="AB1062" t="s">
        <v>96</v>
      </c>
      <c r="AC1062" t="s">
        <v>97</v>
      </c>
      <c r="AD1062" t="s">
        <v>1463</v>
      </c>
      <c r="AG1062" t="s">
        <v>1568</v>
      </c>
      <c r="AH1062">
        <v>0</v>
      </c>
      <c r="AI1062">
        <v>168</v>
      </c>
      <c r="AJ1062">
        <v>28</v>
      </c>
      <c r="AK1062">
        <v>0</v>
      </c>
      <c r="AL1062">
        <v>0</v>
      </c>
    </row>
    <row r="1063" spans="1:38" x14ac:dyDescent="0.3">
      <c r="A1063" t="s">
        <v>1459</v>
      </c>
      <c r="B1063">
        <v>130539</v>
      </c>
      <c r="C1063">
        <v>1</v>
      </c>
      <c r="D1063" t="s">
        <v>1138</v>
      </c>
      <c r="E1063" t="s">
        <v>391</v>
      </c>
      <c r="F1063">
        <v>25</v>
      </c>
      <c r="G1063">
        <v>23.83</v>
      </c>
      <c r="H1063">
        <v>78.790000000000006</v>
      </c>
      <c r="I1063">
        <v>18.100000000000001</v>
      </c>
      <c r="J1063">
        <v>59.85</v>
      </c>
      <c r="K1063">
        <v>13</v>
      </c>
      <c r="T1063">
        <v>3</v>
      </c>
      <c r="U1063">
        <v>2</v>
      </c>
      <c r="V1063" t="s">
        <v>93</v>
      </c>
      <c r="W1063" t="s">
        <v>318</v>
      </c>
      <c r="X1063">
        <v>14</v>
      </c>
      <c r="Y1063">
        <v>13</v>
      </c>
      <c r="Z1063" t="s">
        <v>1569</v>
      </c>
      <c r="AA1063" t="s">
        <v>1570</v>
      </c>
      <c r="AB1063" t="s">
        <v>96</v>
      </c>
      <c r="AC1063" t="s">
        <v>97</v>
      </c>
      <c r="AD1063" t="s">
        <v>1463</v>
      </c>
      <c r="AG1063" t="s">
        <v>1571</v>
      </c>
      <c r="AH1063">
        <v>0</v>
      </c>
      <c r="AI1063">
        <v>832</v>
      </c>
      <c r="AJ1063">
        <v>76</v>
      </c>
      <c r="AK1063">
        <v>22</v>
      </c>
      <c r="AL1063">
        <v>0.88</v>
      </c>
    </row>
    <row r="1064" spans="1:38" x14ac:dyDescent="0.3">
      <c r="A1064" t="s">
        <v>1459</v>
      </c>
      <c r="B1064">
        <v>130539</v>
      </c>
      <c r="C1064">
        <v>2</v>
      </c>
      <c r="D1064" t="s">
        <v>1138</v>
      </c>
      <c r="E1064" t="s">
        <v>391</v>
      </c>
      <c r="F1064">
        <v>25</v>
      </c>
      <c r="G1064">
        <v>23.76</v>
      </c>
      <c r="H1064">
        <v>78.55</v>
      </c>
      <c r="I1064">
        <v>18.12</v>
      </c>
      <c r="J1064">
        <v>59.92</v>
      </c>
      <c r="K1064">
        <v>12</v>
      </c>
      <c r="T1064">
        <v>3</v>
      </c>
      <c r="U1064">
        <v>2</v>
      </c>
      <c r="V1064" t="s">
        <v>93</v>
      </c>
      <c r="W1064" t="s">
        <v>354</v>
      </c>
      <c r="X1064">
        <v>14</v>
      </c>
      <c r="Y1064">
        <v>13</v>
      </c>
      <c r="Z1064" t="s">
        <v>1569</v>
      </c>
      <c r="AA1064" t="s">
        <v>1570</v>
      </c>
      <c r="AB1064" t="s">
        <v>96</v>
      </c>
      <c r="AC1064" t="s">
        <v>97</v>
      </c>
      <c r="AD1064" t="s">
        <v>1463</v>
      </c>
      <c r="AG1064" t="s">
        <v>1571</v>
      </c>
      <c r="AH1064">
        <v>0</v>
      </c>
      <c r="AI1064">
        <v>832</v>
      </c>
      <c r="AJ1064">
        <v>76</v>
      </c>
      <c r="AK1064">
        <v>22</v>
      </c>
      <c r="AL1064">
        <v>0.88</v>
      </c>
    </row>
    <row r="1065" spans="1:38" x14ac:dyDescent="0.3">
      <c r="A1065" t="s">
        <v>1459</v>
      </c>
      <c r="B1065">
        <v>128473</v>
      </c>
      <c r="C1065">
        <v>1</v>
      </c>
      <c r="D1065" t="s">
        <v>1572</v>
      </c>
      <c r="E1065" t="s">
        <v>442</v>
      </c>
      <c r="F1065">
        <v>17</v>
      </c>
      <c r="G1065">
        <v>23.86</v>
      </c>
      <c r="H1065">
        <v>78.89</v>
      </c>
      <c r="I1065">
        <v>18.14</v>
      </c>
      <c r="J1065">
        <v>59.97</v>
      </c>
      <c r="K1065">
        <v>7</v>
      </c>
      <c r="T1065">
        <v>3</v>
      </c>
      <c r="U1065">
        <v>2</v>
      </c>
      <c r="V1065" t="s">
        <v>93</v>
      </c>
      <c r="W1065" t="s">
        <v>599</v>
      </c>
      <c r="X1065">
        <v>14</v>
      </c>
      <c r="Y1065">
        <v>13</v>
      </c>
      <c r="Z1065" t="s">
        <v>1573</v>
      </c>
      <c r="AA1065" t="s">
        <v>1574</v>
      </c>
      <c r="AB1065" t="s">
        <v>96</v>
      </c>
      <c r="AC1065" t="s">
        <v>97</v>
      </c>
      <c r="AD1065" t="s">
        <v>1463</v>
      </c>
      <c r="AG1065" t="s">
        <v>1575</v>
      </c>
      <c r="AH1065">
        <v>0</v>
      </c>
      <c r="AI1065">
        <v>838</v>
      </c>
      <c r="AJ1065">
        <v>72</v>
      </c>
      <c r="AK1065">
        <v>13</v>
      </c>
      <c r="AL1065">
        <v>0.76</v>
      </c>
    </row>
    <row r="1066" spans="1:38" x14ac:dyDescent="0.3">
      <c r="A1066" t="s">
        <v>1459</v>
      </c>
      <c r="B1066">
        <v>128473</v>
      </c>
      <c r="C1066">
        <v>2</v>
      </c>
      <c r="D1066" t="s">
        <v>1572</v>
      </c>
      <c r="E1066" t="s">
        <v>442</v>
      </c>
      <c r="F1066">
        <v>17</v>
      </c>
      <c r="G1066">
        <v>23.77</v>
      </c>
      <c r="H1066">
        <v>78.61</v>
      </c>
      <c r="I1066">
        <v>18.13</v>
      </c>
      <c r="J1066">
        <v>59.95</v>
      </c>
      <c r="K1066">
        <v>3</v>
      </c>
      <c r="T1066">
        <v>3</v>
      </c>
      <c r="U1066">
        <v>2</v>
      </c>
      <c r="V1066" t="s">
        <v>211</v>
      </c>
      <c r="W1066" t="s">
        <v>318</v>
      </c>
      <c r="X1066">
        <v>14</v>
      </c>
      <c r="Y1066">
        <v>13</v>
      </c>
      <c r="Z1066" t="s">
        <v>1573</v>
      </c>
      <c r="AA1066" t="s">
        <v>1574</v>
      </c>
      <c r="AB1066" t="s">
        <v>96</v>
      </c>
      <c r="AC1066" t="s">
        <v>97</v>
      </c>
      <c r="AD1066" t="s">
        <v>1463</v>
      </c>
      <c r="AG1066" t="s">
        <v>1575</v>
      </c>
      <c r="AH1066">
        <v>0</v>
      </c>
      <c r="AI1066">
        <v>838</v>
      </c>
      <c r="AJ1066">
        <v>72</v>
      </c>
      <c r="AK1066">
        <v>13</v>
      </c>
      <c r="AL1066">
        <v>0.76</v>
      </c>
    </row>
    <row r="1067" spans="1:38" x14ac:dyDescent="0.3">
      <c r="A1067" t="s">
        <v>1459</v>
      </c>
      <c r="B1067">
        <v>128473</v>
      </c>
      <c r="C1067">
        <v>3</v>
      </c>
      <c r="D1067" t="s">
        <v>1572</v>
      </c>
      <c r="E1067" t="s">
        <v>442</v>
      </c>
      <c r="F1067">
        <v>17</v>
      </c>
      <c r="G1067">
        <v>23.7</v>
      </c>
      <c r="H1067">
        <v>78.37</v>
      </c>
      <c r="I1067">
        <v>18.14</v>
      </c>
      <c r="J1067">
        <v>59.98</v>
      </c>
      <c r="K1067">
        <v>3</v>
      </c>
      <c r="T1067">
        <v>3</v>
      </c>
      <c r="U1067">
        <v>2</v>
      </c>
      <c r="V1067" t="s">
        <v>93</v>
      </c>
      <c r="W1067" t="s">
        <v>790</v>
      </c>
      <c r="X1067">
        <v>14</v>
      </c>
      <c r="Y1067">
        <v>13</v>
      </c>
      <c r="Z1067" t="s">
        <v>1573</v>
      </c>
      <c r="AA1067" t="s">
        <v>1574</v>
      </c>
      <c r="AB1067" t="s">
        <v>96</v>
      </c>
      <c r="AC1067" t="s">
        <v>97</v>
      </c>
      <c r="AD1067" t="s">
        <v>1463</v>
      </c>
      <c r="AG1067" t="s">
        <v>1575</v>
      </c>
      <c r="AH1067">
        <v>0</v>
      </c>
      <c r="AI1067">
        <v>838</v>
      </c>
      <c r="AJ1067">
        <v>72</v>
      </c>
      <c r="AK1067">
        <v>13</v>
      </c>
      <c r="AL1067">
        <v>0.76</v>
      </c>
    </row>
    <row r="1068" spans="1:38" x14ac:dyDescent="0.3">
      <c r="A1068" t="s">
        <v>1459</v>
      </c>
      <c r="B1068">
        <v>128473</v>
      </c>
      <c r="C1068">
        <v>4</v>
      </c>
      <c r="D1068" t="s">
        <v>1572</v>
      </c>
      <c r="E1068" t="s">
        <v>442</v>
      </c>
      <c r="F1068">
        <v>17</v>
      </c>
      <c r="G1068">
        <v>23.77</v>
      </c>
      <c r="H1068">
        <v>78.599999999999994</v>
      </c>
      <c r="I1068">
        <v>18.14</v>
      </c>
      <c r="J1068">
        <v>59.99</v>
      </c>
      <c r="K1068">
        <v>3</v>
      </c>
      <c r="T1068">
        <v>3</v>
      </c>
      <c r="U1068">
        <v>2</v>
      </c>
      <c r="V1068" t="s">
        <v>93</v>
      </c>
      <c r="W1068" t="s">
        <v>1576</v>
      </c>
      <c r="X1068">
        <v>14</v>
      </c>
      <c r="Y1068">
        <v>13</v>
      </c>
      <c r="Z1068" t="s">
        <v>1573</v>
      </c>
      <c r="AA1068" t="s">
        <v>1574</v>
      </c>
      <c r="AB1068" t="s">
        <v>96</v>
      </c>
      <c r="AC1068" t="s">
        <v>97</v>
      </c>
      <c r="AD1068" t="s">
        <v>1463</v>
      </c>
      <c r="AG1068" t="s">
        <v>1575</v>
      </c>
      <c r="AH1068">
        <v>0</v>
      </c>
      <c r="AI1068">
        <v>838</v>
      </c>
      <c r="AJ1068">
        <v>72</v>
      </c>
      <c r="AK1068">
        <v>13</v>
      </c>
      <c r="AL1068">
        <v>0.76</v>
      </c>
    </row>
    <row r="1069" spans="1:38" x14ac:dyDescent="0.3">
      <c r="A1069" t="s">
        <v>1459</v>
      </c>
      <c r="B1069">
        <v>128473</v>
      </c>
      <c r="C1069">
        <v>5</v>
      </c>
      <c r="D1069" t="s">
        <v>1572</v>
      </c>
      <c r="E1069" t="s">
        <v>442</v>
      </c>
      <c r="F1069">
        <v>17</v>
      </c>
      <c r="G1069">
        <v>23.84</v>
      </c>
      <c r="H1069">
        <v>78.819999999999993</v>
      </c>
      <c r="I1069">
        <v>18.13</v>
      </c>
      <c r="J1069">
        <v>59.96</v>
      </c>
      <c r="K1069">
        <v>1</v>
      </c>
      <c r="T1069">
        <v>3</v>
      </c>
      <c r="U1069">
        <v>2</v>
      </c>
      <c r="V1069" t="s">
        <v>93</v>
      </c>
      <c r="W1069" t="s">
        <v>354</v>
      </c>
      <c r="X1069">
        <v>14</v>
      </c>
      <c r="Y1069">
        <v>13</v>
      </c>
      <c r="Z1069" t="s">
        <v>1573</v>
      </c>
      <c r="AA1069" t="s">
        <v>1574</v>
      </c>
      <c r="AB1069" t="s">
        <v>96</v>
      </c>
      <c r="AC1069" t="s">
        <v>97</v>
      </c>
      <c r="AD1069" t="s">
        <v>1463</v>
      </c>
      <c r="AG1069" t="s">
        <v>1575</v>
      </c>
      <c r="AH1069">
        <v>0</v>
      </c>
      <c r="AI1069">
        <v>838</v>
      </c>
      <c r="AJ1069">
        <v>72</v>
      </c>
      <c r="AK1069">
        <v>13</v>
      </c>
      <c r="AL1069">
        <v>0.76</v>
      </c>
    </row>
    <row r="1070" spans="1:38" x14ac:dyDescent="0.3">
      <c r="A1070" t="s">
        <v>1459</v>
      </c>
      <c r="B1070">
        <v>118869</v>
      </c>
      <c r="C1070">
        <v>1</v>
      </c>
      <c r="D1070" t="s">
        <v>1577</v>
      </c>
      <c r="E1070" t="s">
        <v>1353</v>
      </c>
      <c r="F1070">
        <v>22</v>
      </c>
      <c r="G1070">
        <v>24.59</v>
      </c>
      <c r="H1070">
        <v>81.3</v>
      </c>
      <c r="I1070">
        <v>20.04</v>
      </c>
      <c r="J1070">
        <v>66.28</v>
      </c>
      <c r="K1070">
        <v>5</v>
      </c>
      <c r="T1070">
        <v>3</v>
      </c>
      <c r="U1070">
        <v>2</v>
      </c>
      <c r="V1070" t="s">
        <v>93</v>
      </c>
      <c r="W1070">
        <v>81</v>
      </c>
      <c r="X1070">
        <v>18</v>
      </c>
      <c r="Y1070">
        <v>18</v>
      </c>
      <c r="Z1070" t="s">
        <v>1578</v>
      </c>
      <c r="AA1070" t="s">
        <v>1579</v>
      </c>
      <c r="AB1070" t="s">
        <v>96</v>
      </c>
      <c r="AC1070" t="s">
        <v>97</v>
      </c>
      <c r="AD1070" t="s">
        <v>1463</v>
      </c>
      <c r="AG1070" t="s">
        <v>1580</v>
      </c>
      <c r="AH1070">
        <v>0</v>
      </c>
      <c r="AI1070">
        <v>890</v>
      </c>
      <c r="AJ1070">
        <v>78</v>
      </c>
      <c r="AK1070">
        <v>20</v>
      </c>
      <c r="AL1070">
        <v>0.91</v>
      </c>
    </row>
    <row r="1071" spans="1:38" x14ac:dyDescent="0.3">
      <c r="A1071" t="s">
        <v>1459</v>
      </c>
      <c r="B1071">
        <v>118869</v>
      </c>
      <c r="C1071">
        <v>2</v>
      </c>
      <c r="D1071" t="s">
        <v>1577</v>
      </c>
      <c r="E1071" t="s">
        <v>1353</v>
      </c>
      <c r="F1071">
        <v>22</v>
      </c>
      <c r="G1071">
        <v>25.65</v>
      </c>
      <c r="H1071">
        <v>84.82</v>
      </c>
      <c r="I1071">
        <v>21</v>
      </c>
      <c r="J1071">
        <v>69.44</v>
      </c>
      <c r="K1071">
        <v>11</v>
      </c>
      <c r="T1071">
        <v>3</v>
      </c>
      <c r="U1071">
        <v>2</v>
      </c>
      <c r="V1071" t="s">
        <v>93</v>
      </c>
      <c r="W1071" t="s">
        <v>383</v>
      </c>
      <c r="X1071">
        <v>18</v>
      </c>
      <c r="Y1071">
        <v>18</v>
      </c>
      <c r="Z1071" t="s">
        <v>1578</v>
      </c>
      <c r="AA1071" t="s">
        <v>1579</v>
      </c>
      <c r="AB1071" t="s">
        <v>96</v>
      </c>
      <c r="AC1071" t="s">
        <v>97</v>
      </c>
      <c r="AD1071" t="s">
        <v>1463</v>
      </c>
      <c r="AG1071" t="s">
        <v>1580</v>
      </c>
      <c r="AH1071">
        <v>0</v>
      </c>
      <c r="AI1071">
        <v>890</v>
      </c>
      <c r="AJ1071">
        <v>78</v>
      </c>
      <c r="AK1071">
        <v>20</v>
      </c>
      <c r="AL1071">
        <v>0.91</v>
      </c>
    </row>
    <row r="1072" spans="1:38" x14ac:dyDescent="0.3">
      <c r="A1072" t="s">
        <v>1459</v>
      </c>
      <c r="B1072">
        <v>118869</v>
      </c>
      <c r="C1072">
        <v>3</v>
      </c>
      <c r="D1072" t="s">
        <v>1577</v>
      </c>
      <c r="E1072" t="s">
        <v>1353</v>
      </c>
      <c r="F1072">
        <v>22</v>
      </c>
      <c r="G1072">
        <v>25.6</v>
      </c>
      <c r="H1072">
        <v>84.64</v>
      </c>
      <c r="I1072">
        <v>20.92</v>
      </c>
      <c r="J1072">
        <v>69.16</v>
      </c>
      <c r="K1072">
        <v>6</v>
      </c>
      <c r="T1072">
        <v>3</v>
      </c>
      <c r="U1072">
        <v>2</v>
      </c>
      <c r="V1072" t="s">
        <v>93</v>
      </c>
      <c r="W1072" t="s">
        <v>221</v>
      </c>
      <c r="X1072">
        <v>18</v>
      </c>
      <c r="Y1072">
        <v>18</v>
      </c>
      <c r="Z1072" t="s">
        <v>1578</v>
      </c>
      <c r="AA1072" t="s">
        <v>1579</v>
      </c>
      <c r="AB1072" t="s">
        <v>96</v>
      </c>
      <c r="AC1072" t="s">
        <v>97</v>
      </c>
      <c r="AD1072" t="s">
        <v>1463</v>
      </c>
      <c r="AG1072" t="s">
        <v>1580</v>
      </c>
      <c r="AH1072">
        <v>0</v>
      </c>
      <c r="AI1072">
        <v>890</v>
      </c>
      <c r="AJ1072">
        <v>78</v>
      </c>
      <c r="AK1072">
        <v>20</v>
      </c>
      <c r="AL1072">
        <v>0.91</v>
      </c>
    </row>
    <row r="1073" spans="1:38" x14ac:dyDescent="0.3">
      <c r="A1073" t="s">
        <v>1459</v>
      </c>
      <c r="B1073">
        <v>2423</v>
      </c>
      <c r="C1073">
        <v>1</v>
      </c>
      <c r="D1073" t="s">
        <v>1581</v>
      </c>
      <c r="E1073" t="s">
        <v>1582</v>
      </c>
      <c r="F1073">
        <v>352</v>
      </c>
      <c r="G1073">
        <v>22.38</v>
      </c>
      <c r="H1073">
        <v>74</v>
      </c>
      <c r="I1073">
        <v>18.13</v>
      </c>
      <c r="J1073">
        <v>59.94</v>
      </c>
      <c r="K1073">
        <v>1</v>
      </c>
      <c r="T1073">
        <v>2</v>
      </c>
      <c r="U1073">
        <v>1</v>
      </c>
      <c r="V1073" t="s">
        <v>132</v>
      </c>
      <c r="W1073">
        <v>74</v>
      </c>
      <c r="X1073">
        <v>16</v>
      </c>
      <c r="Y1073">
        <v>16</v>
      </c>
      <c r="Z1073" t="s">
        <v>1583</v>
      </c>
      <c r="AA1073" t="s">
        <v>1584</v>
      </c>
      <c r="AB1073" t="s">
        <v>96</v>
      </c>
      <c r="AC1073" t="s">
        <v>97</v>
      </c>
      <c r="AD1073" t="s">
        <v>1463</v>
      </c>
      <c r="AG1073" t="s">
        <v>1585</v>
      </c>
      <c r="AH1073">
        <v>0</v>
      </c>
      <c r="AI1073">
        <v>365</v>
      </c>
      <c r="AJ1073">
        <v>73</v>
      </c>
      <c r="AK1073">
        <v>189</v>
      </c>
      <c r="AL1073">
        <v>0.54</v>
      </c>
    </row>
    <row r="1074" spans="1:38" x14ac:dyDescent="0.3">
      <c r="A1074" t="s">
        <v>1459</v>
      </c>
      <c r="B1074">
        <v>2423</v>
      </c>
      <c r="C1074">
        <v>2</v>
      </c>
      <c r="D1074" t="s">
        <v>1581</v>
      </c>
      <c r="E1074" t="s">
        <v>1582</v>
      </c>
      <c r="F1074">
        <v>352</v>
      </c>
      <c r="G1074">
        <v>25.24</v>
      </c>
      <c r="H1074">
        <v>83.44</v>
      </c>
      <c r="I1074">
        <v>20.440000000000001</v>
      </c>
      <c r="J1074">
        <v>67.59</v>
      </c>
      <c r="K1074">
        <v>191</v>
      </c>
      <c r="T1074">
        <v>3</v>
      </c>
      <c r="U1074">
        <v>1</v>
      </c>
      <c r="V1074" t="s">
        <v>132</v>
      </c>
      <c r="W1074">
        <v>83</v>
      </c>
      <c r="X1074">
        <v>16</v>
      </c>
      <c r="Y1074">
        <v>16</v>
      </c>
      <c r="Z1074" t="s">
        <v>1583</v>
      </c>
      <c r="AA1074" t="s">
        <v>1584</v>
      </c>
      <c r="AB1074" t="s">
        <v>96</v>
      </c>
      <c r="AC1074" t="s">
        <v>97</v>
      </c>
      <c r="AD1074" t="s">
        <v>1463</v>
      </c>
      <c r="AG1074" t="s">
        <v>1585</v>
      </c>
      <c r="AH1074">
        <v>0</v>
      </c>
      <c r="AI1074">
        <v>365</v>
      </c>
      <c r="AJ1074">
        <v>73</v>
      </c>
      <c r="AK1074">
        <v>189</v>
      </c>
      <c r="AL1074">
        <v>0.54</v>
      </c>
    </row>
    <row r="1075" spans="1:38" x14ac:dyDescent="0.3">
      <c r="A1075" t="s">
        <v>1459</v>
      </c>
      <c r="B1075">
        <v>2423</v>
      </c>
      <c r="C1075">
        <v>3</v>
      </c>
      <c r="D1075" t="s">
        <v>1581</v>
      </c>
      <c r="E1075" t="s">
        <v>1582</v>
      </c>
      <c r="F1075">
        <v>352</v>
      </c>
      <c r="G1075">
        <v>30.78</v>
      </c>
      <c r="H1075">
        <v>101.78</v>
      </c>
      <c r="I1075">
        <v>25.6</v>
      </c>
      <c r="J1075">
        <v>84.63</v>
      </c>
      <c r="K1075">
        <v>96</v>
      </c>
      <c r="T1075">
        <v>3</v>
      </c>
      <c r="U1075">
        <v>2</v>
      </c>
      <c r="V1075" t="s">
        <v>93</v>
      </c>
      <c r="W1075">
        <v>101</v>
      </c>
      <c r="X1075">
        <v>16</v>
      </c>
      <c r="Y1075">
        <v>16</v>
      </c>
      <c r="Z1075" t="s">
        <v>1583</v>
      </c>
      <c r="AA1075" t="s">
        <v>1584</v>
      </c>
      <c r="AB1075" t="s">
        <v>96</v>
      </c>
      <c r="AC1075" t="s">
        <v>97</v>
      </c>
      <c r="AD1075" t="s">
        <v>1463</v>
      </c>
      <c r="AG1075" t="s">
        <v>1585</v>
      </c>
      <c r="AH1075">
        <v>0</v>
      </c>
      <c r="AI1075">
        <v>365</v>
      </c>
      <c r="AJ1075">
        <v>73</v>
      </c>
      <c r="AK1075">
        <v>189</v>
      </c>
      <c r="AL1075">
        <v>0.54</v>
      </c>
    </row>
    <row r="1076" spans="1:38" x14ac:dyDescent="0.3">
      <c r="A1076" t="s">
        <v>1459</v>
      </c>
      <c r="B1076">
        <v>2423</v>
      </c>
      <c r="C1076">
        <v>4</v>
      </c>
      <c r="D1076" t="s">
        <v>1581</v>
      </c>
      <c r="E1076" t="s">
        <v>1582</v>
      </c>
      <c r="F1076">
        <v>352</v>
      </c>
      <c r="G1076">
        <v>45.32</v>
      </c>
      <c r="H1076">
        <v>149.83000000000001</v>
      </c>
      <c r="I1076">
        <v>38.69</v>
      </c>
      <c r="J1076">
        <v>127.93</v>
      </c>
      <c r="K1076">
        <v>64</v>
      </c>
      <c r="T1076">
        <v>4</v>
      </c>
      <c r="U1076">
        <v>2</v>
      </c>
      <c r="V1076" t="s">
        <v>93</v>
      </c>
      <c r="W1076">
        <v>149</v>
      </c>
      <c r="X1076">
        <v>16</v>
      </c>
      <c r="Y1076">
        <v>16</v>
      </c>
      <c r="Z1076" t="s">
        <v>1583</v>
      </c>
      <c r="AA1076" t="s">
        <v>1584</v>
      </c>
      <c r="AB1076" t="s">
        <v>96</v>
      </c>
      <c r="AC1076" t="s">
        <v>97</v>
      </c>
      <c r="AD1076" t="s">
        <v>1463</v>
      </c>
      <c r="AG1076" t="s">
        <v>1585</v>
      </c>
      <c r="AH1076">
        <v>0</v>
      </c>
      <c r="AI1076">
        <v>365</v>
      </c>
      <c r="AJ1076">
        <v>73</v>
      </c>
      <c r="AK1076">
        <v>189</v>
      </c>
      <c r="AL1076">
        <v>0.54</v>
      </c>
    </row>
    <row r="1077" spans="1:38" x14ac:dyDescent="0.3">
      <c r="A1077" t="s">
        <v>1459</v>
      </c>
      <c r="B1077">
        <v>9830</v>
      </c>
      <c r="C1077">
        <v>1</v>
      </c>
      <c r="D1077" t="s">
        <v>1586</v>
      </c>
      <c r="E1077" t="s">
        <v>1587</v>
      </c>
      <c r="F1077">
        <v>168</v>
      </c>
      <c r="G1077">
        <v>15.9</v>
      </c>
      <c r="H1077">
        <v>52.57</v>
      </c>
      <c r="I1077">
        <v>12.03</v>
      </c>
      <c r="J1077">
        <v>39.78</v>
      </c>
      <c r="K1077">
        <v>96</v>
      </c>
      <c r="T1077">
        <v>2</v>
      </c>
      <c r="U1077">
        <v>1</v>
      </c>
      <c r="V1077" t="s">
        <v>93</v>
      </c>
      <c r="W1077">
        <v>52</v>
      </c>
      <c r="X1077">
        <v>6</v>
      </c>
      <c r="Y1077">
        <v>6</v>
      </c>
      <c r="Z1077" t="s">
        <v>1588</v>
      </c>
      <c r="AA1077" t="s">
        <v>1589</v>
      </c>
      <c r="AB1077" t="s">
        <v>96</v>
      </c>
      <c r="AC1077" t="s">
        <v>97</v>
      </c>
      <c r="AD1077" t="s">
        <v>1463</v>
      </c>
      <c r="AG1077" t="s">
        <v>1590</v>
      </c>
      <c r="AH1077">
        <v>0</v>
      </c>
      <c r="AI1077">
        <v>194</v>
      </c>
      <c r="AJ1077">
        <v>38</v>
      </c>
      <c r="AK1077">
        <v>0</v>
      </c>
      <c r="AL1077">
        <v>0</v>
      </c>
    </row>
    <row r="1078" spans="1:38" x14ac:dyDescent="0.3">
      <c r="A1078" t="s">
        <v>1459</v>
      </c>
      <c r="B1078">
        <v>9830</v>
      </c>
      <c r="C1078">
        <v>2</v>
      </c>
      <c r="D1078" t="s">
        <v>1586</v>
      </c>
      <c r="E1078" t="s">
        <v>1587</v>
      </c>
      <c r="F1078">
        <v>168</v>
      </c>
      <c r="G1078">
        <v>20.23</v>
      </c>
      <c r="H1078">
        <v>66.88</v>
      </c>
      <c r="I1078">
        <v>15.7</v>
      </c>
      <c r="J1078">
        <v>51.93</v>
      </c>
      <c r="K1078">
        <v>48</v>
      </c>
      <c r="T1078">
        <v>3</v>
      </c>
      <c r="U1078">
        <v>1</v>
      </c>
      <c r="V1078" t="s">
        <v>93</v>
      </c>
      <c r="W1078">
        <v>66</v>
      </c>
      <c r="X1078">
        <v>6</v>
      </c>
      <c r="Y1078">
        <v>6</v>
      </c>
      <c r="Z1078" t="s">
        <v>1588</v>
      </c>
      <c r="AA1078" t="s">
        <v>1589</v>
      </c>
      <c r="AB1078" t="s">
        <v>96</v>
      </c>
      <c r="AC1078" t="s">
        <v>97</v>
      </c>
      <c r="AD1078" t="s">
        <v>1463</v>
      </c>
      <c r="AG1078" t="s">
        <v>1590</v>
      </c>
      <c r="AH1078">
        <v>0</v>
      </c>
      <c r="AI1078">
        <v>194</v>
      </c>
      <c r="AJ1078">
        <v>38</v>
      </c>
      <c r="AK1078">
        <v>0</v>
      </c>
      <c r="AL1078">
        <v>0</v>
      </c>
    </row>
    <row r="1079" spans="1:38" x14ac:dyDescent="0.3">
      <c r="A1079" t="s">
        <v>1459</v>
      </c>
      <c r="B1079">
        <v>9830</v>
      </c>
      <c r="C1079">
        <v>3</v>
      </c>
      <c r="D1079" t="s">
        <v>1586</v>
      </c>
      <c r="E1079" t="s">
        <v>1587</v>
      </c>
      <c r="F1079">
        <v>168</v>
      </c>
      <c r="G1079">
        <v>21.34</v>
      </c>
      <c r="H1079">
        <v>70.56</v>
      </c>
      <c r="I1079">
        <v>16.66</v>
      </c>
      <c r="J1079">
        <v>55.08</v>
      </c>
      <c r="K1079">
        <v>24</v>
      </c>
      <c r="T1079">
        <v>3</v>
      </c>
      <c r="U1079">
        <v>1</v>
      </c>
      <c r="V1079" t="s">
        <v>93</v>
      </c>
      <c r="W1079">
        <v>70</v>
      </c>
      <c r="X1079">
        <v>6</v>
      </c>
      <c r="Y1079">
        <v>6</v>
      </c>
      <c r="Z1079" t="s">
        <v>1588</v>
      </c>
      <c r="AA1079" t="s">
        <v>1589</v>
      </c>
      <c r="AB1079" t="s">
        <v>96</v>
      </c>
      <c r="AC1079" t="s">
        <v>97</v>
      </c>
      <c r="AD1079" t="s">
        <v>1463</v>
      </c>
      <c r="AG1079" t="s">
        <v>1590</v>
      </c>
      <c r="AH1079">
        <v>0</v>
      </c>
      <c r="AI1079">
        <v>194</v>
      </c>
      <c r="AJ1079">
        <v>38</v>
      </c>
      <c r="AK1079">
        <v>0</v>
      </c>
      <c r="AL1079">
        <v>0</v>
      </c>
    </row>
    <row r="1080" spans="1:38" x14ac:dyDescent="0.3">
      <c r="A1080" t="s">
        <v>1459</v>
      </c>
      <c r="B1080">
        <v>122723</v>
      </c>
      <c r="C1080">
        <v>1</v>
      </c>
      <c r="D1080" t="s">
        <v>1591</v>
      </c>
      <c r="E1080" t="s">
        <v>1592</v>
      </c>
      <c r="F1080">
        <v>8</v>
      </c>
      <c r="G1080">
        <v>15.82</v>
      </c>
      <c r="H1080">
        <v>52.3</v>
      </c>
      <c r="I1080">
        <v>13.71</v>
      </c>
      <c r="J1080">
        <v>45.33</v>
      </c>
      <c r="K1080">
        <v>1</v>
      </c>
      <c r="T1080">
        <v>2</v>
      </c>
      <c r="U1080">
        <v>1</v>
      </c>
      <c r="V1080" t="s">
        <v>93</v>
      </c>
      <c r="W1080">
        <v>52</v>
      </c>
      <c r="X1080">
        <v>6</v>
      </c>
      <c r="Y1080">
        <v>6</v>
      </c>
      <c r="Z1080" t="s">
        <v>1593</v>
      </c>
      <c r="AA1080" t="s">
        <v>1594</v>
      </c>
      <c r="AB1080" t="s">
        <v>96</v>
      </c>
      <c r="AC1080" t="s">
        <v>97</v>
      </c>
      <c r="AD1080" t="s">
        <v>1463</v>
      </c>
      <c r="AG1080" t="s">
        <v>1595</v>
      </c>
      <c r="AH1080">
        <v>0</v>
      </c>
      <c r="AI1080">
        <v>405</v>
      </c>
      <c r="AJ1080">
        <v>72</v>
      </c>
      <c r="AK1080">
        <v>6</v>
      </c>
      <c r="AL1080">
        <v>0.75</v>
      </c>
    </row>
    <row r="1081" spans="1:38" x14ac:dyDescent="0.3">
      <c r="A1081" t="s">
        <v>1459</v>
      </c>
      <c r="B1081">
        <v>122723</v>
      </c>
      <c r="C1081">
        <v>2</v>
      </c>
      <c r="D1081" t="s">
        <v>1591</v>
      </c>
      <c r="E1081" t="s">
        <v>1592</v>
      </c>
      <c r="F1081">
        <v>8</v>
      </c>
      <c r="G1081">
        <v>20.55</v>
      </c>
      <c r="H1081">
        <v>67.959999999999994</v>
      </c>
      <c r="I1081">
        <v>17.809999999999999</v>
      </c>
      <c r="J1081">
        <v>58.9</v>
      </c>
      <c r="K1081">
        <v>1</v>
      </c>
      <c r="T1081">
        <v>3</v>
      </c>
      <c r="U1081">
        <v>1</v>
      </c>
      <c r="V1081" t="s">
        <v>93</v>
      </c>
      <c r="W1081">
        <v>67</v>
      </c>
      <c r="X1081">
        <v>6</v>
      </c>
      <c r="Y1081">
        <v>6</v>
      </c>
      <c r="Z1081" t="s">
        <v>1593</v>
      </c>
      <c r="AA1081" t="s">
        <v>1594</v>
      </c>
      <c r="AB1081" t="s">
        <v>96</v>
      </c>
      <c r="AC1081" t="s">
        <v>97</v>
      </c>
      <c r="AD1081" t="s">
        <v>1463</v>
      </c>
      <c r="AG1081" t="s">
        <v>1595</v>
      </c>
      <c r="AH1081">
        <v>0</v>
      </c>
      <c r="AI1081">
        <v>405</v>
      </c>
      <c r="AJ1081">
        <v>72</v>
      </c>
      <c r="AK1081">
        <v>6</v>
      </c>
      <c r="AL1081">
        <v>0.75</v>
      </c>
    </row>
    <row r="1082" spans="1:38" x14ac:dyDescent="0.3">
      <c r="A1082" t="s">
        <v>1459</v>
      </c>
      <c r="B1082">
        <v>122723</v>
      </c>
      <c r="C1082">
        <v>3</v>
      </c>
      <c r="D1082" t="s">
        <v>1591</v>
      </c>
      <c r="E1082" t="s">
        <v>1592</v>
      </c>
      <c r="F1082">
        <v>8</v>
      </c>
      <c r="G1082">
        <v>23.49</v>
      </c>
      <c r="H1082">
        <v>77.680000000000007</v>
      </c>
      <c r="I1082">
        <v>20.36</v>
      </c>
      <c r="J1082">
        <v>67.319999999999993</v>
      </c>
      <c r="K1082">
        <v>3</v>
      </c>
      <c r="T1082">
        <v>3</v>
      </c>
      <c r="U1082">
        <v>1</v>
      </c>
      <c r="V1082" t="s">
        <v>93</v>
      </c>
      <c r="W1082" t="s">
        <v>1176</v>
      </c>
      <c r="X1082">
        <v>6</v>
      </c>
      <c r="Y1082">
        <v>6</v>
      </c>
      <c r="Z1082" t="s">
        <v>1593</v>
      </c>
      <c r="AA1082" t="s">
        <v>1594</v>
      </c>
      <c r="AB1082" t="s">
        <v>96</v>
      </c>
      <c r="AC1082" t="s">
        <v>97</v>
      </c>
      <c r="AD1082" t="s">
        <v>1463</v>
      </c>
      <c r="AG1082" t="s">
        <v>1595</v>
      </c>
      <c r="AH1082">
        <v>0</v>
      </c>
      <c r="AI1082">
        <v>405</v>
      </c>
      <c r="AJ1082">
        <v>72</v>
      </c>
      <c r="AK1082">
        <v>6</v>
      </c>
      <c r="AL1082">
        <v>0.75</v>
      </c>
    </row>
    <row r="1083" spans="1:38" x14ac:dyDescent="0.3">
      <c r="A1083" t="s">
        <v>1459</v>
      </c>
      <c r="B1083">
        <v>122723</v>
      </c>
      <c r="C1083">
        <v>4</v>
      </c>
      <c r="D1083" t="s">
        <v>1591</v>
      </c>
      <c r="E1083" t="s">
        <v>1592</v>
      </c>
      <c r="F1083">
        <v>8</v>
      </c>
      <c r="G1083">
        <v>23.69</v>
      </c>
      <c r="H1083">
        <v>78.33</v>
      </c>
      <c r="I1083">
        <v>20.53</v>
      </c>
      <c r="J1083">
        <v>67.88</v>
      </c>
      <c r="K1083">
        <v>3</v>
      </c>
      <c r="T1083">
        <v>3</v>
      </c>
      <c r="U1083">
        <v>1</v>
      </c>
      <c r="V1083" t="s">
        <v>93</v>
      </c>
      <c r="W1083" t="s">
        <v>354</v>
      </c>
      <c r="X1083">
        <v>6</v>
      </c>
      <c r="Y1083">
        <v>6</v>
      </c>
      <c r="Z1083" t="s">
        <v>1593</v>
      </c>
      <c r="AA1083" t="s">
        <v>1594</v>
      </c>
      <c r="AB1083" t="s">
        <v>96</v>
      </c>
      <c r="AC1083" t="s">
        <v>97</v>
      </c>
      <c r="AD1083" t="s">
        <v>1463</v>
      </c>
      <c r="AG1083" t="s">
        <v>1595</v>
      </c>
      <c r="AH1083">
        <v>0</v>
      </c>
      <c r="AI1083">
        <v>405</v>
      </c>
      <c r="AJ1083">
        <v>72</v>
      </c>
      <c r="AK1083">
        <v>6</v>
      </c>
      <c r="AL1083">
        <v>0.75</v>
      </c>
    </row>
    <row r="1084" spans="1:38" x14ac:dyDescent="0.3">
      <c r="A1084" t="s">
        <v>1459</v>
      </c>
      <c r="B1084">
        <v>2422</v>
      </c>
      <c r="C1084">
        <v>1</v>
      </c>
      <c r="D1084" t="s">
        <v>1596</v>
      </c>
      <c r="E1084" t="s">
        <v>1597</v>
      </c>
      <c r="F1084">
        <v>606</v>
      </c>
      <c r="G1084">
        <v>21.75</v>
      </c>
      <c r="H1084">
        <v>71.92</v>
      </c>
      <c r="I1084">
        <v>17.39</v>
      </c>
      <c r="J1084">
        <v>57.51</v>
      </c>
      <c r="K1084">
        <v>100</v>
      </c>
      <c r="T1084">
        <v>2</v>
      </c>
      <c r="U1084">
        <v>1</v>
      </c>
      <c r="V1084" t="s">
        <v>132</v>
      </c>
      <c r="W1084">
        <v>71</v>
      </c>
      <c r="X1084">
        <v>13</v>
      </c>
      <c r="Y1084">
        <v>11</v>
      </c>
      <c r="Z1084" t="s">
        <v>1598</v>
      </c>
      <c r="AA1084" t="s">
        <v>1599</v>
      </c>
      <c r="AB1084" t="s">
        <v>96</v>
      </c>
      <c r="AC1084" t="s">
        <v>97</v>
      </c>
      <c r="AD1084" t="s">
        <v>1463</v>
      </c>
      <c r="AG1084" t="s">
        <v>1600</v>
      </c>
      <c r="AH1084">
        <v>0</v>
      </c>
      <c r="AI1084">
        <v>216</v>
      </c>
      <c r="AJ1084">
        <v>24</v>
      </c>
      <c r="AK1084">
        <v>424</v>
      </c>
      <c r="AL1084">
        <v>0.7</v>
      </c>
    </row>
    <row r="1085" spans="1:38" x14ac:dyDescent="0.3">
      <c r="A1085" t="s">
        <v>1459</v>
      </c>
      <c r="B1085">
        <v>2422</v>
      </c>
      <c r="C1085">
        <v>2</v>
      </c>
      <c r="D1085" t="s">
        <v>1596</v>
      </c>
      <c r="E1085" t="s">
        <v>1597</v>
      </c>
      <c r="F1085">
        <v>606</v>
      </c>
      <c r="G1085">
        <v>25.65</v>
      </c>
      <c r="H1085">
        <v>84.82</v>
      </c>
      <c r="I1085">
        <v>20.51</v>
      </c>
      <c r="J1085">
        <v>67.83</v>
      </c>
      <c r="K1085">
        <v>100</v>
      </c>
      <c r="T1085">
        <v>3</v>
      </c>
      <c r="U1085">
        <v>1</v>
      </c>
      <c r="V1085" t="s">
        <v>132</v>
      </c>
      <c r="W1085">
        <v>84</v>
      </c>
      <c r="X1085">
        <v>13</v>
      </c>
      <c r="Y1085">
        <v>11</v>
      </c>
      <c r="Z1085" t="s">
        <v>1598</v>
      </c>
      <c r="AA1085" t="s">
        <v>1599</v>
      </c>
      <c r="AB1085" t="s">
        <v>96</v>
      </c>
      <c r="AC1085" t="s">
        <v>97</v>
      </c>
      <c r="AD1085" t="s">
        <v>1463</v>
      </c>
      <c r="AG1085" t="s">
        <v>1600</v>
      </c>
      <c r="AH1085">
        <v>0</v>
      </c>
      <c r="AI1085">
        <v>216</v>
      </c>
      <c r="AJ1085">
        <v>24</v>
      </c>
      <c r="AK1085">
        <v>424</v>
      </c>
      <c r="AL1085">
        <v>0.7</v>
      </c>
    </row>
    <row r="1086" spans="1:38" x14ac:dyDescent="0.3">
      <c r="A1086" t="s">
        <v>1459</v>
      </c>
      <c r="B1086">
        <v>2422</v>
      </c>
      <c r="C1086">
        <v>3</v>
      </c>
      <c r="D1086" t="s">
        <v>1596</v>
      </c>
      <c r="E1086" t="s">
        <v>1597</v>
      </c>
      <c r="F1086">
        <v>606</v>
      </c>
      <c r="G1086">
        <v>30.38</v>
      </c>
      <c r="H1086">
        <v>100.46</v>
      </c>
      <c r="I1086">
        <v>25.59</v>
      </c>
      <c r="J1086">
        <v>84.6</v>
      </c>
      <c r="K1086">
        <v>354</v>
      </c>
      <c r="T1086">
        <v>3</v>
      </c>
      <c r="U1086">
        <v>2</v>
      </c>
      <c r="V1086" t="s">
        <v>93</v>
      </c>
      <c r="W1086">
        <v>100</v>
      </c>
      <c r="X1086">
        <v>13</v>
      </c>
      <c r="Y1086">
        <v>11</v>
      </c>
      <c r="Z1086" t="s">
        <v>1598</v>
      </c>
      <c r="AA1086" t="s">
        <v>1599</v>
      </c>
      <c r="AB1086" t="s">
        <v>96</v>
      </c>
      <c r="AC1086" t="s">
        <v>97</v>
      </c>
      <c r="AD1086" t="s">
        <v>1463</v>
      </c>
      <c r="AG1086" t="s">
        <v>1600</v>
      </c>
      <c r="AH1086">
        <v>0</v>
      </c>
      <c r="AI1086">
        <v>216</v>
      </c>
      <c r="AJ1086">
        <v>24</v>
      </c>
      <c r="AK1086">
        <v>424</v>
      </c>
      <c r="AL1086">
        <v>0.7</v>
      </c>
    </row>
    <row r="1087" spans="1:38" x14ac:dyDescent="0.3">
      <c r="A1087" t="s">
        <v>1459</v>
      </c>
      <c r="B1087">
        <v>2422</v>
      </c>
      <c r="C1087">
        <v>4</v>
      </c>
      <c r="D1087" t="s">
        <v>1596</v>
      </c>
      <c r="E1087" t="s">
        <v>1597</v>
      </c>
      <c r="F1087">
        <v>606</v>
      </c>
      <c r="G1087">
        <v>42.22</v>
      </c>
      <c r="H1087">
        <v>139.6</v>
      </c>
      <c r="I1087">
        <v>36.42</v>
      </c>
      <c r="J1087">
        <v>120.4</v>
      </c>
      <c r="K1087">
        <v>52</v>
      </c>
      <c r="T1087">
        <v>4</v>
      </c>
      <c r="U1087">
        <v>2</v>
      </c>
      <c r="V1087" t="s">
        <v>93</v>
      </c>
      <c r="W1087">
        <v>139</v>
      </c>
      <c r="X1087">
        <v>13</v>
      </c>
      <c r="Y1087">
        <v>11</v>
      </c>
      <c r="Z1087" t="s">
        <v>1598</v>
      </c>
      <c r="AA1087" t="s">
        <v>1599</v>
      </c>
      <c r="AB1087" t="s">
        <v>96</v>
      </c>
      <c r="AC1087" t="s">
        <v>97</v>
      </c>
      <c r="AD1087" t="s">
        <v>1463</v>
      </c>
      <c r="AG1087" t="s">
        <v>1600</v>
      </c>
      <c r="AH1087">
        <v>0</v>
      </c>
      <c r="AI1087">
        <v>216</v>
      </c>
      <c r="AJ1087">
        <v>24</v>
      </c>
      <c r="AK1087">
        <v>424</v>
      </c>
      <c r="AL1087">
        <v>0.7</v>
      </c>
    </row>
    <row r="1088" spans="1:38" x14ac:dyDescent="0.3">
      <c r="A1088" t="s">
        <v>1459</v>
      </c>
      <c r="B1088">
        <v>144412</v>
      </c>
      <c r="C1088">
        <v>1</v>
      </c>
      <c r="D1088" t="s">
        <v>1601</v>
      </c>
      <c r="E1088" t="s">
        <v>1134</v>
      </c>
      <c r="F1088">
        <v>4</v>
      </c>
      <c r="G1088">
        <v>31.65</v>
      </c>
      <c r="H1088">
        <v>104.64</v>
      </c>
      <c r="I1088">
        <v>24.67</v>
      </c>
      <c r="J1088">
        <v>81.569999999999993</v>
      </c>
      <c r="K1088">
        <v>4</v>
      </c>
      <c r="T1088">
        <v>3</v>
      </c>
      <c r="U1088">
        <v>2</v>
      </c>
      <c r="V1088" t="s">
        <v>93</v>
      </c>
      <c r="W1088">
        <v>104</v>
      </c>
      <c r="X1088">
        <v>5</v>
      </c>
      <c r="Y1088">
        <v>5</v>
      </c>
      <c r="Z1088" t="s">
        <v>1602</v>
      </c>
      <c r="AA1088" t="s">
        <v>1603</v>
      </c>
      <c r="AB1088" t="s">
        <v>96</v>
      </c>
      <c r="AC1088" t="s">
        <v>97</v>
      </c>
      <c r="AD1088" t="s">
        <v>1463</v>
      </c>
      <c r="AG1088" t="s">
        <v>1604</v>
      </c>
      <c r="AH1088">
        <v>0</v>
      </c>
      <c r="AI1088">
        <v>347</v>
      </c>
      <c r="AJ1088">
        <v>67</v>
      </c>
      <c r="AK1088">
        <v>4</v>
      </c>
      <c r="AL1088">
        <v>1</v>
      </c>
    </row>
    <row r="1089" spans="1:38" x14ac:dyDescent="0.3">
      <c r="A1089" t="s">
        <v>1459</v>
      </c>
      <c r="B1089">
        <v>134588</v>
      </c>
      <c r="C1089">
        <v>1</v>
      </c>
      <c r="D1089" t="s">
        <v>1605</v>
      </c>
      <c r="E1089" t="s">
        <v>1606</v>
      </c>
      <c r="F1089">
        <v>8</v>
      </c>
      <c r="G1089">
        <v>22.42</v>
      </c>
      <c r="H1089">
        <v>74.12</v>
      </c>
      <c r="I1089">
        <v>18.63</v>
      </c>
      <c r="J1089">
        <v>61.6</v>
      </c>
      <c r="K1089">
        <v>8</v>
      </c>
      <c r="T1089">
        <v>3</v>
      </c>
      <c r="U1089">
        <v>1</v>
      </c>
      <c r="V1089" t="s">
        <v>93</v>
      </c>
      <c r="W1089">
        <v>74</v>
      </c>
      <c r="X1089">
        <v>7</v>
      </c>
      <c r="Y1089">
        <v>7</v>
      </c>
      <c r="Z1089" t="s">
        <v>1607</v>
      </c>
      <c r="AA1089" t="s">
        <v>1608</v>
      </c>
      <c r="AB1089" t="s">
        <v>96</v>
      </c>
      <c r="AC1089" t="s">
        <v>97</v>
      </c>
      <c r="AD1089" t="s">
        <v>1463</v>
      </c>
      <c r="AG1089" t="s">
        <v>1609</v>
      </c>
      <c r="AH1089">
        <v>0</v>
      </c>
      <c r="AI1089">
        <v>287</v>
      </c>
      <c r="AJ1089">
        <v>56</v>
      </c>
      <c r="AK1089">
        <v>8</v>
      </c>
      <c r="AL1089">
        <v>1</v>
      </c>
    </row>
    <row r="1090" spans="1:38" x14ac:dyDescent="0.3">
      <c r="A1090" t="s">
        <v>1459</v>
      </c>
      <c r="B1090">
        <v>9740</v>
      </c>
      <c r="C1090">
        <v>1</v>
      </c>
      <c r="D1090" t="s">
        <v>1610</v>
      </c>
      <c r="E1090" t="s">
        <v>1611</v>
      </c>
      <c r="F1090">
        <v>168</v>
      </c>
      <c r="G1090">
        <v>24.65</v>
      </c>
      <c r="H1090">
        <v>81.510000000000005</v>
      </c>
      <c r="I1090">
        <v>23.79</v>
      </c>
      <c r="J1090">
        <v>78.650000000000006</v>
      </c>
      <c r="K1090">
        <v>1</v>
      </c>
      <c r="T1090">
        <v>3</v>
      </c>
      <c r="U1090">
        <v>1</v>
      </c>
      <c r="V1090" t="s">
        <v>211</v>
      </c>
      <c r="W1090">
        <v>81</v>
      </c>
      <c r="X1090">
        <v>12</v>
      </c>
      <c r="Y1090">
        <v>12</v>
      </c>
      <c r="Z1090" t="s">
        <v>1612</v>
      </c>
      <c r="AA1090" t="s">
        <v>1613</v>
      </c>
      <c r="AB1090" t="s">
        <v>96</v>
      </c>
      <c r="AC1090" t="s">
        <v>97</v>
      </c>
      <c r="AD1090" t="s">
        <v>1463</v>
      </c>
      <c r="AG1090" t="s">
        <v>1614</v>
      </c>
      <c r="AH1090">
        <v>0</v>
      </c>
      <c r="AI1090">
        <v>0</v>
      </c>
      <c r="AJ1090">
        <v>0</v>
      </c>
      <c r="AK1090">
        <v>84</v>
      </c>
      <c r="AL1090">
        <v>0.5</v>
      </c>
    </row>
    <row r="1091" spans="1:38" x14ac:dyDescent="0.3">
      <c r="A1091" t="s">
        <v>1459</v>
      </c>
      <c r="B1091">
        <v>9740</v>
      </c>
      <c r="C1091">
        <v>2</v>
      </c>
      <c r="D1091" t="s">
        <v>1610</v>
      </c>
      <c r="E1091" t="s">
        <v>1611</v>
      </c>
      <c r="F1091">
        <v>168</v>
      </c>
      <c r="G1091">
        <v>25.55</v>
      </c>
      <c r="H1091">
        <v>84.47</v>
      </c>
      <c r="I1091">
        <v>23.69</v>
      </c>
      <c r="J1091">
        <v>78.319999999999993</v>
      </c>
      <c r="K1091">
        <v>85</v>
      </c>
      <c r="T1091">
        <v>3</v>
      </c>
      <c r="U1091">
        <v>1</v>
      </c>
      <c r="V1091" t="s">
        <v>93</v>
      </c>
      <c r="W1091" t="s">
        <v>221</v>
      </c>
      <c r="X1091">
        <v>12</v>
      </c>
      <c r="Y1091">
        <v>12</v>
      </c>
      <c r="Z1091" t="s">
        <v>1612</v>
      </c>
      <c r="AA1091" t="s">
        <v>1613</v>
      </c>
      <c r="AB1091" t="s">
        <v>96</v>
      </c>
      <c r="AC1091" t="s">
        <v>97</v>
      </c>
      <c r="AD1091" t="s">
        <v>1463</v>
      </c>
      <c r="AG1091" t="s">
        <v>1614</v>
      </c>
      <c r="AH1091">
        <v>0</v>
      </c>
      <c r="AI1091">
        <v>0</v>
      </c>
      <c r="AJ1091">
        <v>0</v>
      </c>
      <c r="AK1091">
        <v>84</v>
      </c>
      <c r="AL1091">
        <v>0.5</v>
      </c>
    </row>
    <row r="1092" spans="1:38" x14ac:dyDescent="0.3">
      <c r="A1092" t="s">
        <v>1459</v>
      </c>
      <c r="B1092">
        <v>9740</v>
      </c>
      <c r="C1092">
        <v>3</v>
      </c>
      <c r="D1092" t="s">
        <v>1610</v>
      </c>
      <c r="E1092" t="s">
        <v>1611</v>
      </c>
      <c r="F1092">
        <v>168</v>
      </c>
      <c r="G1092">
        <v>25.65</v>
      </c>
      <c r="H1092">
        <v>84.81</v>
      </c>
      <c r="I1092">
        <v>23.78</v>
      </c>
      <c r="J1092">
        <v>78.64</v>
      </c>
      <c r="K1092">
        <v>10</v>
      </c>
      <c r="T1092">
        <v>3</v>
      </c>
      <c r="U1092">
        <v>1</v>
      </c>
      <c r="V1092" t="s">
        <v>132</v>
      </c>
      <c r="W1092" t="s">
        <v>819</v>
      </c>
      <c r="X1092">
        <v>12</v>
      </c>
      <c r="Y1092">
        <v>12</v>
      </c>
      <c r="Z1092" t="s">
        <v>1612</v>
      </c>
      <c r="AA1092" t="s">
        <v>1613</v>
      </c>
      <c r="AB1092" t="s">
        <v>96</v>
      </c>
      <c r="AC1092" t="s">
        <v>97</v>
      </c>
      <c r="AD1092" t="s">
        <v>1463</v>
      </c>
      <c r="AG1092" t="s">
        <v>1614</v>
      </c>
      <c r="AH1092">
        <v>0</v>
      </c>
      <c r="AI1092">
        <v>0</v>
      </c>
      <c r="AJ1092">
        <v>0</v>
      </c>
      <c r="AK1092">
        <v>84</v>
      </c>
      <c r="AL1092">
        <v>0.5</v>
      </c>
    </row>
    <row r="1093" spans="1:38" x14ac:dyDescent="0.3">
      <c r="A1093" t="s">
        <v>1459</v>
      </c>
      <c r="B1093">
        <v>9740</v>
      </c>
      <c r="C1093">
        <v>4</v>
      </c>
      <c r="D1093" t="s">
        <v>1610</v>
      </c>
      <c r="E1093" t="s">
        <v>1611</v>
      </c>
      <c r="F1093">
        <v>168</v>
      </c>
      <c r="G1093">
        <v>25.52</v>
      </c>
      <c r="H1093">
        <v>84.37</v>
      </c>
      <c r="I1093">
        <v>23.66</v>
      </c>
      <c r="J1093">
        <v>78.22</v>
      </c>
      <c r="K1093">
        <v>3</v>
      </c>
      <c r="T1093">
        <v>3</v>
      </c>
      <c r="U1093">
        <v>1</v>
      </c>
      <c r="V1093" t="s">
        <v>93</v>
      </c>
      <c r="W1093" t="s">
        <v>383</v>
      </c>
      <c r="X1093">
        <v>12</v>
      </c>
      <c r="Y1093">
        <v>12</v>
      </c>
      <c r="Z1093" t="s">
        <v>1612</v>
      </c>
      <c r="AA1093" t="s">
        <v>1613</v>
      </c>
      <c r="AB1093" t="s">
        <v>96</v>
      </c>
      <c r="AC1093" t="s">
        <v>97</v>
      </c>
      <c r="AD1093" t="s">
        <v>1463</v>
      </c>
      <c r="AG1093" t="s">
        <v>1614</v>
      </c>
      <c r="AH1093">
        <v>0</v>
      </c>
      <c r="AI1093">
        <v>0</v>
      </c>
      <c r="AJ1093">
        <v>0</v>
      </c>
      <c r="AK1093">
        <v>84</v>
      </c>
      <c r="AL1093">
        <v>0.5</v>
      </c>
    </row>
    <row r="1094" spans="1:38" x14ac:dyDescent="0.3">
      <c r="A1094" t="s">
        <v>1459</v>
      </c>
      <c r="B1094">
        <v>9740</v>
      </c>
      <c r="C1094">
        <v>5</v>
      </c>
      <c r="D1094" t="s">
        <v>1610</v>
      </c>
      <c r="E1094" t="s">
        <v>1611</v>
      </c>
      <c r="F1094">
        <v>168</v>
      </c>
      <c r="G1094">
        <v>25.8</v>
      </c>
      <c r="H1094">
        <v>85.29</v>
      </c>
      <c r="I1094">
        <v>23.92</v>
      </c>
      <c r="J1094">
        <v>79.09</v>
      </c>
      <c r="K1094">
        <v>7</v>
      </c>
      <c r="T1094">
        <v>3</v>
      </c>
      <c r="U1094">
        <v>1</v>
      </c>
      <c r="V1094" t="s">
        <v>93</v>
      </c>
      <c r="W1094" t="s">
        <v>1615</v>
      </c>
      <c r="X1094">
        <v>12</v>
      </c>
      <c r="Y1094">
        <v>12</v>
      </c>
      <c r="Z1094" t="s">
        <v>1612</v>
      </c>
      <c r="AA1094" t="s">
        <v>1613</v>
      </c>
      <c r="AB1094" t="s">
        <v>96</v>
      </c>
      <c r="AC1094" t="s">
        <v>97</v>
      </c>
      <c r="AD1094" t="s">
        <v>1463</v>
      </c>
      <c r="AG1094" t="s">
        <v>1614</v>
      </c>
      <c r="AH1094">
        <v>0</v>
      </c>
      <c r="AI1094">
        <v>0</v>
      </c>
      <c r="AJ1094">
        <v>0</v>
      </c>
      <c r="AK1094">
        <v>84</v>
      </c>
      <c r="AL1094">
        <v>0.5</v>
      </c>
    </row>
    <row r="1095" spans="1:38" x14ac:dyDescent="0.3">
      <c r="A1095" t="s">
        <v>1459</v>
      </c>
      <c r="B1095">
        <v>9740</v>
      </c>
      <c r="C1095">
        <v>6</v>
      </c>
      <c r="D1095" t="s">
        <v>1610</v>
      </c>
      <c r="E1095" t="s">
        <v>1611</v>
      </c>
      <c r="F1095">
        <v>168</v>
      </c>
      <c r="G1095">
        <v>25.8</v>
      </c>
      <c r="H1095">
        <v>85.3</v>
      </c>
      <c r="I1095">
        <v>23.92</v>
      </c>
      <c r="J1095">
        <v>79.099999999999994</v>
      </c>
      <c r="K1095">
        <v>1</v>
      </c>
      <c r="T1095">
        <v>3</v>
      </c>
      <c r="U1095">
        <v>1</v>
      </c>
      <c r="V1095" t="s">
        <v>93</v>
      </c>
      <c r="W1095" t="s">
        <v>1616</v>
      </c>
      <c r="X1095">
        <v>12</v>
      </c>
      <c r="Y1095">
        <v>12</v>
      </c>
      <c r="Z1095" t="s">
        <v>1612</v>
      </c>
      <c r="AA1095" t="s">
        <v>1613</v>
      </c>
      <c r="AB1095" t="s">
        <v>96</v>
      </c>
      <c r="AC1095" t="s">
        <v>97</v>
      </c>
      <c r="AD1095" t="s">
        <v>1463</v>
      </c>
      <c r="AG1095" t="s">
        <v>1614</v>
      </c>
      <c r="AH1095">
        <v>0</v>
      </c>
      <c r="AI1095">
        <v>0</v>
      </c>
      <c r="AJ1095">
        <v>0</v>
      </c>
      <c r="AK1095">
        <v>84</v>
      </c>
      <c r="AL1095">
        <v>0.5</v>
      </c>
    </row>
    <row r="1096" spans="1:38" x14ac:dyDescent="0.3">
      <c r="A1096" t="s">
        <v>1459</v>
      </c>
      <c r="B1096">
        <v>9740</v>
      </c>
      <c r="C1096">
        <v>7</v>
      </c>
      <c r="D1096" t="s">
        <v>1610</v>
      </c>
      <c r="E1096" t="s">
        <v>1611</v>
      </c>
      <c r="F1096">
        <v>168</v>
      </c>
      <c r="G1096">
        <v>25.9</v>
      </c>
      <c r="H1096">
        <v>85.62</v>
      </c>
      <c r="I1096">
        <v>24.03</v>
      </c>
      <c r="J1096">
        <v>79.45</v>
      </c>
      <c r="K1096">
        <v>1</v>
      </c>
      <c r="T1096">
        <v>3</v>
      </c>
      <c r="U1096">
        <v>1</v>
      </c>
      <c r="V1096" t="s">
        <v>93</v>
      </c>
      <c r="W1096" t="s">
        <v>1617</v>
      </c>
      <c r="X1096">
        <v>12</v>
      </c>
      <c r="Y1096">
        <v>12</v>
      </c>
      <c r="Z1096" t="s">
        <v>1612</v>
      </c>
      <c r="AA1096" t="s">
        <v>1613</v>
      </c>
      <c r="AB1096" t="s">
        <v>96</v>
      </c>
      <c r="AC1096" t="s">
        <v>97</v>
      </c>
      <c r="AD1096" t="s">
        <v>1463</v>
      </c>
      <c r="AG1096" t="s">
        <v>1614</v>
      </c>
      <c r="AH1096">
        <v>0</v>
      </c>
      <c r="AI1096">
        <v>0</v>
      </c>
      <c r="AJ1096">
        <v>0</v>
      </c>
      <c r="AK1096">
        <v>84</v>
      </c>
      <c r="AL1096">
        <v>0.5</v>
      </c>
    </row>
    <row r="1097" spans="1:38" x14ac:dyDescent="0.3">
      <c r="A1097" t="s">
        <v>1459</v>
      </c>
      <c r="B1097">
        <v>9740</v>
      </c>
      <c r="C1097">
        <v>8</v>
      </c>
      <c r="D1097" t="s">
        <v>1610</v>
      </c>
      <c r="E1097" t="s">
        <v>1611</v>
      </c>
      <c r="F1097">
        <v>168</v>
      </c>
      <c r="G1097">
        <v>34.450000000000003</v>
      </c>
      <c r="H1097">
        <v>113.91</v>
      </c>
      <c r="I1097">
        <v>31.94</v>
      </c>
      <c r="J1097">
        <v>105.59</v>
      </c>
      <c r="K1097">
        <v>54</v>
      </c>
      <c r="T1097">
        <v>3</v>
      </c>
      <c r="U1097">
        <v>2</v>
      </c>
      <c r="V1097" t="s">
        <v>132</v>
      </c>
      <c r="W1097">
        <v>113</v>
      </c>
      <c r="X1097">
        <v>12</v>
      </c>
      <c r="Y1097">
        <v>12</v>
      </c>
      <c r="Z1097" t="s">
        <v>1612</v>
      </c>
      <c r="AA1097" t="s">
        <v>1613</v>
      </c>
      <c r="AB1097" t="s">
        <v>96</v>
      </c>
      <c r="AC1097" t="s">
        <v>97</v>
      </c>
      <c r="AD1097" t="s">
        <v>1463</v>
      </c>
      <c r="AG1097" t="s">
        <v>1614</v>
      </c>
      <c r="AH1097">
        <v>0</v>
      </c>
      <c r="AI1097">
        <v>0</v>
      </c>
      <c r="AJ1097">
        <v>0</v>
      </c>
      <c r="AK1097">
        <v>84</v>
      </c>
      <c r="AL1097">
        <v>0.5</v>
      </c>
    </row>
    <row r="1098" spans="1:38" x14ac:dyDescent="0.3">
      <c r="A1098" t="s">
        <v>1459</v>
      </c>
      <c r="B1098">
        <v>9740</v>
      </c>
      <c r="C1098">
        <v>9</v>
      </c>
      <c r="D1098" t="s">
        <v>1610</v>
      </c>
      <c r="E1098" t="s">
        <v>1611</v>
      </c>
      <c r="F1098">
        <v>168</v>
      </c>
      <c r="G1098">
        <v>34.51</v>
      </c>
      <c r="H1098">
        <v>114.11</v>
      </c>
      <c r="I1098">
        <v>32</v>
      </c>
      <c r="J1098">
        <v>105.79</v>
      </c>
      <c r="K1098">
        <v>1</v>
      </c>
      <c r="T1098">
        <v>3</v>
      </c>
      <c r="U1098">
        <v>2</v>
      </c>
      <c r="V1098" t="s">
        <v>93</v>
      </c>
      <c r="W1098" t="s">
        <v>187</v>
      </c>
      <c r="X1098">
        <v>12</v>
      </c>
      <c r="Y1098">
        <v>12</v>
      </c>
      <c r="Z1098" t="s">
        <v>1612</v>
      </c>
      <c r="AA1098" t="s">
        <v>1613</v>
      </c>
      <c r="AB1098" t="s">
        <v>96</v>
      </c>
      <c r="AC1098" t="s">
        <v>97</v>
      </c>
      <c r="AD1098" t="s">
        <v>1463</v>
      </c>
      <c r="AG1098" t="s">
        <v>1614</v>
      </c>
      <c r="AH1098">
        <v>0</v>
      </c>
      <c r="AI1098">
        <v>0</v>
      </c>
      <c r="AJ1098">
        <v>0</v>
      </c>
      <c r="AK1098">
        <v>84</v>
      </c>
      <c r="AL1098">
        <v>0.5</v>
      </c>
    </row>
    <row r="1099" spans="1:38" x14ac:dyDescent="0.3">
      <c r="A1099" t="s">
        <v>1459</v>
      </c>
      <c r="B1099">
        <v>9740</v>
      </c>
      <c r="C1099">
        <v>10</v>
      </c>
      <c r="D1099" t="s">
        <v>1610</v>
      </c>
      <c r="E1099" t="s">
        <v>1611</v>
      </c>
      <c r="F1099">
        <v>168</v>
      </c>
      <c r="G1099">
        <v>34.81</v>
      </c>
      <c r="H1099">
        <v>115.09</v>
      </c>
      <c r="I1099">
        <v>32.28</v>
      </c>
      <c r="J1099">
        <v>106.72</v>
      </c>
      <c r="K1099">
        <v>5</v>
      </c>
      <c r="T1099">
        <v>3</v>
      </c>
      <c r="U1099">
        <v>2</v>
      </c>
      <c r="V1099" t="s">
        <v>93</v>
      </c>
      <c r="W1099" t="s">
        <v>1618</v>
      </c>
      <c r="X1099">
        <v>12</v>
      </c>
      <c r="Y1099">
        <v>12</v>
      </c>
      <c r="Z1099" t="s">
        <v>1612</v>
      </c>
      <c r="AA1099" t="s">
        <v>1613</v>
      </c>
      <c r="AB1099" t="s">
        <v>96</v>
      </c>
      <c r="AC1099" t="s">
        <v>97</v>
      </c>
      <c r="AD1099" t="s">
        <v>1463</v>
      </c>
      <c r="AG1099" t="s">
        <v>1614</v>
      </c>
      <c r="AH1099">
        <v>0</v>
      </c>
      <c r="AI1099">
        <v>0</v>
      </c>
      <c r="AJ1099">
        <v>0</v>
      </c>
      <c r="AK1099">
        <v>84</v>
      </c>
      <c r="AL1099">
        <v>0.5</v>
      </c>
    </row>
    <row r="1100" spans="1:38" x14ac:dyDescent="0.3">
      <c r="A1100" t="s">
        <v>1459</v>
      </c>
      <c r="B1100">
        <v>8549</v>
      </c>
      <c r="C1100">
        <v>1</v>
      </c>
      <c r="D1100" t="s">
        <v>1619</v>
      </c>
      <c r="E1100" t="s">
        <v>1620</v>
      </c>
      <c r="F1100">
        <v>150</v>
      </c>
      <c r="G1100">
        <v>18.579999999999998</v>
      </c>
      <c r="H1100">
        <v>61.45</v>
      </c>
      <c r="I1100">
        <v>14.88</v>
      </c>
      <c r="J1100">
        <v>49.2</v>
      </c>
      <c r="K1100">
        <v>140</v>
      </c>
      <c r="T1100">
        <v>2</v>
      </c>
      <c r="U1100">
        <v>1</v>
      </c>
      <c r="V1100" t="s">
        <v>93</v>
      </c>
      <c r="W1100" t="s">
        <v>697</v>
      </c>
      <c r="X1100">
        <v>5</v>
      </c>
      <c r="Y1100">
        <v>5</v>
      </c>
      <c r="Z1100" t="s">
        <v>1621</v>
      </c>
      <c r="AA1100" t="s">
        <v>1622</v>
      </c>
      <c r="AB1100" t="s">
        <v>96</v>
      </c>
      <c r="AC1100" t="s">
        <v>97</v>
      </c>
      <c r="AD1100" t="s">
        <v>1463</v>
      </c>
      <c r="AG1100" t="s">
        <v>1623</v>
      </c>
      <c r="AH1100">
        <v>0</v>
      </c>
      <c r="AI1100">
        <v>138</v>
      </c>
      <c r="AJ1100">
        <v>30</v>
      </c>
      <c r="AK1100">
        <v>75</v>
      </c>
      <c r="AL1100">
        <v>0.5</v>
      </c>
    </row>
    <row r="1101" spans="1:38" x14ac:dyDescent="0.3">
      <c r="A1101" t="s">
        <v>1459</v>
      </c>
      <c r="B1101">
        <v>8549</v>
      </c>
      <c r="C1101">
        <v>2</v>
      </c>
      <c r="D1101" t="s">
        <v>1619</v>
      </c>
      <c r="E1101" t="s">
        <v>1620</v>
      </c>
      <c r="F1101">
        <v>150</v>
      </c>
      <c r="G1101">
        <v>18.510000000000002</v>
      </c>
      <c r="H1101">
        <v>61.2</v>
      </c>
      <c r="I1101">
        <v>14.75</v>
      </c>
      <c r="J1101">
        <v>48.78</v>
      </c>
      <c r="K1101">
        <v>10</v>
      </c>
      <c r="T1101">
        <v>2</v>
      </c>
      <c r="U1101">
        <v>1</v>
      </c>
      <c r="V1101" t="s">
        <v>93</v>
      </c>
      <c r="W1101" t="s">
        <v>693</v>
      </c>
      <c r="X1101">
        <v>5</v>
      </c>
      <c r="Y1101">
        <v>5</v>
      </c>
      <c r="Z1101" t="s">
        <v>1621</v>
      </c>
      <c r="AA1101" t="s">
        <v>1622</v>
      </c>
      <c r="AB1101" t="s">
        <v>96</v>
      </c>
      <c r="AC1101" t="s">
        <v>97</v>
      </c>
      <c r="AD1101" t="s">
        <v>1463</v>
      </c>
      <c r="AG1101" t="s">
        <v>1623</v>
      </c>
      <c r="AH1101">
        <v>0</v>
      </c>
      <c r="AI1101">
        <v>138</v>
      </c>
      <c r="AJ1101">
        <v>30</v>
      </c>
      <c r="AK1101">
        <v>75</v>
      </c>
      <c r="AL1101">
        <v>0.5</v>
      </c>
    </row>
    <row r="1102" spans="1:38" x14ac:dyDescent="0.3">
      <c r="A1102" t="s">
        <v>1459</v>
      </c>
      <c r="B1102">
        <v>141135</v>
      </c>
      <c r="C1102">
        <v>1</v>
      </c>
      <c r="D1102" t="s">
        <v>1624</v>
      </c>
      <c r="E1102" t="s">
        <v>870</v>
      </c>
      <c r="F1102">
        <v>3</v>
      </c>
      <c r="G1102">
        <v>17.149999999999999</v>
      </c>
      <c r="H1102">
        <v>56.7</v>
      </c>
      <c r="I1102">
        <v>13.44</v>
      </c>
      <c r="J1102">
        <v>44.44</v>
      </c>
      <c r="K1102">
        <v>1</v>
      </c>
      <c r="T1102">
        <v>2</v>
      </c>
      <c r="U1102">
        <v>1</v>
      </c>
      <c r="V1102" t="s">
        <v>93</v>
      </c>
      <c r="W1102">
        <v>56</v>
      </c>
      <c r="X1102">
        <v>9</v>
      </c>
      <c r="Y1102">
        <v>9</v>
      </c>
      <c r="Z1102" t="s">
        <v>1625</v>
      </c>
      <c r="AA1102" t="s">
        <v>1626</v>
      </c>
      <c r="AB1102" t="s">
        <v>96</v>
      </c>
      <c r="AC1102" t="s">
        <v>97</v>
      </c>
      <c r="AD1102" t="s">
        <v>1463</v>
      </c>
      <c r="AG1102" t="s">
        <v>1627</v>
      </c>
      <c r="AH1102">
        <v>0</v>
      </c>
      <c r="AI1102">
        <v>456</v>
      </c>
      <c r="AJ1102">
        <v>59</v>
      </c>
      <c r="AK1102">
        <v>2</v>
      </c>
      <c r="AL1102">
        <v>0.67</v>
      </c>
    </row>
    <row r="1103" spans="1:38" x14ac:dyDescent="0.3">
      <c r="A1103" t="s">
        <v>1459</v>
      </c>
      <c r="B1103">
        <v>141135</v>
      </c>
      <c r="C1103">
        <v>2</v>
      </c>
      <c r="D1103" t="s">
        <v>1624</v>
      </c>
      <c r="E1103" t="s">
        <v>870</v>
      </c>
      <c r="F1103">
        <v>3</v>
      </c>
      <c r="G1103">
        <v>23.22</v>
      </c>
      <c r="H1103">
        <v>76.790000000000006</v>
      </c>
      <c r="I1103">
        <v>18.12</v>
      </c>
      <c r="J1103">
        <v>59.92</v>
      </c>
      <c r="K1103">
        <v>1</v>
      </c>
      <c r="T1103">
        <v>2</v>
      </c>
      <c r="U1103">
        <v>1</v>
      </c>
      <c r="V1103" t="s">
        <v>93</v>
      </c>
      <c r="W1103" t="s">
        <v>1413</v>
      </c>
      <c r="X1103">
        <v>9</v>
      </c>
      <c r="Y1103">
        <v>9</v>
      </c>
      <c r="Z1103" t="s">
        <v>1625</v>
      </c>
      <c r="AA1103" t="s">
        <v>1626</v>
      </c>
      <c r="AB1103" t="s">
        <v>96</v>
      </c>
      <c r="AC1103" t="s">
        <v>97</v>
      </c>
      <c r="AD1103" t="s">
        <v>1463</v>
      </c>
      <c r="AG1103" t="s">
        <v>1627</v>
      </c>
      <c r="AH1103">
        <v>0</v>
      </c>
      <c r="AI1103">
        <v>456</v>
      </c>
      <c r="AJ1103">
        <v>59</v>
      </c>
      <c r="AK1103">
        <v>2</v>
      </c>
      <c r="AL1103">
        <v>0.67</v>
      </c>
    </row>
    <row r="1104" spans="1:38" x14ac:dyDescent="0.3">
      <c r="A1104" t="s">
        <v>1459</v>
      </c>
      <c r="B1104">
        <v>141135</v>
      </c>
      <c r="C1104">
        <v>3</v>
      </c>
      <c r="D1104" t="s">
        <v>1624</v>
      </c>
      <c r="E1104" t="s">
        <v>870</v>
      </c>
      <c r="F1104">
        <v>3</v>
      </c>
      <c r="G1104">
        <v>23.24</v>
      </c>
      <c r="H1104">
        <v>76.83</v>
      </c>
      <c r="I1104">
        <v>18.13</v>
      </c>
      <c r="J1104">
        <v>59.95</v>
      </c>
      <c r="K1104">
        <v>1</v>
      </c>
      <c r="T1104">
        <v>3</v>
      </c>
      <c r="U1104">
        <v>2</v>
      </c>
      <c r="V1104" t="s">
        <v>93</v>
      </c>
      <c r="W1104" t="s">
        <v>1126</v>
      </c>
      <c r="X1104">
        <v>9</v>
      </c>
      <c r="Y1104">
        <v>9</v>
      </c>
      <c r="Z1104" t="s">
        <v>1625</v>
      </c>
      <c r="AA1104" t="s">
        <v>1626</v>
      </c>
      <c r="AB1104" t="s">
        <v>96</v>
      </c>
      <c r="AC1104" t="s">
        <v>97</v>
      </c>
      <c r="AD1104" t="s">
        <v>1463</v>
      </c>
      <c r="AG1104" t="s">
        <v>1627</v>
      </c>
      <c r="AH1104">
        <v>0</v>
      </c>
      <c r="AI1104">
        <v>456</v>
      </c>
      <c r="AJ1104">
        <v>59</v>
      </c>
      <c r="AK1104">
        <v>2</v>
      </c>
      <c r="AL1104">
        <v>0.67</v>
      </c>
    </row>
    <row r="1105" spans="1:38" x14ac:dyDescent="0.3">
      <c r="A1105" t="s">
        <v>1459</v>
      </c>
      <c r="B1105">
        <v>103020</v>
      </c>
      <c r="C1105">
        <v>1</v>
      </c>
      <c r="D1105" t="s">
        <v>1628</v>
      </c>
      <c r="E1105" t="s">
        <v>1629</v>
      </c>
      <c r="F1105">
        <v>12</v>
      </c>
      <c r="G1105">
        <v>25.23</v>
      </c>
      <c r="H1105">
        <v>83.41</v>
      </c>
      <c r="I1105">
        <v>21.65</v>
      </c>
      <c r="J1105">
        <v>71.59</v>
      </c>
      <c r="K1105">
        <v>6</v>
      </c>
      <c r="T1105">
        <v>2</v>
      </c>
      <c r="U1105">
        <v>1</v>
      </c>
      <c r="V1105" t="s">
        <v>93</v>
      </c>
      <c r="W1105">
        <v>83</v>
      </c>
      <c r="X1105">
        <v>8</v>
      </c>
      <c r="Y1105">
        <v>8</v>
      </c>
      <c r="Z1105" t="s">
        <v>1630</v>
      </c>
      <c r="AA1105" t="s">
        <v>1631</v>
      </c>
      <c r="AB1105" t="s">
        <v>96</v>
      </c>
      <c r="AC1105" t="s">
        <v>97</v>
      </c>
      <c r="AD1105" t="s">
        <v>1463</v>
      </c>
      <c r="AG1105" t="s">
        <v>1632</v>
      </c>
      <c r="AH1105">
        <v>0</v>
      </c>
      <c r="AI1105">
        <v>275</v>
      </c>
      <c r="AJ1105">
        <v>66</v>
      </c>
      <c r="AK1105">
        <v>14</v>
      </c>
      <c r="AL1105">
        <v>1.17</v>
      </c>
    </row>
    <row r="1106" spans="1:38" x14ac:dyDescent="0.3">
      <c r="A1106" t="s">
        <v>1459</v>
      </c>
      <c r="B1106">
        <v>103020</v>
      </c>
      <c r="C1106">
        <v>2</v>
      </c>
      <c r="D1106" t="s">
        <v>1628</v>
      </c>
      <c r="E1106" t="s">
        <v>1629</v>
      </c>
      <c r="F1106">
        <v>12</v>
      </c>
      <c r="G1106">
        <v>25.62</v>
      </c>
      <c r="H1106">
        <v>84.71</v>
      </c>
      <c r="I1106">
        <v>21.99</v>
      </c>
      <c r="J1106">
        <v>72.709999999999994</v>
      </c>
      <c r="K1106">
        <v>6</v>
      </c>
      <c r="T1106">
        <v>2</v>
      </c>
      <c r="U1106">
        <v>1</v>
      </c>
      <c r="V1106" t="s">
        <v>93</v>
      </c>
      <c r="W1106">
        <v>84</v>
      </c>
      <c r="X1106">
        <v>8</v>
      </c>
      <c r="Y1106">
        <v>8</v>
      </c>
      <c r="Z1106" t="s">
        <v>1630</v>
      </c>
      <c r="AA1106" t="s">
        <v>1631</v>
      </c>
      <c r="AB1106" t="s">
        <v>96</v>
      </c>
      <c r="AC1106" t="s">
        <v>97</v>
      </c>
      <c r="AD1106" t="s">
        <v>1463</v>
      </c>
      <c r="AG1106" t="s">
        <v>1632</v>
      </c>
      <c r="AH1106">
        <v>0</v>
      </c>
      <c r="AI1106">
        <v>275</v>
      </c>
      <c r="AJ1106">
        <v>66</v>
      </c>
      <c r="AK1106">
        <v>14</v>
      </c>
      <c r="AL1106">
        <v>1.17</v>
      </c>
    </row>
    <row r="1107" spans="1:38" x14ac:dyDescent="0.3">
      <c r="A1107" t="s">
        <v>1459</v>
      </c>
      <c r="B1107">
        <v>25900</v>
      </c>
      <c r="C1107">
        <v>1</v>
      </c>
      <c r="D1107" t="s">
        <v>1633</v>
      </c>
      <c r="E1107" t="s">
        <v>1634</v>
      </c>
      <c r="F1107">
        <v>1306</v>
      </c>
      <c r="G1107">
        <v>24.43</v>
      </c>
      <c r="H1107">
        <v>80.790000000000006</v>
      </c>
      <c r="I1107">
        <v>18.13</v>
      </c>
      <c r="J1107">
        <v>59.94</v>
      </c>
      <c r="K1107">
        <v>194</v>
      </c>
      <c r="T1107">
        <v>3</v>
      </c>
      <c r="U1107">
        <v>1</v>
      </c>
      <c r="V1107" t="s">
        <v>93</v>
      </c>
      <c r="W1107">
        <v>80</v>
      </c>
      <c r="X1107">
        <v>20</v>
      </c>
      <c r="Y1107">
        <v>19</v>
      </c>
      <c r="Z1107" t="s">
        <v>1635</v>
      </c>
      <c r="AA1107" t="s">
        <v>1636</v>
      </c>
      <c r="AB1107" t="s">
        <v>96</v>
      </c>
      <c r="AC1107" t="s">
        <v>97</v>
      </c>
      <c r="AD1107" t="s">
        <v>1463</v>
      </c>
      <c r="AG1107" t="s">
        <v>1637</v>
      </c>
      <c r="AH1107">
        <v>0</v>
      </c>
      <c r="AI1107">
        <v>224</v>
      </c>
      <c r="AJ1107">
        <v>16</v>
      </c>
      <c r="AK1107">
        <v>1580</v>
      </c>
      <c r="AL1107">
        <v>1.21</v>
      </c>
    </row>
    <row r="1108" spans="1:38" x14ac:dyDescent="0.3">
      <c r="A1108" t="s">
        <v>1459</v>
      </c>
      <c r="B1108">
        <v>25900</v>
      </c>
      <c r="C1108">
        <v>2</v>
      </c>
      <c r="D1108" t="s">
        <v>1633</v>
      </c>
      <c r="E1108" t="s">
        <v>1634</v>
      </c>
      <c r="F1108">
        <v>1306</v>
      </c>
      <c r="G1108">
        <v>28.9</v>
      </c>
      <c r="H1108">
        <v>95.57</v>
      </c>
      <c r="I1108">
        <v>21.55</v>
      </c>
      <c r="J1108">
        <v>71.25</v>
      </c>
      <c r="K1108">
        <v>356</v>
      </c>
      <c r="T1108">
        <v>3</v>
      </c>
      <c r="U1108">
        <v>2</v>
      </c>
      <c r="V1108" t="s">
        <v>93</v>
      </c>
      <c r="W1108">
        <v>95</v>
      </c>
      <c r="X1108">
        <v>20</v>
      </c>
      <c r="Y1108">
        <v>19</v>
      </c>
      <c r="Z1108" t="s">
        <v>1635</v>
      </c>
      <c r="AA1108" t="s">
        <v>1636</v>
      </c>
      <c r="AB1108" t="s">
        <v>96</v>
      </c>
      <c r="AC1108" t="s">
        <v>97</v>
      </c>
      <c r="AD1108" t="s">
        <v>1463</v>
      </c>
      <c r="AG1108" t="s">
        <v>1637</v>
      </c>
      <c r="AH1108">
        <v>0</v>
      </c>
      <c r="AI1108">
        <v>224</v>
      </c>
      <c r="AJ1108">
        <v>16</v>
      </c>
      <c r="AK1108">
        <v>1580</v>
      </c>
      <c r="AL1108">
        <v>1.21</v>
      </c>
    </row>
    <row r="1109" spans="1:38" x14ac:dyDescent="0.3">
      <c r="A1109" t="s">
        <v>1459</v>
      </c>
      <c r="B1109">
        <v>25900</v>
      </c>
      <c r="C1109">
        <v>3</v>
      </c>
      <c r="D1109" t="s">
        <v>1633</v>
      </c>
      <c r="E1109" t="s">
        <v>1634</v>
      </c>
      <c r="F1109">
        <v>1306</v>
      </c>
      <c r="G1109">
        <v>33.53</v>
      </c>
      <c r="H1109">
        <v>110.85</v>
      </c>
      <c r="I1109">
        <v>25.57</v>
      </c>
      <c r="J1109">
        <v>84.53</v>
      </c>
      <c r="K1109">
        <v>360</v>
      </c>
      <c r="T1109">
        <v>3</v>
      </c>
      <c r="U1109">
        <v>2</v>
      </c>
      <c r="V1109" t="s">
        <v>93</v>
      </c>
      <c r="W1109" t="s">
        <v>440</v>
      </c>
      <c r="X1109">
        <v>20</v>
      </c>
      <c r="Y1109">
        <v>19</v>
      </c>
      <c r="Z1109" t="s">
        <v>1635</v>
      </c>
      <c r="AA1109" t="s">
        <v>1636</v>
      </c>
      <c r="AB1109" t="s">
        <v>96</v>
      </c>
      <c r="AC1109" t="s">
        <v>97</v>
      </c>
      <c r="AD1109" t="s">
        <v>1463</v>
      </c>
      <c r="AG1109" t="s">
        <v>1637</v>
      </c>
      <c r="AH1109">
        <v>0</v>
      </c>
      <c r="AI1109">
        <v>224</v>
      </c>
      <c r="AJ1109">
        <v>16</v>
      </c>
      <c r="AK1109">
        <v>1580</v>
      </c>
      <c r="AL1109">
        <v>1.21</v>
      </c>
    </row>
    <row r="1110" spans="1:38" x14ac:dyDescent="0.3">
      <c r="A1110" t="s">
        <v>1459</v>
      </c>
      <c r="B1110">
        <v>25900</v>
      </c>
      <c r="C1110">
        <v>4</v>
      </c>
      <c r="D1110" t="s">
        <v>1633</v>
      </c>
      <c r="E1110" t="s">
        <v>1634</v>
      </c>
      <c r="F1110">
        <v>1306</v>
      </c>
      <c r="G1110">
        <v>33.6</v>
      </c>
      <c r="H1110">
        <v>111.1</v>
      </c>
      <c r="I1110">
        <v>25.62</v>
      </c>
      <c r="J1110">
        <v>84.72</v>
      </c>
      <c r="K1110">
        <v>80</v>
      </c>
      <c r="T1110">
        <v>3</v>
      </c>
      <c r="U1110">
        <v>2</v>
      </c>
      <c r="V1110" t="s">
        <v>93</v>
      </c>
      <c r="W1110" t="s">
        <v>1638</v>
      </c>
      <c r="X1110">
        <v>20</v>
      </c>
      <c r="Y1110">
        <v>19</v>
      </c>
      <c r="Z1110" t="s">
        <v>1635</v>
      </c>
      <c r="AA1110" t="s">
        <v>1636</v>
      </c>
      <c r="AB1110" t="s">
        <v>96</v>
      </c>
      <c r="AC1110" t="s">
        <v>97</v>
      </c>
      <c r="AD1110" t="s">
        <v>1463</v>
      </c>
      <c r="AG1110" t="s">
        <v>1637</v>
      </c>
      <c r="AH1110">
        <v>0</v>
      </c>
      <c r="AI1110">
        <v>224</v>
      </c>
      <c r="AJ1110">
        <v>16</v>
      </c>
      <c r="AK1110">
        <v>1580</v>
      </c>
      <c r="AL1110">
        <v>1.21</v>
      </c>
    </row>
    <row r="1111" spans="1:38" x14ac:dyDescent="0.3">
      <c r="A1111" t="s">
        <v>1459</v>
      </c>
      <c r="B1111">
        <v>25900</v>
      </c>
      <c r="C1111">
        <v>5</v>
      </c>
      <c r="D1111" t="s">
        <v>1633</v>
      </c>
      <c r="E1111" t="s">
        <v>1634</v>
      </c>
      <c r="F1111">
        <v>1306</v>
      </c>
      <c r="G1111">
        <v>39.93</v>
      </c>
      <c r="H1111">
        <v>132.03</v>
      </c>
      <c r="I1111">
        <v>31.89</v>
      </c>
      <c r="J1111">
        <v>105.44</v>
      </c>
      <c r="K1111">
        <v>160</v>
      </c>
      <c r="T1111">
        <v>4</v>
      </c>
      <c r="U1111">
        <v>2</v>
      </c>
      <c r="V1111" t="s">
        <v>93</v>
      </c>
      <c r="W1111">
        <v>132</v>
      </c>
      <c r="X1111">
        <v>20</v>
      </c>
      <c r="Y1111">
        <v>19</v>
      </c>
      <c r="Z1111" t="s">
        <v>1635</v>
      </c>
      <c r="AA1111" t="s">
        <v>1636</v>
      </c>
      <c r="AB1111" t="s">
        <v>96</v>
      </c>
      <c r="AC1111" t="s">
        <v>97</v>
      </c>
      <c r="AD1111" t="s">
        <v>1463</v>
      </c>
      <c r="AG1111" t="s">
        <v>1637</v>
      </c>
      <c r="AH1111">
        <v>0</v>
      </c>
      <c r="AI1111">
        <v>224</v>
      </c>
      <c r="AJ1111">
        <v>16</v>
      </c>
      <c r="AK1111">
        <v>1580</v>
      </c>
      <c r="AL1111">
        <v>1.21</v>
      </c>
    </row>
    <row r="1112" spans="1:38" x14ac:dyDescent="0.3">
      <c r="A1112" t="s">
        <v>1459</v>
      </c>
      <c r="B1112">
        <v>25900</v>
      </c>
      <c r="C1112">
        <v>6</v>
      </c>
      <c r="D1112" t="s">
        <v>1633</v>
      </c>
      <c r="E1112" t="s">
        <v>1634</v>
      </c>
      <c r="F1112">
        <v>1306</v>
      </c>
      <c r="G1112">
        <v>49.21</v>
      </c>
      <c r="H1112">
        <v>162.71</v>
      </c>
      <c r="I1112">
        <v>39.950000000000003</v>
      </c>
      <c r="J1112">
        <v>132.09</v>
      </c>
      <c r="K1112">
        <v>156</v>
      </c>
      <c r="T1112">
        <v>4</v>
      </c>
      <c r="U1112">
        <v>2</v>
      </c>
      <c r="V1112" t="s">
        <v>93</v>
      </c>
      <c r="W1112">
        <v>162</v>
      </c>
      <c r="X1112">
        <v>20</v>
      </c>
      <c r="Y1112">
        <v>19</v>
      </c>
      <c r="Z1112" t="s">
        <v>1635</v>
      </c>
      <c r="AA1112" t="s">
        <v>1636</v>
      </c>
      <c r="AB1112" t="s">
        <v>96</v>
      </c>
      <c r="AC1112" t="s">
        <v>97</v>
      </c>
      <c r="AD1112" t="s">
        <v>1463</v>
      </c>
      <c r="AG1112" t="s">
        <v>1637</v>
      </c>
      <c r="AH1112">
        <v>0</v>
      </c>
      <c r="AI1112">
        <v>224</v>
      </c>
      <c r="AJ1112">
        <v>16</v>
      </c>
      <c r="AK1112">
        <v>1580</v>
      </c>
      <c r="AL1112">
        <v>1.21</v>
      </c>
    </row>
    <row r="1113" spans="1:38" x14ac:dyDescent="0.3">
      <c r="A1113" t="s">
        <v>1459</v>
      </c>
      <c r="B1113">
        <v>8113</v>
      </c>
      <c r="C1113">
        <v>1</v>
      </c>
      <c r="D1113" t="s">
        <v>1639</v>
      </c>
      <c r="E1113" t="s">
        <v>1597</v>
      </c>
      <c r="F1113">
        <v>398</v>
      </c>
      <c r="G1113">
        <v>30.29</v>
      </c>
      <c r="H1113">
        <v>100.14</v>
      </c>
      <c r="I1113">
        <v>25.57</v>
      </c>
      <c r="J1113">
        <v>84.56</v>
      </c>
      <c r="K1113">
        <v>383</v>
      </c>
      <c r="T1113">
        <v>3</v>
      </c>
      <c r="U1113">
        <v>1</v>
      </c>
      <c r="V1113" t="s">
        <v>93</v>
      </c>
      <c r="W1113" t="s">
        <v>1640</v>
      </c>
      <c r="X1113">
        <v>15</v>
      </c>
      <c r="Y1113">
        <v>12</v>
      </c>
      <c r="Z1113" t="s">
        <v>1641</v>
      </c>
      <c r="AA1113" t="s">
        <v>1642</v>
      </c>
      <c r="AB1113" t="s">
        <v>96</v>
      </c>
      <c r="AC1113" t="s">
        <v>97</v>
      </c>
      <c r="AD1113" t="s">
        <v>1463</v>
      </c>
      <c r="AG1113" t="s">
        <v>1643</v>
      </c>
      <c r="AH1113">
        <v>0</v>
      </c>
      <c r="AI1113">
        <v>345</v>
      </c>
      <c r="AJ1113">
        <v>32</v>
      </c>
      <c r="AK1113">
        <v>0</v>
      </c>
      <c r="AL1113">
        <v>0</v>
      </c>
    </row>
    <row r="1114" spans="1:38" x14ac:dyDescent="0.3">
      <c r="A1114" t="s">
        <v>1459</v>
      </c>
      <c r="B1114">
        <v>8113</v>
      </c>
      <c r="C1114">
        <v>2</v>
      </c>
      <c r="D1114" t="s">
        <v>1639</v>
      </c>
      <c r="E1114" t="s">
        <v>1597</v>
      </c>
      <c r="F1114">
        <v>398</v>
      </c>
      <c r="G1114">
        <v>30.27</v>
      </c>
      <c r="H1114">
        <v>100.08</v>
      </c>
      <c r="I1114">
        <v>25.56</v>
      </c>
      <c r="J1114">
        <v>84.51</v>
      </c>
      <c r="K1114">
        <v>15</v>
      </c>
      <c r="T1114">
        <v>3</v>
      </c>
      <c r="U1114">
        <v>2</v>
      </c>
      <c r="V1114" t="s">
        <v>93</v>
      </c>
      <c r="W1114" t="s">
        <v>601</v>
      </c>
      <c r="X1114">
        <v>15</v>
      </c>
      <c r="Y1114">
        <v>12</v>
      </c>
      <c r="Z1114" t="s">
        <v>1641</v>
      </c>
      <c r="AA1114" t="s">
        <v>1642</v>
      </c>
      <c r="AB1114" t="s">
        <v>96</v>
      </c>
      <c r="AC1114" t="s">
        <v>97</v>
      </c>
      <c r="AD1114" t="s">
        <v>1463</v>
      </c>
      <c r="AG1114" t="s">
        <v>1643</v>
      </c>
      <c r="AH1114">
        <v>0</v>
      </c>
      <c r="AI1114">
        <v>345</v>
      </c>
      <c r="AJ1114">
        <v>32</v>
      </c>
      <c r="AK1114">
        <v>0</v>
      </c>
      <c r="AL1114">
        <v>0</v>
      </c>
    </row>
    <row r="1115" spans="1:38" x14ac:dyDescent="0.3">
      <c r="A1115" t="s">
        <v>1459</v>
      </c>
      <c r="B1115">
        <v>2414</v>
      </c>
      <c r="C1115">
        <v>1</v>
      </c>
      <c r="D1115" t="s">
        <v>1644</v>
      </c>
      <c r="E1115" t="s">
        <v>121</v>
      </c>
      <c r="F1115">
        <v>1170</v>
      </c>
      <c r="G1115">
        <v>26.07</v>
      </c>
      <c r="H1115">
        <v>86.21</v>
      </c>
      <c r="I1115">
        <v>21.84</v>
      </c>
      <c r="J1115">
        <v>72.23</v>
      </c>
      <c r="K1115">
        <v>270</v>
      </c>
      <c r="T1115">
        <v>3</v>
      </c>
      <c r="U1115">
        <v>1</v>
      </c>
      <c r="V1115" t="s">
        <v>93</v>
      </c>
      <c r="W1115">
        <v>86</v>
      </c>
      <c r="X1115">
        <v>15</v>
      </c>
      <c r="Y1115">
        <v>10</v>
      </c>
      <c r="Z1115" t="s">
        <v>1645</v>
      </c>
      <c r="AA1115" t="s">
        <v>1646</v>
      </c>
      <c r="AB1115" t="s">
        <v>96</v>
      </c>
      <c r="AC1115" t="s">
        <v>97</v>
      </c>
      <c r="AD1115" t="s">
        <v>1463</v>
      </c>
      <c r="AG1115" t="s">
        <v>1647</v>
      </c>
      <c r="AH1115">
        <v>0</v>
      </c>
      <c r="AI1115">
        <v>220</v>
      </c>
      <c r="AJ1115">
        <v>16</v>
      </c>
      <c r="AK1115">
        <v>1170</v>
      </c>
      <c r="AL1115">
        <v>1</v>
      </c>
    </row>
    <row r="1116" spans="1:38" x14ac:dyDescent="0.3">
      <c r="A1116" t="s">
        <v>1459</v>
      </c>
      <c r="B1116">
        <v>2414</v>
      </c>
      <c r="C1116">
        <v>2</v>
      </c>
      <c r="D1116" t="s">
        <v>1644</v>
      </c>
      <c r="E1116" t="s">
        <v>121</v>
      </c>
      <c r="F1116">
        <v>1170</v>
      </c>
      <c r="G1116">
        <v>29.7</v>
      </c>
      <c r="H1116">
        <v>98.19</v>
      </c>
      <c r="I1116">
        <v>25.49</v>
      </c>
      <c r="J1116">
        <v>84.29</v>
      </c>
      <c r="K1116">
        <v>450</v>
      </c>
      <c r="T1116">
        <v>3</v>
      </c>
      <c r="U1116">
        <v>2</v>
      </c>
      <c r="V1116" t="s">
        <v>93</v>
      </c>
      <c r="W1116" t="s">
        <v>360</v>
      </c>
      <c r="X1116">
        <v>15</v>
      </c>
      <c r="Y1116">
        <v>10</v>
      </c>
      <c r="Z1116" t="s">
        <v>1645</v>
      </c>
      <c r="AA1116" t="s">
        <v>1646</v>
      </c>
      <c r="AB1116" t="s">
        <v>96</v>
      </c>
      <c r="AC1116" t="s">
        <v>97</v>
      </c>
      <c r="AD1116" t="s">
        <v>1463</v>
      </c>
      <c r="AG1116" t="s">
        <v>1647</v>
      </c>
      <c r="AH1116">
        <v>0</v>
      </c>
      <c r="AI1116">
        <v>220</v>
      </c>
      <c r="AJ1116">
        <v>16</v>
      </c>
      <c r="AK1116">
        <v>1170</v>
      </c>
      <c r="AL1116">
        <v>1</v>
      </c>
    </row>
    <row r="1117" spans="1:38" x14ac:dyDescent="0.3">
      <c r="A1117" t="s">
        <v>1459</v>
      </c>
      <c r="B1117">
        <v>2414</v>
      </c>
      <c r="C1117">
        <v>3</v>
      </c>
      <c r="D1117" t="s">
        <v>1644</v>
      </c>
      <c r="E1117" t="s">
        <v>121</v>
      </c>
      <c r="F1117">
        <v>1170</v>
      </c>
      <c r="G1117">
        <v>30.16</v>
      </c>
      <c r="H1117">
        <v>99.72</v>
      </c>
      <c r="I1117">
        <v>25.7</v>
      </c>
      <c r="J1117">
        <v>84.99</v>
      </c>
      <c r="K1117">
        <v>90</v>
      </c>
      <c r="T1117">
        <v>3</v>
      </c>
      <c r="U1117">
        <v>2</v>
      </c>
      <c r="V1117" t="s">
        <v>93</v>
      </c>
      <c r="W1117" t="s">
        <v>1053</v>
      </c>
      <c r="X1117">
        <v>15</v>
      </c>
      <c r="Y1117">
        <v>10</v>
      </c>
      <c r="Z1117" t="s">
        <v>1645</v>
      </c>
      <c r="AA1117" t="s">
        <v>1646</v>
      </c>
      <c r="AB1117" t="s">
        <v>96</v>
      </c>
      <c r="AC1117" t="s">
        <v>97</v>
      </c>
      <c r="AD1117" t="s">
        <v>1463</v>
      </c>
      <c r="AG1117" t="s">
        <v>1647</v>
      </c>
      <c r="AH1117">
        <v>0</v>
      </c>
      <c r="AI1117">
        <v>220</v>
      </c>
      <c r="AJ1117">
        <v>16</v>
      </c>
      <c r="AK1117">
        <v>1170</v>
      </c>
      <c r="AL1117">
        <v>1</v>
      </c>
    </row>
    <row r="1118" spans="1:38" x14ac:dyDescent="0.3">
      <c r="A1118" t="s">
        <v>1459</v>
      </c>
      <c r="B1118">
        <v>2414</v>
      </c>
      <c r="C1118">
        <v>4</v>
      </c>
      <c r="D1118" t="s">
        <v>1644</v>
      </c>
      <c r="E1118" t="s">
        <v>121</v>
      </c>
      <c r="F1118">
        <v>1170</v>
      </c>
      <c r="G1118">
        <v>41.29</v>
      </c>
      <c r="H1118">
        <v>136.5</v>
      </c>
      <c r="I1118">
        <v>36.75</v>
      </c>
      <c r="J1118">
        <v>121.51</v>
      </c>
      <c r="K1118">
        <v>180</v>
      </c>
      <c r="T1118">
        <v>4</v>
      </c>
      <c r="U1118">
        <v>2</v>
      </c>
      <c r="V1118" t="s">
        <v>93</v>
      </c>
      <c r="W1118">
        <v>136</v>
      </c>
      <c r="X1118">
        <v>15</v>
      </c>
      <c r="Y1118">
        <v>10</v>
      </c>
      <c r="Z1118" t="s">
        <v>1645</v>
      </c>
      <c r="AA1118" t="s">
        <v>1646</v>
      </c>
      <c r="AB1118" t="s">
        <v>96</v>
      </c>
      <c r="AC1118" t="s">
        <v>97</v>
      </c>
      <c r="AD1118" t="s">
        <v>1463</v>
      </c>
      <c r="AG1118" t="s">
        <v>1647</v>
      </c>
      <c r="AH1118">
        <v>0</v>
      </c>
      <c r="AI1118">
        <v>220</v>
      </c>
      <c r="AJ1118">
        <v>16</v>
      </c>
      <c r="AK1118">
        <v>1170</v>
      </c>
      <c r="AL1118">
        <v>1</v>
      </c>
    </row>
    <row r="1119" spans="1:38" x14ac:dyDescent="0.3">
      <c r="A1119" t="s">
        <v>1459</v>
      </c>
      <c r="B1119">
        <v>2414</v>
      </c>
      <c r="C1119">
        <v>5</v>
      </c>
      <c r="D1119" t="s">
        <v>1644</v>
      </c>
      <c r="E1119" t="s">
        <v>121</v>
      </c>
      <c r="F1119">
        <v>1170</v>
      </c>
      <c r="G1119">
        <v>49.39</v>
      </c>
      <c r="H1119">
        <v>163.28</v>
      </c>
      <c r="I1119">
        <v>44.47</v>
      </c>
      <c r="J1119">
        <v>147.01</v>
      </c>
      <c r="K1119">
        <v>180</v>
      </c>
      <c r="T1119">
        <v>5</v>
      </c>
      <c r="U1119">
        <v>2</v>
      </c>
      <c r="V1119" t="s">
        <v>93</v>
      </c>
      <c r="W1119">
        <v>163</v>
      </c>
      <c r="X1119">
        <v>15</v>
      </c>
      <c r="Y1119">
        <v>10</v>
      </c>
      <c r="Z1119" t="s">
        <v>1645</v>
      </c>
      <c r="AA1119" t="s">
        <v>1646</v>
      </c>
      <c r="AB1119" t="s">
        <v>96</v>
      </c>
      <c r="AC1119" t="s">
        <v>97</v>
      </c>
      <c r="AD1119" t="s">
        <v>1463</v>
      </c>
      <c r="AG1119" t="s">
        <v>1647</v>
      </c>
      <c r="AH1119">
        <v>0</v>
      </c>
      <c r="AI1119">
        <v>220</v>
      </c>
      <c r="AJ1119">
        <v>16</v>
      </c>
      <c r="AK1119">
        <v>1170</v>
      </c>
      <c r="AL1119">
        <v>1</v>
      </c>
    </row>
    <row r="1120" spans="1:38" x14ac:dyDescent="0.3">
      <c r="A1120" t="s">
        <v>1459</v>
      </c>
      <c r="B1120">
        <v>128918</v>
      </c>
      <c r="C1120">
        <v>1</v>
      </c>
      <c r="D1120" t="s">
        <v>1648</v>
      </c>
      <c r="E1120" t="s">
        <v>1606</v>
      </c>
      <c r="F1120">
        <v>9</v>
      </c>
      <c r="G1120">
        <v>16.68</v>
      </c>
      <c r="H1120">
        <v>55.16</v>
      </c>
      <c r="I1120">
        <v>13.51</v>
      </c>
      <c r="J1120">
        <v>44.68</v>
      </c>
      <c r="K1120">
        <v>2</v>
      </c>
      <c r="T1120">
        <v>2</v>
      </c>
      <c r="U1120">
        <v>1</v>
      </c>
      <c r="V1120" t="s">
        <v>93</v>
      </c>
      <c r="W1120">
        <v>55</v>
      </c>
      <c r="X1120">
        <v>6</v>
      </c>
      <c r="Y1120">
        <v>6</v>
      </c>
      <c r="Z1120" t="s">
        <v>1649</v>
      </c>
      <c r="AA1120" t="s">
        <v>1650</v>
      </c>
      <c r="AB1120" t="s">
        <v>96</v>
      </c>
      <c r="AC1120" t="s">
        <v>97</v>
      </c>
      <c r="AD1120" t="s">
        <v>1463</v>
      </c>
      <c r="AG1120" t="s">
        <v>1651</v>
      </c>
      <c r="AH1120">
        <v>0</v>
      </c>
      <c r="AI1120">
        <v>261</v>
      </c>
      <c r="AJ1120">
        <v>59</v>
      </c>
      <c r="AK1120">
        <v>9</v>
      </c>
      <c r="AL1120">
        <v>1</v>
      </c>
    </row>
    <row r="1121" spans="1:38" x14ac:dyDescent="0.3">
      <c r="A1121" t="s">
        <v>1459</v>
      </c>
      <c r="B1121">
        <v>128918</v>
      </c>
      <c r="C1121">
        <v>2</v>
      </c>
      <c r="D1121" t="s">
        <v>1648</v>
      </c>
      <c r="E1121" t="s">
        <v>1606</v>
      </c>
      <c r="F1121">
        <v>9</v>
      </c>
      <c r="G1121">
        <v>18.350000000000001</v>
      </c>
      <c r="H1121">
        <v>60.69</v>
      </c>
      <c r="I1121">
        <v>14.84</v>
      </c>
      <c r="J1121">
        <v>49.07</v>
      </c>
      <c r="K1121">
        <v>2</v>
      </c>
      <c r="T1121">
        <v>2</v>
      </c>
      <c r="U1121">
        <v>1</v>
      </c>
      <c r="V1121" t="s">
        <v>93</v>
      </c>
      <c r="W1121" t="s">
        <v>254</v>
      </c>
      <c r="X1121">
        <v>6</v>
      </c>
      <c r="Y1121">
        <v>6</v>
      </c>
      <c r="Z1121" t="s">
        <v>1649</v>
      </c>
      <c r="AA1121" t="s">
        <v>1650</v>
      </c>
      <c r="AB1121" t="s">
        <v>96</v>
      </c>
      <c r="AC1121" t="s">
        <v>97</v>
      </c>
      <c r="AD1121" t="s">
        <v>1463</v>
      </c>
      <c r="AG1121" t="s">
        <v>1651</v>
      </c>
      <c r="AH1121">
        <v>0</v>
      </c>
      <c r="AI1121">
        <v>261</v>
      </c>
      <c r="AJ1121">
        <v>59</v>
      </c>
      <c r="AK1121">
        <v>9</v>
      </c>
      <c r="AL1121">
        <v>1</v>
      </c>
    </row>
    <row r="1122" spans="1:38" x14ac:dyDescent="0.3">
      <c r="A1122" t="s">
        <v>1459</v>
      </c>
      <c r="B1122">
        <v>128918</v>
      </c>
      <c r="C1122">
        <v>3</v>
      </c>
      <c r="D1122" t="s">
        <v>1648</v>
      </c>
      <c r="E1122" t="s">
        <v>1606</v>
      </c>
      <c r="F1122">
        <v>9</v>
      </c>
      <c r="G1122">
        <v>18.46</v>
      </c>
      <c r="H1122">
        <v>61.03</v>
      </c>
      <c r="I1122">
        <v>15.01</v>
      </c>
      <c r="J1122">
        <v>49.62</v>
      </c>
      <c r="K1122">
        <v>2</v>
      </c>
      <c r="T1122">
        <v>2</v>
      </c>
      <c r="U1122">
        <v>1</v>
      </c>
      <c r="V1122" t="s">
        <v>93</v>
      </c>
      <c r="W1122" t="s">
        <v>697</v>
      </c>
      <c r="X1122">
        <v>6</v>
      </c>
      <c r="Y1122">
        <v>6</v>
      </c>
      <c r="Z1122" t="s">
        <v>1649</v>
      </c>
      <c r="AA1122" t="s">
        <v>1650</v>
      </c>
      <c r="AB1122" t="s">
        <v>96</v>
      </c>
      <c r="AC1122" t="s">
        <v>97</v>
      </c>
      <c r="AD1122" t="s">
        <v>1463</v>
      </c>
      <c r="AG1122" t="s">
        <v>1651</v>
      </c>
      <c r="AH1122">
        <v>0</v>
      </c>
      <c r="AI1122">
        <v>261</v>
      </c>
      <c r="AJ1122">
        <v>59</v>
      </c>
      <c r="AK1122">
        <v>9</v>
      </c>
      <c r="AL1122">
        <v>1</v>
      </c>
    </row>
    <row r="1123" spans="1:38" x14ac:dyDescent="0.3">
      <c r="A1123" t="s">
        <v>1459</v>
      </c>
      <c r="B1123">
        <v>128918</v>
      </c>
      <c r="C1123">
        <v>4</v>
      </c>
      <c r="D1123" t="s">
        <v>1648</v>
      </c>
      <c r="E1123" t="s">
        <v>1606</v>
      </c>
      <c r="F1123">
        <v>9</v>
      </c>
      <c r="G1123">
        <v>29.06</v>
      </c>
      <c r="H1123">
        <v>96.07</v>
      </c>
      <c r="I1123">
        <v>23.45</v>
      </c>
      <c r="J1123">
        <v>77.53</v>
      </c>
      <c r="K1123">
        <v>1</v>
      </c>
      <c r="T1123">
        <v>3</v>
      </c>
      <c r="U1123">
        <v>2</v>
      </c>
      <c r="V1123" t="s">
        <v>93</v>
      </c>
      <c r="W1123">
        <v>96</v>
      </c>
      <c r="X1123">
        <v>6</v>
      </c>
      <c r="Y1123">
        <v>6</v>
      </c>
      <c r="Z1123" t="s">
        <v>1649</v>
      </c>
      <c r="AA1123" t="s">
        <v>1650</v>
      </c>
      <c r="AB1123" t="s">
        <v>96</v>
      </c>
      <c r="AC1123" t="s">
        <v>97</v>
      </c>
      <c r="AD1123" t="s">
        <v>1463</v>
      </c>
      <c r="AG1123" t="s">
        <v>1651</v>
      </c>
      <c r="AH1123">
        <v>0</v>
      </c>
      <c r="AI1123">
        <v>261</v>
      </c>
      <c r="AJ1123">
        <v>59</v>
      </c>
      <c r="AK1123">
        <v>9</v>
      </c>
      <c r="AL1123">
        <v>1</v>
      </c>
    </row>
    <row r="1124" spans="1:38" x14ac:dyDescent="0.3">
      <c r="A1124" t="s">
        <v>1459</v>
      </c>
      <c r="B1124">
        <v>128918</v>
      </c>
      <c r="C1124">
        <v>5</v>
      </c>
      <c r="D1124" t="s">
        <v>1648</v>
      </c>
      <c r="E1124" t="s">
        <v>1606</v>
      </c>
      <c r="F1124">
        <v>9</v>
      </c>
      <c r="G1124">
        <v>30.88</v>
      </c>
      <c r="H1124">
        <v>102.11</v>
      </c>
      <c r="I1124">
        <v>24.95</v>
      </c>
      <c r="J1124">
        <v>82.51</v>
      </c>
      <c r="K1124">
        <v>1</v>
      </c>
      <c r="T1124">
        <v>3</v>
      </c>
      <c r="U1124">
        <v>2</v>
      </c>
      <c r="V1124" t="s">
        <v>93</v>
      </c>
      <c r="W1124" t="s">
        <v>186</v>
      </c>
      <c r="X1124">
        <v>6</v>
      </c>
      <c r="Y1124">
        <v>6</v>
      </c>
      <c r="Z1124" t="s">
        <v>1649</v>
      </c>
      <c r="AA1124" t="s">
        <v>1650</v>
      </c>
      <c r="AB1124" t="s">
        <v>96</v>
      </c>
      <c r="AC1124" t="s">
        <v>97</v>
      </c>
      <c r="AD1124" t="s">
        <v>1463</v>
      </c>
      <c r="AG1124" t="s">
        <v>1651</v>
      </c>
      <c r="AH1124">
        <v>0</v>
      </c>
      <c r="AI1124">
        <v>261</v>
      </c>
      <c r="AJ1124">
        <v>59</v>
      </c>
      <c r="AK1124">
        <v>9</v>
      </c>
      <c r="AL1124">
        <v>1</v>
      </c>
    </row>
    <row r="1125" spans="1:38" x14ac:dyDescent="0.3">
      <c r="A1125" t="s">
        <v>1459</v>
      </c>
      <c r="B1125">
        <v>128918</v>
      </c>
      <c r="C1125">
        <v>6</v>
      </c>
      <c r="D1125" t="s">
        <v>1648</v>
      </c>
      <c r="E1125" t="s">
        <v>1606</v>
      </c>
      <c r="F1125">
        <v>9</v>
      </c>
      <c r="G1125">
        <v>31.21</v>
      </c>
      <c r="H1125">
        <v>103.19</v>
      </c>
      <c r="I1125">
        <v>25.31</v>
      </c>
      <c r="J1125">
        <v>83.67</v>
      </c>
      <c r="K1125">
        <v>1</v>
      </c>
      <c r="T1125">
        <v>3</v>
      </c>
      <c r="U1125">
        <v>2</v>
      </c>
      <c r="V1125" t="s">
        <v>93</v>
      </c>
      <c r="W1125" t="s">
        <v>602</v>
      </c>
      <c r="X1125">
        <v>6</v>
      </c>
      <c r="Y1125">
        <v>6</v>
      </c>
      <c r="Z1125" t="s">
        <v>1649</v>
      </c>
      <c r="AA1125" t="s">
        <v>1650</v>
      </c>
      <c r="AB1125" t="s">
        <v>96</v>
      </c>
      <c r="AC1125" t="s">
        <v>97</v>
      </c>
      <c r="AD1125" t="s">
        <v>1463</v>
      </c>
      <c r="AG1125" t="s">
        <v>1651</v>
      </c>
      <c r="AH1125">
        <v>0</v>
      </c>
      <c r="AI1125">
        <v>261</v>
      </c>
      <c r="AJ1125">
        <v>59</v>
      </c>
      <c r="AK1125">
        <v>9</v>
      </c>
      <c r="AL1125">
        <v>1</v>
      </c>
    </row>
    <row r="1126" spans="1:38" x14ac:dyDescent="0.3">
      <c r="A1126" t="s">
        <v>1459</v>
      </c>
      <c r="B1126">
        <v>107437</v>
      </c>
      <c r="C1126">
        <v>1</v>
      </c>
      <c r="D1126" t="s">
        <v>1652</v>
      </c>
      <c r="E1126" t="s">
        <v>534</v>
      </c>
      <c r="F1126">
        <v>3971</v>
      </c>
      <c r="G1126">
        <v>25.34</v>
      </c>
      <c r="H1126">
        <v>83.79</v>
      </c>
      <c r="I1126">
        <v>18.14</v>
      </c>
      <c r="J1126">
        <v>59.99</v>
      </c>
      <c r="K1126">
        <v>191</v>
      </c>
      <c r="T1126">
        <v>3</v>
      </c>
      <c r="U1126">
        <v>2</v>
      </c>
      <c r="V1126" t="s">
        <v>93</v>
      </c>
      <c r="W1126" t="s">
        <v>990</v>
      </c>
      <c r="X1126">
        <v>40</v>
      </c>
      <c r="Y1126">
        <v>22</v>
      </c>
      <c r="Z1126" t="s">
        <v>1653</v>
      </c>
      <c r="AA1126" t="s">
        <v>1654</v>
      </c>
      <c r="AB1126" t="s">
        <v>96</v>
      </c>
      <c r="AC1126" t="s">
        <v>97</v>
      </c>
      <c r="AD1126" t="s">
        <v>1463</v>
      </c>
      <c r="AG1126" t="s">
        <v>1655</v>
      </c>
      <c r="AH1126">
        <v>0</v>
      </c>
      <c r="AI1126">
        <v>238</v>
      </c>
      <c r="AJ1126">
        <v>12</v>
      </c>
      <c r="AK1126">
        <v>5004</v>
      </c>
      <c r="AL1126">
        <v>1.26</v>
      </c>
    </row>
    <row r="1127" spans="1:38" x14ac:dyDescent="0.3">
      <c r="A1127" t="s">
        <v>1459</v>
      </c>
      <c r="B1127">
        <v>107437</v>
      </c>
      <c r="C1127">
        <v>2</v>
      </c>
      <c r="D1127" t="s">
        <v>1652</v>
      </c>
      <c r="E1127" t="s">
        <v>534</v>
      </c>
      <c r="F1127">
        <v>3971</v>
      </c>
      <c r="G1127">
        <v>25.61</v>
      </c>
      <c r="H1127">
        <v>84.68</v>
      </c>
      <c r="I1127">
        <v>18.14</v>
      </c>
      <c r="J1127">
        <v>59.99</v>
      </c>
      <c r="K1127">
        <v>144</v>
      </c>
      <c r="T1127">
        <v>3</v>
      </c>
      <c r="U1127">
        <v>2</v>
      </c>
      <c r="V1127" t="s">
        <v>93</v>
      </c>
      <c r="W1127" t="s">
        <v>383</v>
      </c>
      <c r="X1127">
        <v>40</v>
      </c>
      <c r="Y1127">
        <v>22</v>
      </c>
      <c r="Z1127" t="s">
        <v>1653</v>
      </c>
      <c r="AA1127" t="s">
        <v>1654</v>
      </c>
      <c r="AB1127" t="s">
        <v>96</v>
      </c>
      <c r="AC1127" t="s">
        <v>97</v>
      </c>
      <c r="AD1127" t="s">
        <v>1463</v>
      </c>
      <c r="AG1127" t="s">
        <v>1655</v>
      </c>
      <c r="AH1127">
        <v>0</v>
      </c>
      <c r="AI1127">
        <v>238</v>
      </c>
      <c r="AJ1127">
        <v>12</v>
      </c>
      <c r="AK1127">
        <v>5004</v>
      </c>
      <c r="AL1127">
        <v>1.26</v>
      </c>
    </row>
    <row r="1128" spans="1:38" x14ac:dyDescent="0.3">
      <c r="A1128" t="s">
        <v>1459</v>
      </c>
      <c r="B1128">
        <v>107437</v>
      </c>
      <c r="C1128">
        <v>3</v>
      </c>
      <c r="D1128" t="s">
        <v>1652</v>
      </c>
      <c r="E1128" t="s">
        <v>534</v>
      </c>
      <c r="F1128">
        <v>3971</v>
      </c>
      <c r="G1128">
        <v>25.8</v>
      </c>
      <c r="H1128">
        <v>85.31</v>
      </c>
      <c r="I1128">
        <v>18.14</v>
      </c>
      <c r="J1128">
        <v>59.99</v>
      </c>
      <c r="K1128">
        <v>349</v>
      </c>
      <c r="T1128">
        <v>3</v>
      </c>
      <c r="U1128">
        <v>2</v>
      </c>
      <c r="V1128" t="s">
        <v>93</v>
      </c>
      <c r="W1128" t="s">
        <v>1656</v>
      </c>
      <c r="X1128">
        <v>40</v>
      </c>
      <c r="Y1128">
        <v>22</v>
      </c>
      <c r="Z1128" t="s">
        <v>1653</v>
      </c>
      <c r="AA1128" t="s">
        <v>1654</v>
      </c>
      <c r="AB1128" t="s">
        <v>96</v>
      </c>
      <c r="AC1128" t="s">
        <v>97</v>
      </c>
      <c r="AD1128" t="s">
        <v>1463</v>
      </c>
      <c r="AG1128" t="s">
        <v>1655</v>
      </c>
      <c r="AH1128">
        <v>0</v>
      </c>
      <c r="AI1128">
        <v>238</v>
      </c>
      <c r="AJ1128">
        <v>12</v>
      </c>
      <c r="AK1128">
        <v>5004</v>
      </c>
      <c r="AL1128">
        <v>1.26</v>
      </c>
    </row>
    <row r="1129" spans="1:38" x14ac:dyDescent="0.3">
      <c r="A1129" t="s">
        <v>1459</v>
      </c>
      <c r="B1129">
        <v>107437</v>
      </c>
      <c r="C1129">
        <v>4</v>
      </c>
      <c r="D1129" t="s">
        <v>1652</v>
      </c>
      <c r="E1129" t="s">
        <v>534</v>
      </c>
      <c r="F1129">
        <v>3971</v>
      </c>
      <c r="G1129">
        <v>25.79</v>
      </c>
      <c r="H1129">
        <v>85.28</v>
      </c>
      <c r="I1129">
        <v>18.14</v>
      </c>
      <c r="J1129">
        <v>59.99</v>
      </c>
      <c r="K1129">
        <v>116</v>
      </c>
      <c r="T1129">
        <v>3</v>
      </c>
      <c r="U1129">
        <v>2</v>
      </c>
      <c r="V1129" t="s">
        <v>93</v>
      </c>
      <c r="W1129" t="s">
        <v>1615</v>
      </c>
      <c r="X1129">
        <v>40</v>
      </c>
      <c r="Y1129">
        <v>22</v>
      </c>
      <c r="Z1129" t="s">
        <v>1653</v>
      </c>
      <c r="AA1129" t="s">
        <v>1654</v>
      </c>
      <c r="AB1129" t="s">
        <v>96</v>
      </c>
      <c r="AC1129" t="s">
        <v>97</v>
      </c>
      <c r="AD1129" t="s">
        <v>1463</v>
      </c>
      <c r="AG1129" t="s">
        <v>1655</v>
      </c>
      <c r="AH1129">
        <v>0</v>
      </c>
      <c r="AI1129">
        <v>238</v>
      </c>
      <c r="AJ1129">
        <v>12</v>
      </c>
      <c r="AK1129">
        <v>5004</v>
      </c>
      <c r="AL1129">
        <v>1.26</v>
      </c>
    </row>
    <row r="1130" spans="1:38" x14ac:dyDescent="0.3">
      <c r="A1130" t="s">
        <v>1459</v>
      </c>
      <c r="B1130">
        <v>107437</v>
      </c>
      <c r="C1130">
        <v>5</v>
      </c>
      <c r="D1130" t="s">
        <v>1652</v>
      </c>
      <c r="E1130" t="s">
        <v>534</v>
      </c>
      <c r="F1130">
        <v>3971</v>
      </c>
      <c r="G1130">
        <v>35.6</v>
      </c>
      <c r="H1130">
        <v>117.7</v>
      </c>
      <c r="I1130">
        <v>25.7</v>
      </c>
      <c r="J1130">
        <v>84.99</v>
      </c>
      <c r="K1130">
        <v>355</v>
      </c>
      <c r="T1130">
        <v>3</v>
      </c>
      <c r="U1130">
        <v>2</v>
      </c>
      <c r="V1130" t="s">
        <v>93</v>
      </c>
      <c r="W1130" t="s">
        <v>1657</v>
      </c>
      <c r="X1130">
        <v>40</v>
      </c>
      <c r="Y1130">
        <v>22</v>
      </c>
      <c r="Z1130" t="s">
        <v>1653</v>
      </c>
      <c r="AA1130" t="s">
        <v>1654</v>
      </c>
      <c r="AB1130" t="s">
        <v>96</v>
      </c>
      <c r="AC1130" t="s">
        <v>97</v>
      </c>
      <c r="AD1130" t="s">
        <v>1463</v>
      </c>
      <c r="AG1130" t="s">
        <v>1655</v>
      </c>
      <c r="AH1130">
        <v>0</v>
      </c>
      <c r="AI1130">
        <v>238</v>
      </c>
      <c r="AJ1130">
        <v>12</v>
      </c>
      <c r="AK1130">
        <v>5004</v>
      </c>
      <c r="AL1130">
        <v>1.26</v>
      </c>
    </row>
    <row r="1131" spans="1:38" x14ac:dyDescent="0.3">
      <c r="A1131" t="s">
        <v>1459</v>
      </c>
      <c r="B1131">
        <v>107437</v>
      </c>
      <c r="C1131">
        <v>6</v>
      </c>
      <c r="D1131" t="s">
        <v>1652</v>
      </c>
      <c r="E1131" t="s">
        <v>534</v>
      </c>
      <c r="F1131">
        <v>3971</v>
      </c>
      <c r="G1131">
        <v>35.76</v>
      </c>
      <c r="H1131">
        <v>118.24</v>
      </c>
      <c r="I1131">
        <v>25.7</v>
      </c>
      <c r="J1131">
        <v>84.99</v>
      </c>
      <c r="K1131">
        <v>1510</v>
      </c>
      <c r="T1131">
        <v>3</v>
      </c>
      <c r="U1131">
        <v>2</v>
      </c>
      <c r="V1131" t="s">
        <v>93</v>
      </c>
      <c r="W1131" t="s">
        <v>1658</v>
      </c>
      <c r="X1131">
        <v>40</v>
      </c>
      <c r="Y1131">
        <v>22</v>
      </c>
      <c r="Z1131" t="s">
        <v>1653</v>
      </c>
      <c r="AA1131" t="s">
        <v>1654</v>
      </c>
      <c r="AB1131" t="s">
        <v>96</v>
      </c>
      <c r="AC1131" t="s">
        <v>97</v>
      </c>
      <c r="AD1131" t="s">
        <v>1463</v>
      </c>
      <c r="AG1131" t="s">
        <v>1655</v>
      </c>
      <c r="AH1131">
        <v>0</v>
      </c>
      <c r="AI1131">
        <v>238</v>
      </c>
      <c r="AJ1131">
        <v>12</v>
      </c>
      <c r="AK1131">
        <v>5004</v>
      </c>
      <c r="AL1131">
        <v>1.26</v>
      </c>
    </row>
    <row r="1132" spans="1:38" x14ac:dyDescent="0.3">
      <c r="A1132" t="s">
        <v>1459</v>
      </c>
      <c r="B1132">
        <v>107437</v>
      </c>
      <c r="C1132">
        <v>7</v>
      </c>
      <c r="D1132" t="s">
        <v>1652</v>
      </c>
      <c r="E1132" t="s">
        <v>534</v>
      </c>
      <c r="F1132">
        <v>3971</v>
      </c>
      <c r="G1132">
        <v>35.71</v>
      </c>
      <c r="H1132">
        <v>118.06</v>
      </c>
      <c r="I1132">
        <v>25.7</v>
      </c>
      <c r="J1132">
        <v>84.98</v>
      </c>
      <c r="K1132">
        <v>417</v>
      </c>
      <c r="T1132">
        <v>3</v>
      </c>
      <c r="U1132">
        <v>2</v>
      </c>
      <c r="V1132" t="s">
        <v>93</v>
      </c>
      <c r="W1132" t="s">
        <v>1659</v>
      </c>
      <c r="X1132">
        <v>40</v>
      </c>
      <c r="Y1132">
        <v>22</v>
      </c>
      <c r="Z1132" t="s">
        <v>1653</v>
      </c>
      <c r="AA1132" t="s">
        <v>1654</v>
      </c>
      <c r="AB1132" t="s">
        <v>96</v>
      </c>
      <c r="AC1132" t="s">
        <v>97</v>
      </c>
      <c r="AD1132" t="s">
        <v>1463</v>
      </c>
      <c r="AG1132" t="s">
        <v>1655</v>
      </c>
      <c r="AH1132">
        <v>0</v>
      </c>
      <c r="AI1132">
        <v>238</v>
      </c>
      <c r="AJ1132">
        <v>12</v>
      </c>
      <c r="AK1132">
        <v>5004</v>
      </c>
      <c r="AL1132">
        <v>1.26</v>
      </c>
    </row>
    <row r="1133" spans="1:38" x14ac:dyDescent="0.3">
      <c r="A1133" t="s">
        <v>1459</v>
      </c>
      <c r="B1133">
        <v>107437</v>
      </c>
      <c r="C1133">
        <v>8</v>
      </c>
      <c r="D1133" t="s">
        <v>1652</v>
      </c>
      <c r="E1133" t="s">
        <v>534</v>
      </c>
      <c r="F1133">
        <v>3971</v>
      </c>
      <c r="G1133">
        <v>39.99</v>
      </c>
      <c r="H1133">
        <v>132.22</v>
      </c>
      <c r="I1133">
        <v>28.88</v>
      </c>
      <c r="J1133">
        <v>95.49</v>
      </c>
      <c r="K1133">
        <v>295</v>
      </c>
      <c r="T1133">
        <v>3</v>
      </c>
      <c r="U1133">
        <v>2</v>
      </c>
      <c r="V1133" t="s">
        <v>93</v>
      </c>
      <c r="W1133">
        <v>132</v>
      </c>
      <c r="X1133">
        <v>40</v>
      </c>
      <c r="Y1133">
        <v>22</v>
      </c>
      <c r="Z1133" t="s">
        <v>1653</v>
      </c>
      <c r="AA1133" t="s">
        <v>1654</v>
      </c>
      <c r="AB1133" t="s">
        <v>96</v>
      </c>
      <c r="AC1133" t="s">
        <v>97</v>
      </c>
      <c r="AD1133" t="s">
        <v>1463</v>
      </c>
      <c r="AG1133" t="s">
        <v>1655</v>
      </c>
      <c r="AH1133">
        <v>0</v>
      </c>
      <c r="AI1133">
        <v>238</v>
      </c>
      <c r="AJ1133">
        <v>12</v>
      </c>
      <c r="AK1133">
        <v>5004</v>
      </c>
      <c r="AL1133">
        <v>1.26</v>
      </c>
    </row>
    <row r="1134" spans="1:38" x14ac:dyDescent="0.3">
      <c r="A1134" t="s">
        <v>1459</v>
      </c>
      <c r="B1134">
        <v>107437</v>
      </c>
      <c r="C1134">
        <v>9</v>
      </c>
      <c r="D1134" t="s">
        <v>1652</v>
      </c>
      <c r="E1134" t="s">
        <v>534</v>
      </c>
      <c r="F1134">
        <v>3971</v>
      </c>
      <c r="G1134">
        <v>41.93</v>
      </c>
      <c r="H1134">
        <v>138.63999999999999</v>
      </c>
      <c r="I1134">
        <v>30.34</v>
      </c>
      <c r="J1134">
        <v>100.3</v>
      </c>
      <c r="K1134">
        <v>239</v>
      </c>
      <c r="T1134">
        <v>3</v>
      </c>
      <c r="U1134">
        <v>2</v>
      </c>
      <c r="V1134" t="s">
        <v>93</v>
      </c>
      <c r="W1134">
        <v>138</v>
      </c>
      <c r="X1134">
        <v>40</v>
      </c>
      <c r="Y1134">
        <v>22</v>
      </c>
      <c r="Z1134" t="s">
        <v>1653</v>
      </c>
      <c r="AA1134" t="s">
        <v>1654</v>
      </c>
      <c r="AB1134" t="s">
        <v>96</v>
      </c>
      <c r="AC1134" t="s">
        <v>97</v>
      </c>
      <c r="AD1134" t="s">
        <v>1463</v>
      </c>
      <c r="AG1134" t="s">
        <v>1655</v>
      </c>
      <c r="AH1134">
        <v>0</v>
      </c>
      <c r="AI1134">
        <v>238</v>
      </c>
      <c r="AJ1134">
        <v>12</v>
      </c>
      <c r="AK1134">
        <v>5004</v>
      </c>
      <c r="AL1134">
        <v>1.26</v>
      </c>
    </row>
    <row r="1135" spans="1:38" x14ac:dyDescent="0.3">
      <c r="A1135" t="s">
        <v>1459</v>
      </c>
      <c r="B1135">
        <v>107437</v>
      </c>
      <c r="C1135">
        <v>10</v>
      </c>
      <c r="D1135" t="s">
        <v>1652</v>
      </c>
      <c r="E1135" t="s">
        <v>534</v>
      </c>
      <c r="F1135">
        <v>3971</v>
      </c>
      <c r="G1135">
        <v>45.72</v>
      </c>
      <c r="H1135">
        <v>151.16</v>
      </c>
      <c r="I1135">
        <v>33.03</v>
      </c>
      <c r="J1135">
        <v>109.21</v>
      </c>
      <c r="K1135">
        <v>156</v>
      </c>
      <c r="T1135">
        <v>4</v>
      </c>
      <c r="U1135">
        <v>2</v>
      </c>
      <c r="V1135" t="s">
        <v>93</v>
      </c>
      <c r="W1135">
        <v>151</v>
      </c>
      <c r="X1135">
        <v>40</v>
      </c>
      <c r="Y1135">
        <v>22</v>
      </c>
      <c r="Z1135" t="s">
        <v>1653</v>
      </c>
      <c r="AA1135" t="s">
        <v>1654</v>
      </c>
      <c r="AB1135" t="s">
        <v>96</v>
      </c>
      <c r="AC1135" t="s">
        <v>97</v>
      </c>
      <c r="AD1135" t="s">
        <v>1463</v>
      </c>
      <c r="AG1135" t="s">
        <v>1655</v>
      </c>
      <c r="AH1135">
        <v>0</v>
      </c>
      <c r="AI1135">
        <v>238</v>
      </c>
      <c r="AJ1135">
        <v>12</v>
      </c>
      <c r="AK1135">
        <v>5004</v>
      </c>
      <c r="AL1135">
        <v>1.26</v>
      </c>
    </row>
    <row r="1136" spans="1:38" x14ac:dyDescent="0.3">
      <c r="A1136" t="s">
        <v>1459</v>
      </c>
      <c r="B1136">
        <v>107437</v>
      </c>
      <c r="C1136">
        <v>11</v>
      </c>
      <c r="D1136" t="s">
        <v>1652</v>
      </c>
      <c r="E1136" t="s">
        <v>534</v>
      </c>
      <c r="F1136">
        <v>3971</v>
      </c>
      <c r="G1136">
        <v>47.96</v>
      </c>
      <c r="H1136">
        <v>158.56</v>
      </c>
      <c r="I1136">
        <v>34.89</v>
      </c>
      <c r="J1136">
        <v>115.34</v>
      </c>
      <c r="K1136">
        <v>138</v>
      </c>
      <c r="T1136">
        <v>4</v>
      </c>
      <c r="U1136">
        <v>2</v>
      </c>
      <c r="V1136" t="s">
        <v>93</v>
      </c>
      <c r="W1136">
        <v>158</v>
      </c>
      <c r="X1136">
        <v>40</v>
      </c>
      <c r="Y1136">
        <v>22</v>
      </c>
      <c r="Z1136" t="s">
        <v>1653</v>
      </c>
      <c r="AA1136" t="s">
        <v>1654</v>
      </c>
      <c r="AB1136" t="s">
        <v>96</v>
      </c>
      <c r="AC1136" t="s">
        <v>97</v>
      </c>
      <c r="AD1136" t="s">
        <v>1463</v>
      </c>
      <c r="AG1136" t="s">
        <v>1655</v>
      </c>
      <c r="AH1136">
        <v>0</v>
      </c>
      <c r="AI1136">
        <v>238</v>
      </c>
      <c r="AJ1136">
        <v>12</v>
      </c>
      <c r="AK1136">
        <v>5004</v>
      </c>
      <c r="AL1136">
        <v>1.26</v>
      </c>
    </row>
    <row r="1137" spans="1:38" x14ac:dyDescent="0.3">
      <c r="A1137" t="s">
        <v>1459</v>
      </c>
      <c r="B1137">
        <v>107437</v>
      </c>
      <c r="C1137">
        <v>12</v>
      </c>
      <c r="D1137" t="s">
        <v>1652</v>
      </c>
      <c r="E1137" t="s">
        <v>534</v>
      </c>
      <c r="F1137">
        <v>3971</v>
      </c>
      <c r="G1137">
        <v>52.79</v>
      </c>
      <c r="H1137">
        <v>174.54</v>
      </c>
      <c r="I1137">
        <v>38.61</v>
      </c>
      <c r="J1137">
        <v>127.65</v>
      </c>
      <c r="K1137">
        <v>30</v>
      </c>
      <c r="T1137">
        <v>4</v>
      </c>
      <c r="U1137">
        <v>2</v>
      </c>
      <c r="V1137" t="s">
        <v>93</v>
      </c>
      <c r="W1137" t="s">
        <v>1660</v>
      </c>
      <c r="X1137">
        <v>40</v>
      </c>
      <c r="Y1137">
        <v>22</v>
      </c>
      <c r="Z1137" t="s">
        <v>1653</v>
      </c>
      <c r="AA1137" t="s">
        <v>1654</v>
      </c>
      <c r="AB1137" t="s">
        <v>96</v>
      </c>
      <c r="AC1137" t="s">
        <v>97</v>
      </c>
      <c r="AD1137" t="s">
        <v>1463</v>
      </c>
      <c r="AG1137" t="s">
        <v>1655</v>
      </c>
      <c r="AH1137">
        <v>0</v>
      </c>
      <c r="AI1137">
        <v>238</v>
      </c>
      <c r="AJ1137">
        <v>12</v>
      </c>
      <c r="AK1137">
        <v>5004</v>
      </c>
      <c r="AL1137">
        <v>1.26</v>
      </c>
    </row>
    <row r="1138" spans="1:38" x14ac:dyDescent="0.3">
      <c r="A1138" t="s">
        <v>1459</v>
      </c>
      <c r="B1138">
        <v>107437</v>
      </c>
      <c r="C1138">
        <v>13</v>
      </c>
      <c r="D1138" t="s">
        <v>1652</v>
      </c>
      <c r="E1138" t="s">
        <v>534</v>
      </c>
      <c r="F1138">
        <v>3971</v>
      </c>
      <c r="G1138">
        <v>52.73</v>
      </c>
      <c r="H1138">
        <v>174.33</v>
      </c>
      <c r="I1138">
        <v>38.32</v>
      </c>
      <c r="J1138">
        <v>126.7</v>
      </c>
      <c r="K1138">
        <v>22</v>
      </c>
      <c r="T1138">
        <v>4</v>
      </c>
      <c r="U1138">
        <v>2</v>
      </c>
      <c r="V1138" t="s">
        <v>93</v>
      </c>
      <c r="W1138">
        <v>174</v>
      </c>
      <c r="X1138">
        <v>40</v>
      </c>
      <c r="Y1138">
        <v>22</v>
      </c>
      <c r="Z1138" t="s">
        <v>1653</v>
      </c>
      <c r="AA1138" t="s">
        <v>1654</v>
      </c>
      <c r="AB1138" t="s">
        <v>96</v>
      </c>
      <c r="AC1138" t="s">
        <v>97</v>
      </c>
      <c r="AD1138" t="s">
        <v>1463</v>
      </c>
      <c r="AG1138" t="s">
        <v>1655</v>
      </c>
      <c r="AH1138">
        <v>0</v>
      </c>
      <c r="AI1138">
        <v>238</v>
      </c>
      <c r="AJ1138">
        <v>12</v>
      </c>
      <c r="AK1138">
        <v>5004</v>
      </c>
      <c r="AL1138">
        <v>1.26</v>
      </c>
    </row>
    <row r="1139" spans="1:38" x14ac:dyDescent="0.3">
      <c r="A1139" t="s">
        <v>1459</v>
      </c>
      <c r="B1139">
        <v>107437</v>
      </c>
      <c r="C1139">
        <v>14</v>
      </c>
      <c r="D1139" t="s">
        <v>1652</v>
      </c>
      <c r="E1139" t="s">
        <v>534</v>
      </c>
      <c r="F1139">
        <v>3971</v>
      </c>
      <c r="G1139">
        <v>53.21</v>
      </c>
      <c r="H1139">
        <v>175.93</v>
      </c>
      <c r="I1139">
        <v>38.69</v>
      </c>
      <c r="J1139">
        <v>127.91</v>
      </c>
      <c r="K1139">
        <v>9</v>
      </c>
      <c r="T1139">
        <v>4</v>
      </c>
      <c r="U1139">
        <v>3</v>
      </c>
      <c r="V1139" t="s">
        <v>93</v>
      </c>
      <c r="W1139" t="s">
        <v>1661</v>
      </c>
      <c r="X1139">
        <v>40</v>
      </c>
      <c r="Y1139">
        <v>22</v>
      </c>
      <c r="Z1139" t="s">
        <v>1653</v>
      </c>
      <c r="AA1139" t="s">
        <v>1654</v>
      </c>
      <c r="AB1139" t="s">
        <v>96</v>
      </c>
      <c r="AC1139" t="s">
        <v>97</v>
      </c>
      <c r="AD1139" t="s">
        <v>1463</v>
      </c>
      <c r="AG1139" t="s">
        <v>1655</v>
      </c>
      <c r="AH1139">
        <v>0</v>
      </c>
      <c r="AI1139">
        <v>238</v>
      </c>
      <c r="AJ1139">
        <v>12</v>
      </c>
      <c r="AK1139">
        <v>5004</v>
      </c>
      <c r="AL1139">
        <v>1.26</v>
      </c>
    </row>
    <row r="1140" spans="1:38" x14ac:dyDescent="0.3">
      <c r="A1140" t="s">
        <v>1459</v>
      </c>
      <c r="B1140">
        <v>105086</v>
      </c>
      <c r="C1140">
        <v>1</v>
      </c>
      <c r="D1140" t="s">
        <v>1662</v>
      </c>
      <c r="E1140" t="s">
        <v>1663</v>
      </c>
      <c r="F1140">
        <v>32</v>
      </c>
      <c r="G1140">
        <v>22.9</v>
      </c>
      <c r="H1140">
        <v>75.72</v>
      </c>
      <c r="I1140">
        <v>17.3</v>
      </c>
      <c r="J1140">
        <v>57.2</v>
      </c>
      <c r="K1140">
        <v>20</v>
      </c>
      <c r="T1140">
        <v>3</v>
      </c>
      <c r="U1140">
        <v>2</v>
      </c>
      <c r="V1140" t="s">
        <v>93</v>
      </c>
      <c r="W1140">
        <v>75</v>
      </c>
      <c r="X1140">
        <v>7</v>
      </c>
      <c r="Y1140">
        <v>7</v>
      </c>
      <c r="Z1140" t="s">
        <v>1664</v>
      </c>
      <c r="AA1140" t="s">
        <v>1665</v>
      </c>
      <c r="AB1140" t="s">
        <v>96</v>
      </c>
      <c r="AC1140" t="s">
        <v>97</v>
      </c>
      <c r="AD1140" t="s">
        <v>1463</v>
      </c>
      <c r="AG1140" t="s">
        <v>1666</v>
      </c>
      <c r="AH1140">
        <v>0</v>
      </c>
      <c r="AI1140">
        <v>395</v>
      </c>
      <c r="AJ1140">
        <v>59</v>
      </c>
      <c r="AK1140">
        <v>34</v>
      </c>
      <c r="AL1140">
        <v>1.06</v>
      </c>
    </row>
    <row r="1141" spans="1:38" x14ac:dyDescent="0.3">
      <c r="A1141" t="s">
        <v>1459</v>
      </c>
      <c r="B1141">
        <v>105086</v>
      </c>
      <c r="C1141">
        <v>2</v>
      </c>
      <c r="D1141" t="s">
        <v>1662</v>
      </c>
      <c r="E1141" t="s">
        <v>1663</v>
      </c>
      <c r="F1141">
        <v>32</v>
      </c>
      <c r="G1141">
        <v>27.27</v>
      </c>
      <c r="H1141">
        <v>90.18</v>
      </c>
      <c r="I1141">
        <v>20.6</v>
      </c>
      <c r="J1141">
        <v>68.12</v>
      </c>
      <c r="K1141">
        <v>4</v>
      </c>
      <c r="T1141">
        <v>3</v>
      </c>
      <c r="U1141">
        <v>2</v>
      </c>
      <c r="V1141" t="s">
        <v>93</v>
      </c>
      <c r="W1141">
        <v>90</v>
      </c>
      <c r="X1141">
        <v>7</v>
      </c>
      <c r="Y1141">
        <v>7</v>
      </c>
      <c r="Z1141" t="s">
        <v>1664</v>
      </c>
      <c r="AA1141" t="s">
        <v>1665</v>
      </c>
      <c r="AB1141" t="s">
        <v>96</v>
      </c>
      <c r="AC1141" t="s">
        <v>97</v>
      </c>
      <c r="AD1141" t="s">
        <v>1463</v>
      </c>
      <c r="AG1141" t="s">
        <v>1666</v>
      </c>
      <c r="AH1141">
        <v>0</v>
      </c>
      <c r="AI1141">
        <v>395</v>
      </c>
      <c r="AJ1141">
        <v>59</v>
      </c>
      <c r="AK1141">
        <v>34</v>
      </c>
      <c r="AL1141">
        <v>1.06</v>
      </c>
    </row>
    <row r="1142" spans="1:38" x14ac:dyDescent="0.3">
      <c r="A1142" t="s">
        <v>1459</v>
      </c>
      <c r="B1142">
        <v>105086</v>
      </c>
      <c r="C1142">
        <v>3</v>
      </c>
      <c r="D1142" t="s">
        <v>1662</v>
      </c>
      <c r="E1142" t="s">
        <v>1663</v>
      </c>
      <c r="F1142">
        <v>32</v>
      </c>
      <c r="G1142">
        <v>27.62</v>
      </c>
      <c r="H1142">
        <v>91.33</v>
      </c>
      <c r="I1142">
        <v>20.86</v>
      </c>
      <c r="J1142">
        <v>68.98</v>
      </c>
      <c r="K1142">
        <v>4</v>
      </c>
      <c r="T1142">
        <v>3</v>
      </c>
      <c r="U1142">
        <v>2</v>
      </c>
      <c r="V1142" t="s">
        <v>93</v>
      </c>
      <c r="W1142" t="s">
        <v>476</v>
      </c>
      <c r="X1142">
        <v>7</v>
      </c>
      <c r="Y1142">
        <v>7</v>
      </c>
      <c r="Z1142" t="s">
        <v>1664</v>
      </c>
      <c r="AA1142" t="s">
        <v>1665</v>
      </c>
      <c r="AB1142" t="s">
        <v>96</v>
      </c>
      <c r="AC1142" t="s">
        <v>97</v>
      </c>
      <c r="AD1142" t="s">
        <v>1463</v>
      </c>
      <c r="AG1142" t="s">
        <v>1666</v>
      </c>
      <c r="AH1142">
        <v>0</v>
      </c>
      <c r="AI1142">
        <v>395</v>
      </c>
      <c r="AJ1142">
        <v>59</v>
      </c>
      <c r="AK1142">
        <v>34</v>
      </c>
      <c r="AL1142">
        <v>1.06</v>
      </c>
    </row>
    <row r="1143" spans="1:38" x14ac:dyDescent="0.3">
      <c r="A1143" t="s">
        <v>1459</v>
      </c>
      <c r="B1143">
        <v>105086</v>
      </c>
      <c r="C1143">
        <v>4</v>
      </c>
      <c r="D1143" t="s">
        <v>1662</v>
      </c>
      <c r="E1143" t="s">
        <v>1663</v>
      </c>
      <c r="F1143">
        <v>32</v>
      </c>
      <c r="G1143">
        <v>28.11</v>
      </c>
      <c r="H1143">
        <v>92.94</v>
      </c>
      <c r="I1143">
        <v>21.23</v>
      </c>
      <c r="J1143">
        <v>70.2</v>
      </c>
      <c r="K1143">
        <v>4</v>
      </c>
      <c r="T1143">
        <v>3</v>
      </c>
      <c r="U1143">
        <v>2</v>
      </c>
      <c r="V1143" t="s">
        <v>93</v>
      </c>
      <c r="W1143" t="s">
        <v>170</v>
      </c>
      <c r="X1143">
        <v>7</v>
      </c>
      <c r="Y1143">
        <v>7</v>
      </c>
      <c r="Z1143" t="s">
        <v>1664</v>
      </c>
      <c r="AA1143" t="s">
        <v>1665</v>
      </c>
      <c r="AB1143" t="s">
        <v>96</v>
      </c>
      <c r="AC1143" t="s">
        <v>97</v>
      </c>
      <c r="AD1143" t="s">
        <v>1463</v>
      </c>
      <c r="AG1143" t="s">
        <v>1666</v>
      </c>
      <c r="AH1143">
        <v>0</v>
      </c>
      <c r="AI1143">
        <v>395</v>
      </c>
      <c r="AJ1143">
        <v>59</v>
      </c>
      <c r="AK1143">
        <v>34</v>
      </c>
      <c r="AL1143">
        <v>1.06</v>
      </c>
    </row>
    <row r="1144" spans="1:38" x14ac:dyDescent="0.3">
      <c r="A1144" t="s">
        <v>1459</v>
      </c>
      <c r="B1144">
        <v>117911</v>
      </c>
      <c r="C1144">
        <v>1</v>
      </c>
      <c r="D1144" t="s">
        <v>1667</v>
      </c>
      <c r="E1144" t="s">
        <v>1668</v>
      </c>
      <c r="F1144">
        <v>870</v>
      </c>
      <c r="G1144">
        <v>25.57</v>
      </c>
      <c r="H1144">
        <v>84.55</v>
      </c>
      <c r="I1144">
        <v>18.13</v>
      </c>
      <c r="J1144">
        <v>59.96</v>
      </c>
      <c r="K1144">
        <v>104</v>
      </c>
      <c r="T1144">
        <v>3</v>
      </c>
      <c r="U1144">
        <v>2</v>
      </c>
      <c r="V1144" t="s">
        <v>93</v>
      </c>
      <c r="W1144" t="s">
        <v>383</v>
      </c>
      <c r="X1144">
        <v>29</v>
      </c>
      <c r="Y1144">
        <v>15</v>
      </c>
      <c r="Z1144" t="s">
        <v>1669</v>
      </c>
      <c r="AA1144" t="s">
        <v>1670</v>
      </c>
      <c r="AB1144" t="s">
        <v>96</v>
      </c>
      <c r="AC1144" t="s">
        <v>97</v>
      </c>
      <c r="AD1144" t="s">
        <v>1463</v>
      </c>
      <c r="AG1144" t="s">
        <v>1671</v>
      </c>
      <c r="AH1144">
        <v>208</v>
      </c>
      <c r="AI1144">
        <v>0</v>
      </c>
      <c r="AJ1144">
        <v>0</v>
      </c>
      <c r="AK1144">
        <v>1029</v>
      </c>
      <c r="AL1144">
        <v>1.18</v>
      </c>
    </row>
    <row r="1145" spans="1:38" x14ac:dyDescent="0.3">
      <c r="A1145" t="s">
        <v>1459</v>
      </c>
      <c r="B1145">
        <v>117911</v>
      </c>
      <c r="C1145">
        <v>2</v>
      </c>
      <c r="D1145" t="s">
        <v>1667</v>
      </c>
      <c r="E1145" t="s">
        <v>1668</v>
      </c>
      <c r="F1145">
        <v>870</v>
      </c>
      <c r="G1145">
        <v>28.39</v>
      </c>
      <c r="H1145">
        <v>93.88</v>
      </c>
      <c r="I1145">
        <v>20.260000000000002</v>
      </c>
      <c r="J1145">
        <v>66.98</v>
      </c>
      <c r="K1145">
        <v>78</v>
      </c>
      <c r="T1145">
        <v>3</v>
      </c>
      <c r="U1145">
        <v>2</v>
      </c>
      <c r="V1145" t="s">
        <v>93</v>
      </c>
      <c r="W1145" t="s">
        <v>385</v>
      </c>
      <c r="X1145">
        <v>29</v>
      </c>
      <c r="Y1145">
        <v>15</v>
      </c>
      <c r="Z1145" t="s">
        <v>1669</v>
      </c>
      <c r="AA1145" t="s">
        <v>1670</v>
      </c>
      <c r="AB1145" t="s">
        <v>96</v>
      </c>
      <c r="AC1145" t="s">
        <v>97</v>
      </c>
      <c r="AD1145" t="s">
        <v>1463</v>
      </c>
      <c r="AG1145" t="s">
        <v>1671</v>
      </c>
      <c r="AH1145">
        <v>208</v>
      </c>
      <c r="AI1145">
        <v>0</v>
      </c>
      <c r="AJ1145">
        <v>0</v>
      </c>
      <c r="AK1145">
        <v>1029</v>
      </c>
      <c r="AL1145">
        <v>1.18</v>
      </c>
    </row>
    <row r="1146" spans="1:38" x14ac:dyDescent="0.3">
      <c r="A1146" t="s">
        <v>1459</v>
      </c>
      <c r="B1146">
        <v>117911</v>
      </c>
      <c r="C1146">
        <v>3</v>
      </c>
      <c r="D1146" t="s">
        <v>1667</v>
      </c>
      <c r="E1146" t="s">
        <v>1668</v>
      </c>
      <c r="F1146">
        <v>870</v>
      </c>
      <c r="G1146">
        <v>28.38</v>
      </c>
      <c r="H1146">
        <v>93.84</v>
      </c>
      <c r="I1146">
        <v>20.25</v>
      </c>
      <c r="J1146">
        <v>66.95</v>
      </c>
      <c r="K1146">
        <v>25</v>
      </c>
      <c r="T1146">
        <v>3</v>
      </c>
      <c r="U1146">
        <v>2</v>
      </c>
      <c r="V1146" t="s">
        <v>93</v>
      </c>
      <c r="W1146" t="s">
        <v>834</v>
      </c>
      <c r="X1146">
        <v>29</v>
      </c>
      <c r="Y1146">
        <v>15</v>
      </c>
      <c r="Z1146" t="s">
        <v>1669</v>
      </c>
      <c r="AA1146" t="s">
        <v>1670</v>
      </c>
      <c r="AB1146" t="s">
        <v>96</v>
      </c>
      <c r="AC1146" t="s">
        <v>97</v>
      </c>
      <c r="AD1146" t="s">
        <v>1463</v>
      </c>
      <c r="AG1146" t="s">
        <v>1671</v>
      </c>
      <c r="AH1146">
        <v>208</v>
      </c>
      <c r="AI1146">
        <v>0</v>
      </c>
      <c r="AJ1146">
        <v>0</v>
      </c>
      <c r="AK1146">
        <v>1029</v>
      </c>
      <c r="AL1146">
        <v>1.18</v>
      </c>
    </row>
    <row r="1147" spans="1:38" x14ac:dyDescent="0.3">
      <c r="A1147" t="s">
        <v>1459</v>
      </c>
      <c r="B1147">
        <v>117911</v>
      </c>
      <c r="C1147">
        <v>4</v>
      </c>
      <c r="D1147" t="s">
        <v>1667</v>
      </c>
      <c r="E1147" t="s">
        <v>1668</v>
      </c>
      <c r="F1147">
        <v>870</v>
      </c>
      <c r="G1147">
        <v>30.24</v>
      </c>
      <c r="H1147">
        <v>99.99</v>
      </c>
      <c r="I1147">
        <v>22.64</v>
      </c>
      <c r="J1147">
        <v>74.849999999999994</v>
      </c>
      <c r="K1147">
        <v>48</v>
      </c>
      <c r="T1147">
        <v>3</v>
      </c>
      <c r="U1147">
        <v>2</v>
      </c>
      <c r="V1147" t="s">
        <v>93</v>
      </c>
      <c r="W1147" t="s">
        <v>1053</v>
      </c>
      <c r="X1147">
        <v>29</v>
      </c>
      <c r="Y1147">
        <v>15</v>
      </c>
      <c r="Z1147" t="s">
        <v>1669</v>
      </c>
      <c r="AA1147" t="s">
        <v>1670</v>
      </c>
      <c r="AB1147" t="s">
        <v>96</v>
      </c>
      <c r="AC1147" t="s">
        <v>97</v>
      </c>
      <c r="AD1147" t="s">
        <v>1463</v>
      </c>
      <c r="AG1147" t="s">
        <v>1671</v>
      </c>
      <c r="AH1147">
        <v>208</v>
      </c>
      <c r="AI1147">
        <v>0</v>
      </c>
      <c r="AJ1147">
        <v>0</v>
      </c>
      <c r="AK1147">
        <v>1029</v>
      </c>
      <c r="AL1147">
        <v>1.18</v>
      </c>
    </row>
    <row r="1148" spans="1:38" x14ac:dyDescent="0.3">
      <c r="A1148" t="s">
        <v>1459</v>
      </c>
      <c r="B1148">
        <v>117911</v>
      </c>
      <c r="C1148">
        <v>5</v>
      </c>
      <c r="D1148" t="s">
        <v>1667</v>
      </c>
      <c r="E1148" t="s">
        <v>1668</v>
      </c>
      <c r="F1148">
        <v>870</v>
      </c>
      <c r="G1148">
        <v>30.26</v>
      </c>
      <c r="H1148">
        <v>100.06</v>
      </c>
      <c r="I1148">
        <v>22.65</v>
      </c>
      <c r="J1148">
        <v>74.900000000000006</v>
      </c>
      <c r="K1148">
        <v>195</v>
      </c>
      <c r="T1148">
        <v>3</v>
      </c>
      <c r="U1148">
        <v>2</v>
      </c>
      <c r="V1148" t="s">
        <v>93</v>
      </c>
      <c r="W1148" t="s">
        <v>601</v>
      </c>
      <c r="X1148">
        <v>29</v>
      </c>
      <c r="Y1148">
        <v>15</v>
      </c>
      <c r="Z1148" t="s">
        <v>1669</v>
      </c>
      <c r="AA1148" t="s">
        <v>1670</v>
      </c>
      <c r="AB1148" t="s">
        <v>96</v>
      </c>
      <c r="AC1148" t="s">
        <v>97</v>
      </c>
      <c r="AD1148" t="s">
        <v>1463</v>
      </c>
      <c r="AG1148" t="s">
        <v>1671</v>
      </c>
      <c r="AH1148">
        <v>208</v>
      </c>
      <c r="AI1148">
        <v>0</v>
      </c>
      <c r="AJ1148">
        <v>0</v>
      </c>
      <c r="AK1148">
        <v>1029</v>
      </c>
      <c r="AL1148">
        <v>1.18</v>
      </c>
    </row>
    <row r="1149" spans="1:38" x14ac:dyDescent="0.3">
      <c r="A1149" t="s">
        <v>1459</v>
      </c>
      <c r="B1149">
        <v>117911</v>
      </c>
      <c r="C1149">
        <v>6</v>
      </c>
      <c r="D1149" t="s">
        <v>1667</v>
      </c>
      <c r="E1149" t="s">
        <v>1668</v>
      </c>
      <c r="F1149">
        <v>870</v>
      </c>
      <c r="G1149">
        <v>33.58</v>
      </c>
      <c r="H1149">
        <v>111.02</v>
      </c>
      <c r="I1149">
        <v>25.63</v>
      </c>
      <c r="J1149">
        <v>84.73</v>
      </c>
      <c r="K1149">
        <v>212</v>
      </c>
      <c r="T1149">
        <v>3</v>
      </c>
      <c r="U1149">
        <v>2</v>
      </c>
      <c r="V1149" t="s">
        <v>93</v>
      </c>
      <c r="W1149" t="s">
        <v>820</v>
      </c>
      <c r="X1149">
        <v>29</v>
      </c>
      <c r="Y1149">
        <v>15</v>
      </c>
      <c r="Z1149" t="s">
        <v>1669</v>
      </c>
      <c r="AA1149" t="s">
        <v>1670</v>
      </c>
      <c r="AB1149" t="s">
        <v>96</v>
      </c>
      <c r="AC1149" t="s">
        <v>97</v>
      </c>
      <c r="AD1149" t="s">
        <v>1463</v>
      </c>
      <c r="AG1149" t="s">
        <v>1671</v>
      </c>
      <c r="AH1149">
        <v>208</v>
      </c>
      <c r="AI1149">
        <v>0</v>
      </c>
      <c r="AJ1149">
        <v>0</v>
      </c>
      <c r="AK1149">
        <v>1029</v>
      </c>
      <c r="AL1149">
        <v>1.18</v>
      </c>
    </row>
    <row r="1150" spans="1:38" x14ac:dyDescent="0.3">
      <c r="A1150" t="s">
        <v>1459</v>
      </c>
      <c r="B1150">
        <v>121726</v>
      </c>
      <c r="C1150">
        <v>1</v>
      </c>
      <c r="D1150" t="s">
        <v>1672</v>
      </c>
      <c r="E1150" t="s">
        <v>1151</v>
      </c>
      <c r="F1150">
        <v>20</v>
      </c>
      <c r="G1150">
        <v>16.57</v>
      </c>
      <c r="H1150">
        <v>54.78</v>
      </c>
      <c r="I1150">
        <v>12.95</v>
      </c>
      <c r="J1150">
        <v>42.81</v>
      </c>
      <c r="K1150">
        <v>4</v>
      </c>
      <c r="T1150">
        <v>2</v>
      </c>
      <c r="U1150">
        <v>1</v>
      </c>
      <c r="V1150" t="s">
        <v>93</v>
      </c>
      <c r="W1150" t="s">
        <v>176</v>
      </c>
      <c r="X1150">
        <v>14</v>
      </c>
      <c r="Y1150">
        <v>14</v>
      </c>
      <c r="Z1150" t="s">
        <v>1673</v>
      </c>
      <c r="AA1150" t="s">
        <v>1674</v>
      </c>
      <c r="AB1150" t="s">
        <v>96</v>
      </c>
      <c r="AC1150" t="s">
        <v>97</v>
      </c>
      <c r="AD1150" t="s">
        <v>1463</v>
      </c>
      <c r="AG1150" t="s">
        <v>1675</v>
      </c>
      <c r="AH1150">
        <v>0</v>
      </c>
      <c r="AI1150">
        <v>867</v>
      </c>
      <c r="AJ1150">
        <v>79</v>
      </c>
      <c r="AK1150">
        <v>14</v>
      </c>
      <c r="AL1150">
        <v>0.7</v>
      </c>
    </row>
    <row r="1151" spans="1:38" x14ac:dyDescent="0.3">
      <c r="A1151" t="s">
        <v>1459</v>
      </c>
      <c r="B1151">
        <v>121726</v>
      </c>
      <c r="C1151">
        <v>2</v>
      </c>
      <c r="D1151" t="s">
        <v>1672</v>
      </c>
      <c r="E1151" t="s">
        <v>1151</v>
      </c>
      <c r="F1151">
        <v>20</v>
      </c>
      <c r="G1151">
        <v>17.260000000000002</v>
      </c>
      <c r="H1151">
        <v>57.08</v>
      </c>
      <c r="I1151">
        <v>13.53</v>
      </c>
      <c r="J1151">
        <v>44.73</v>
      </c>
      <c r="K1151">
        <v>4</v>
      </c>
      <c r="T1151">
        <v>2</v>
      </c>
      <c r="U1151">
        <v>1</v>
      </c>
      <c r="V1151" t="s">
        <v>93</v>
      </c>
      <c r="W1151" t="s">
        <v>349</v>
      </c>
      <c r="X1151">
        <v>14</v>
      </c>
      <c r="Y1151">
        <v>14</v>
      </c>
      <c r="Z1151" t="s">
        <v>1673</v>
      </c>
      <c r="AA1151" t="s">
        <v>1674</v>
      </c>
      <c r="AB1151" t="s">
        <v>96</v>
      </c>
      <c r="AC1151" t="s">
        <v>97</v>
      </c>
      <c r="AD1151" t="s">
        <v>1463</v>
      </c>
      <c r="AG1151" t="s">
        <v>1675</v>
      </c>
      <c r="AH1151">
        <v>0</v>
      </c>
      <c r="AI1151">
        <v>867</v>
      </c>
      <c r="AJ1151">
        <v>79</v>
      </c>
      <c r="AK1151">
        <v>14</v>
      </c>
      <c r="AL1151">
        <v>0.7</v>
      </c>
    </row>
    <row r="1152" spans="1:38" x14ac:dyDescent="0.3">
      <c r="A1152" t="s">
        <v>1459</v>
      </c>
      <c r="B1152">
        <v>121726</v>
      </c>
      <c r="C1152">
        <v>3</v>
      </c>
      <c r="D1152" t="s">
        <v>1672</v>
      </c>
      <c r="E1152" t="s">
        <v>1151</v>
      </c>
      <c r="F1152">
        <v>20</v>
      </c>
      <c r="G1152">
        <v>18.36</v>
      </c>
      <c r="H1152">
        <v>60.7</v>
      </c>
      <c r="I1152">
        <v>14.41</v>
      </c>
      <c r="J1152">
        <v>47.66</v>
      </c>
      <c r="K1152">
        <v>4</v>
      </c>
      <c r="T1152">
        <v>2</v>
      </c>
      <c r="U1152">
        <v>1</v>
      </c>
      <c r="V1152" t="s">
        <v>93</v>
      </c>
      <c r="W1152">
        <v>60</v>
      </c>
      <c r="X1152">
        <v>14</v>
      </c>
      <c r="Y1152">
        <v>14</v>
      </c>
      <c r="Z1152" t="s">
        <v>1673</v>
      </c>
      <c r="AA1152" t="s">
        <v>1674</v>
      </c>
      <c r="AB1152" t="s">
        <v>96</v>
      </c>
      <c r="AC1152" t="s">
        <v>97</v>
      </c>
      <c r="AD1152" t="s">
        <v>1463</v>
      </c>
      <c r="AG1152" t="s">
        <v>1675</v>
      </c>
      <c r="AH1152">
        <v>0</v>
      </c>
      <c r="AI1152">
        <v>867</v>
      </c>
      <c r="AJ1152">
        <v>79</v>
      </c>
      <c r="AK1152">
        <v>14</v>
      </c>
      <c r="AL1152">
        <v>0.7</v>
      </c>
    </row>
    <row r="1153" spans="1:38" x14ac:dyDescent="0.3">
      <c r="A1153" t="s">
        <v>1459</v>
      </c>
      <c r="B1153">
        <v>121726</v>
      </c>
      <c r="C1153">
        <v>4</v>
      </c>
      <c r="D1153" t="s">
        <v>1672</v>
      </c>
      <c r="E1153" t="s">
        <v>1151</v>
      </c>
      <c r="F1153">
        <v>20</v>
      </c>
      <c r="G1153">
        <v>19.09</v>
      </c>
      <c r="H1153">
        <v>63.14</v>
      </c>
      <c r="I1153">
        <v>15.01</v>
      </c>
      <c r="J1153">
        <v>49.65</v>
      </c>
      <c r="K1153">
        <v>4</v>
      </c>
      <c r="T1153">
        <v>2</v>
      </c>
      <c r="U1153">
        <v>1</v>
      </c>
      <c r="V1153" t="s">
        <v>93</v>
      </c>
      <c r="W1153">
        <v>63</v>
      </c>
      <c r="X1153">
        <v>14</v>
      </c>
      <c r="Y1153">
        <v>14</v>
      </c>
      <c r="Z1153" t="s">
        <v>1673</v>
      </c>
      <c r="AA1153" t="s">
        <v>1674</v>
      </c>
      <c r="AB1153" t="s">
        <v>96</v>
      </c>
      <c r="AC1153" t="s">
        <v>97</v>
      </c>
      <c r="AD1153" t="s">
        <v>1463</v>
      </c>
      <c r="AG1153" t="s">
        <v>1675</v>
      </c>
      <c r="AH1153">
        <v>0</v>
      </c>
      <c r="AI1153">
        <v>867</v>
      </c>
      <c r="AJ1153">
        <v>79</v>
      </c>
      <c r="AK1153">
        <v>14</v>
      </c>
      <c r="AL1153">
        <v>0.7</v>
      </c>
    </row>
    <row r="1154" spans="1:38" x14ac:dyDescent="0.3">
      <c r="A1154" t="s">
        <v>1459</v>
      </c>
      <c r="B1154">
        <v>121726</v>
      </c>
      <c r="C1154">
        <v>5</v>
      </c>
      <c r="D1154" t="s">
        <v>1672</v>
      </c>
      <c r="E1154" t="s">
        <v>1151</v>
      </c>
      <c r="F1154">
        <v>20</v>
      </c>
      <c r="G1154">
        <v>20.52</v>
      </c>
      <c r="H1154">
        <v>67.849999999999994</v>
      </c>
      <c r="I1154">
        <v>16.190000000000001</v>
      </c>
      <c r="J1154">
        <v>53.55</v>
      </c>
      <c r="K1154">
        <v>4</v>
      </c>
      <c r="T1154">
        <v>2</v>
      </c>
      <c r="U1154">
        <v>1</v>
      </c>
      <c r="V1154" t="s">
        <v>93</v>
      </c>
      <c r="W1154">
        <v>67</v>
      </c>
      <c r="X1154">
        <v>14</v>
      </c>
      <c r="Y1154">
        <v>14</v>
      </c>
      <c r="Z1154" t="s">
        <v>1673</v>
      </c>
      <c r="AA1154" t="s">
        <v>1674</v>
      </c>
      <c r="AB1154" t="s">
        <v>96</v>
      </c>
      <c r="AC1154" t="s">
        <v>97</v>
      </c>
      <c r="AD1154" t="s">
        <v>1463</v>
      </c>
      <c r="AG1154" t="s">
        <v>1675</v>
      </c>
      <c r="AH1154">
        <v>0</v>
      </c>
      <c r="AI1154">
        <v>867</v>
      </c>
      <c r="AJ1154">
        <v>79</v>
      </c>
      <c r="AK1154">
        <v>14</v>
      </c>
      <c r="AL1154">
        <v>0.7</v>
      </c>
    </row>
    <row r="1155" spans="1:38" x14ac:dyDescent="0.3">
      <c r="A1155" t="s">
        <v>1459</v>
      </c>
      <c r="B1155">
        <v>13342</v>
      </c>
      <c r="C1155">
        <v>1</v>
      </c>
      <c r="D1155" t="s">
        <v>1676</v>
      </c>
      <c r="E1155" t="s">
        <v>822</v>
      </c>
      <c r="F1155">
        <v>34</v>
      </c>
      <c r="G1155">
        <v>20.73</v>
      </c>
      <c r="H1155">
        <v>68.56</v>
      </c>
      <c r="I1155">
        <v>17.5</v>
      </c>
      <c r="J1155">
        <v>57.87</v>
      </c>
      <c r="K1155">
        <v>4</v>
      </c>
      <c r="T1155">
        <v>2</v>
      </c>
      <c r="U1155">
        <v>1</v>
      </c>
      <c r="V1155" t="s">
        <v>93</v>
      </c>
      <c r="W1155" t="s">
        <v>230</v>
      </c>
      <c r="X1155">
        <v>5</v>
      </c>
      <c r="Y1155">
        <v>5</v>
      </c>
      <c r="Z1155" t="s">
        <v>1677</v>
      </c>
      <c r="AA1155" t="s">
        <v>1678</v>
      </c>
      <c r="AB1155" t="s">
        <v>96</v>
      </c>
      <c r="AC1155" t="s">
        <v>97</v>
      </c>
      <c r="AD1155" t="s">
        <v>1463</v>
      </c>
      <c r="AG1155" t="s">
        <v>1679</v>
      </c>
      <c r="AH1155">
        <v>0</v>
      </c>
      <c r="AI1155">
        <v>0</v>
      </c>
      <c r="AJ1155">
        <v>0</v>
      </c>
      <c r="AK1155">
        <v>0</v>
      </c>
      <c r="AL1155">
        <v>0</v>
      </c>
    </row>
    <row r="1156" spans="1:38" x14ac:dyDescent="0.3">
      <c r="A1156" t="s">
        <v>1459</v>
      </c>
      <c r="B1156">
        <v>13342</v>
      </c>
      <c r="C1156">
        <v>2</v>
      </c>
      <c r="D1156" t="s">
        <v>1676</v>
      </c>
      <c r="E1156" t="s">
        <v>822</v>
      </c>
      <c r="F1156">
        <v>34</v>
      </c>
      <c r="G1156">
        <v>20.61</v>
      </c>
      <c r="H1156">
        <v>68.16</v>
      </c>
      <c r="I1156">
        <v>17.399999999999999</v>
      </c>
      <c r="J1156">
        <v>57.54</v>
      </c>
      <c r="K1156">
        <v>1</v>
      </c>
      <c r="T1156">
        <v>2</v>
      </c>
      <c r="U1156">
        <v>1</v>
      </c>
      <c r="V1156" t="s">
        <v>93</v>
      </c>
      <c r="W1156" t="s">
        <v>226</v>
      </c>
      <c r="X1156">
        <v>5</v>
      </c>
      <c r="Y1156">
        <v>5</v>
      </c>
      <c r="Z1156" t="s">
        <v>1677</v>
      </c>
      <c r="AA1156" t="s">
        <v>1678</v>
      </c>
      <c r="AB1156" t="s">
        <v>96</v>
      </c>
      <c r="AC1156" t="s">
        <v>97</v>
      </c>
      <c r="AD1156" t="s">
        <v>1463</v>
      </c>
      <c r="AG1156" t="s">
        <v>1679</v>
      </c>
      <c r="AH1156">
        <v>0</v>
      </c>
      <c r="AI1156">
        <v>0</v>
      </c>
      <c r="AJ1156">
        <v>0</v>
      </c>
      <c r="AK1156">
        <v>0</v>
      </c>
      <c r="AL1156">
        <v>0</v>
      </c>
    </row>
    <row r="1157" spans="1:38" x14ac:dyDescent="0.3">
      <c r="A1157" t="s">
        <v>1459</v>
      </c>
      <c r="B1157">
        <v>13342</v>
      </c>
      <c r="C1157">
        <v>3</v>
      </c>
      <c r="D1157" t="s">
        <v>1676</v>
      </c>
      <c r="E1157" t="s">
        <v>822</v>
      </c>
      <c r="F1157">
        <v>34</v>
      </c>
      <c r="G1157">
        <v>21.26</v>
      </c>
      <c r="H1157">
        <v>70.3</v>
      </c>
      <c r="I1157">
        <v>17.95</v>
      </c>
      <c r="J1157">
        <v>59.34</v>
      </c>
      <c r="K1157">
        <v>4</v>
      </c>
      <c r="T1157">
        <v>2</v>
      </c>
      <c r="U1157">
        <v>1</v>
      </c>
      <c r="V1157" t="s">
        <v>93</v>
      </c>
      <c r="W1157" t="s">
        <v>1194</v>
      </c>
      <c r="X1157">
        <v>5</v>
      </c>
      <c r="Y1157">
        <v>5</v>
      </c>
      <c r="Z1157" t="s">
        <v>1677</v>
      </c>
      <c r="AA1157" t="s">
        <v>1678</v>
      </c>
      <c r="AB1157" t="s">
        <v>96</v>
      </c>
      <c r="AC1157" t="s">
        <v>97</v>
      </c>
      <c r="AD1157" t="s">
        <v>1463</v>
      </c>
      <c r="AG1157" t="s">
        <v>1679</v>
      </c>
      <c r="AH1157">
        <v>0</v>
      </c>
      <c r="AI1157">
        <v>0</v>
      </c>
      <c r="AJ1157">
        <v>0</v>
      </c>
      <c r="AK1157">
        <v>0</v>
      </c>
      <c r="AL1157">
        <v>0</v>
      </c>
    </row>
    <row r="1158" spans="1:38" x14ac:dyDescent="0.3">
      <c r="A1158" t="s">
        <v>1459</v>
      </c>
      <c r="B1158">
        <v>13342</v>
      </c>
      <c r="C1158">
        <v>4</v>
      </c>
      <c r="D1158" t="s">
        <v>1676</v>
      </c>
      <c r="E1158" t="s">
        <v>822</v>
      </c>
      <c r="F1158">
        <v>34</v>
      </c>
      <c r="G1158">
        <v>21.29</v>
      </c>
      <c r="H1158">
        <v>70.400000000000006</v>
      </c>
      <c r="I1158">
        <v>17.97</v>
      </c>
      <c r="J1158">
        <v>59.43</v>
      </c>
      <c r="K1158">
        <v>1</v>
      </c>
      <c r="T1158">
        <v>2</v>
      </c>
      <c r="U1158">
        <v>1</v>
      </c>
      <c r="V1158" t="s">
        <v>93</v>
      </c>
      <c r="W1158" t="s">
        <v>501</v>
      </c>
      <c r="X1158">
        <v>5</v>
      </c>
      <c r="Y1158">
        <v>5</v>
      </c>
      <c r="Z1158" t="s">
        <v>1677</v>
      </c>
      <c r="AA1158" t="s">
        <v>1678</v>
      </c>
      <c r="AB1158" t="s">
        <v>96</v>
      </c>
      <c r="AC1158" t="s">
        <v>97</v>
      </c>
      <c r="AD1158" t="s">
        <v>1463</v>
      </c>
      <c r="AG1158" t="s">
        <v>1679</v>
      </c>
      <c r="AH1158">
        <v>0</v>
      </c>
      <c r="AI1158">
        <v>0</v>
      </c>
      <c r="AJ1158">
        <v>0</v>
      </c>
      <c r="AK1158">
        <v>0</v>
      </c>
      <c r="AL1158">
        <v>0</v>
      </c>
    </row>
    <row r="1159" spans="1:38" x14ac:dyDescent="0.3">
      <c r="A1159" t="s">
        <v>1459</v>
      </c>
      <c r="B1159">
        <v>13342</v>
      </c>
      <c r="C1159">
        <v>5</v>
      </c>
      <c r="D1159" t="s">
        <v>1676</v>
      </c>
      <c r="E1159" t="s">
        <v>822</v>
      </c>
      <c r="F1159">
        <v>34</v>
      </c>
      <c r="G1159">
        <v>24.92</v>
      </c>
      <c r="H1159">
        <v>82.39</v>
      </c>
      <c r="I1159">
        <v>21.03</v>
      </c>
      <c r="J1159">
        <v>69.540000000000006</v>
      </c>
      <c r="K1159">
        <v>1</v>
      </c>
      <c r="T1159">
        <v>3</v>
      </c>
      <c r="U1159">
        <v>2</v>
      </c>
      <c r="V1159" t="s">
        <v>93</v>
      </c>
      <c r="W1159" t="s">
        <v>152</v>
      </c>
      <c r="X1159">
        <v>5</v>
      </c>
      <c r="Y1159">
        <v>5</v>
      </c>
      <c r="Z1159" t="s">
        <v>1677</v>
      </c>
      <c r="AA1159" t="s">
        <v>1678</v>
      </c>
      <c r="AB1159" t="s">
        <v>96</v>
      </c>
      <c r="AC1159" t="s">
        <v>97</v>
      </c>
      <c r="AD1159" t="s">
        <v>1463</v>
      </c>
      <c r="AG1159" t="s">
        <v>1679</v>
      </c>
      <c r="AH1159">
        <v>0</v>
      </c>
      <c r="AI1159">
        <v>0</v>
      </c>
      <c r="AJ1159">
        <v>0</v>
      </c>
      <c r="AK1159">
        <v>0</v>
      </c>
      <c r="AL1159">
        <v>0</v>
      </c>
    </row>
    <row r="1160" spans="1:38" x14ac:dyDescent="0.3">
      <c r="A1160" t="s">
        <v>1459</v>
      </c>
      <c r="B1160">
        <v>13342</v>
      </c>
      <c r="C1160">
        <v>6</v>
      </c>
      <c r="D1160" t="s">
        <v>1676</v>
      </c>
      <c r="E1160" t="s">
        <v>822</v>
      </c>
      <c r="F1160">
        <v>34</v>
      </c>
      <c r="G1160">
        <v>25.31</v>
      </c>
      <c r="H1160">
        <v>83.67</v>
      </c>
      <c r="I1160">
        <v>21.36</v>
      </c>
      <c r="J1160">
        <v>70.62</v>
      </c>
      <c r="K1160">
        <v>4</v>
      </c>
      <c r="T1160">
        <v>3</v>
      </c>
      <c r="U1160">
        <v>2</v>
      </c>
      <c r="V1160" t="s">
        <v>93</v>
      </c>
      <c r="W1160" t="s">
        <v>990</v>
      </c>
      <c r="X1160">
        <v>5</v>
      </c>
      <c r="Y1160">
        <v>5</v>
      </c>
      <c r="Z1160" t="s">
        <v>1677</v>
      </c>
      <c r="AA1160" t="s">
        <v>1678</v>
      </c>
      <c r="AB1160" t="s">
        <v>96</v>
      </c>
      <c r="AC1160" t="s">
        <v>97</v>
      </c>
      <c r="AD1160" t="s">
        <v>1463</v>
      </c>
      <c r="AG1160" t="s">
        <v>1679</v>
      </c>
      <c r="AH1160">
        <v>0</v>
      </c>
      <c r="AI1160">
        <v>0</v>
      </c>
      <c r="AJ1160">
        <v>0</v>
      </c>
      <c r="AK1160">
        <v>0</v>
      </c>
      <c r="AL1160">
        <v>0</v>
      </c>
    </row>
    <row r="1161" spans="1:38" x14ac:dyDescent="0.3">
      <c r="A1161" t="s">
        <v>1459</v>
      </c>
      <c r="B1161">
        <v>13342</v>
      </c>
      <c r="C1161">
        <v>7</v>
      </c>
      <c r="D1161" t="s">
        <v>1676</v>
      </c>
      <c r="E1161" t="s">
        <v>822</v>
      </c>
      <c r="F1161">
        <v>34</v>
      </c>
      <c r="G1161">
        <v>33.549999999999997</v>
      </c>
      <c r="H1161">
        <v>110.92</v>
      </c>
      <c r="I1161">
        <v>23.07</v>
      </c>
      <c r="J1161">
        <v>76.27</v>
      </c>
      <c r="K1161">
        <v>2</v>
      </c>
      <c r="T1161">
        <v>3</v>
      </c>
      <c r="U1161">
        <v>1</v>
      </c>
      <c r="V1161" t="s">
        <v>93</v>
      </c>
      <c r="W1161">
        <v>110</v>
      </c>
      <c r="X1161">
        <v>5</v>
      </c>
      <c r="Y1161">
        <v>5</v>
      </c>
      <c r="Z1161" t="s">
        <v>1677</v>
      </c>
      <c r="AA1161" t="s">
        <v>1678</v>
      </c>
      <c r="AB1161" t="s">
        <v>96</v>
      </c>
      <c r="AC1161" t="s">
        <v>97</v>
      </c>
      <c r="AD1161" t="s">
        <v>1463</v>
      </c>
      <c r="AG1161" t="s">
        <v>1679</v>
      </c>
      <c r="AH1161">
        <v>0</v>
      </c>
      <c r="AI1161">
        <v>0</v>
      </c>
      <c r="AJ1161">
        <v>0</v>
      </c>
      <c r="AK1161">
        <v>0</v>
      </c>
      <c r="AL1161">
        <v>0</v>
      </c>
    </row>
    <row r="1162" spans="1:38" x14ac:dyDescent="0.3">
      <c r="A1162" t="s">
        <v>1459</v>
      </c>
      <c r="B1162">
        <v>13342</v>
      </c>
      <c r="C1162">
        <v>8</v>
      </c>
      <c r="D1162" t="s">
        <v>1676</v>
      </c>
      <c r="E1162" t="s">
        <v>822</v>
      </c>
      <c r="F1162">
        <v>34</v>
      </c>
      <c r="G1162">
        <v>36.159999999999997</v>
      </c>
      <c r="H1162">
        <v>119.57</v>
      </c>
      <c r="I1162">
        <v>24.87</v>
      </c>
      <c r="J1162">
        <v>82.22</v>
      </c>
      <c r="K1162">
        <v>5</v>
      </c>
      <c r="T1162">
        <v>3</v>
      </c>
      <c r="U1162">
        <v>1</v>
      </c>
      <c r="V1162" t="s">
        <v>93</v>
      </c>
      <c r="W1162">
        <v>119</v>
      </c>
      <c r="X1162">
        <v>5</v>
      </c>
      <c r="Y1162">
        <v>5</v>
      </c>
      <c r="Z1162" t="s">
        <v>1677</v>
      </c>
      <c r="AA1162" t="s">
        <v>1678</v>
      </c>
      <c r="AB1162" t="s">
        <v>96</v>
      </c>
      <c r="AC1162" t="s">
        <v>97</v>
      </c>
      <c r="AD1162" t="s">
        <v>1463</v>
      </c>
      <c r="AG1162" t="s">
        <v>1679</v>
      </c>
      <c r="AH1162">
        <v>0</v>
      </c>
      <c r="AI1162">
        <v>0</v>
      </c>
      <c r="AJ1162">
        <v>0</v>
      </c>
      <c r="AK1162">
        <v>0</v>
      </c>
      <c r="AL1162">
        <v>0</v>
      </c>
    </row>
    <row r="1163" spans="1:38" x14ac:dyDescent="0.3">
      <c r="A1163" t="s">
        <v>1459</v>
      </c>
      <c r="B1163">
        <v>13342</v>
      </c>
      <c r="C1163">
        <v>9</v>
      </c>
      <c r="D1163" t="s">
        <v>1676</v>
      </c>
      <c r="E1163" t="s">
        <v>822</v>
      </c>
      <c r="F1163">
        <v>34</v>
      </c>
      <c r="G1163">
        <v>37.32</v>
      </c>
      <c r="H1163">
        <v>123.39</v>
      </c>
      <c r="I1163">
        <v>25.66</v>
      </c>
      <c r="J1163">
        <v>84.84</v>
      </c>
      <c r="K1163">
        <v>7</v>
      </c>
      <c r="T1163">
        <v>3</v>
      </c>
      <c r="U1163">
        <v>1</v>
      </c>
      <c r="V1163" t="s">
        <v>93</v>
      </c>
      <c r="W1163">
        <v>123</v>
      </c>
      <c r="X1163">
        <v>5</v>
      </c>
      <c r="Y1163">
        <v>5</v>
      </c>
      <c r="Z1163" t="s">
        <v>1677</v>
      </c>
      <c r="AA1163" t="s">
        <v>1678</v>
      </c>
      <c r="AB1163" t="s">
        <v>96</v>
      </c>
      <c r="AC1163" t="s">
        <v>97</v>
      </c>
      <c r="AD1163" t="s">
        <v>1463</v>
      </c>
      <c r="AG1163" t="s">
        <v>1679</v>
      </c>
      <c r="AH1163">
        <v>0</v>
      </c>
      <c r="AI1163">
        <v>0</v>
      </c>
      <c r="AJ1163">
        <v>0</v>
      </c>
      <c r="AK1163">
        <v>0</v>
      </c>
      <c r="AL1163">
        <v>0</v>
      </c>
    </row>
    <row r="1164" spans="1:38" x14ac:dyDescent="0.3">
      <c r="A1164" t="s">
        <v>1459</v>
      </c>
      <c r="B1164">
        <v>13342</v>
      </c>
      <c r="C1164">
        <v>10</v>
      </c>
      <c r="D1164" t="s">
        <v>1676</v>
      </c>
      <c r="E1164" t="s">
        <v>822</v>
      </c>
      <c r="F1164">
        <v>34</v>
      </c>
      <c r="G1164">
        <v>42.48</v>
      </c>
      <c r="H1164">
        <v>140.44999999999999</v>
      </c>
      <c r="I1164">
        <v>29.21</v>
      </c>
      <c r="J1164">
        <v>96.58</v>
      </c>
      <c r="K1164">
        <v>5</v>
      </c>
      <c r="T1164">
        <v>3</v>
      </c>
      <c r="U1164">
        <v>2</v>
      </c>
      <c r="V1164" t="s">
        <v>93</v>
      </c>
      <c r="W1164">
        <v>140</v>
      </c>
      <c r="X1164">
        <v>5</v>
      </c>
      <c r="Y1164">
        <v>5</v>
      </c>
      <c r="Z1164" t="s">
        <v>1677</v>
      </c>
      <c r="AA1164" t="s">
        <v>1678</v>
      </c>
      <c r="AB1164" t="s">
        <v>96</v>
      </c>
      <c r="AC1164" t="s">
        <v>97</v>
      </c>
      <c r="AD1164" t="s">
        <v>1463</v>
      </c>
      <c r="AG1164" t="s">
        <v>1679</v>
      </c>
      <c r="AH1164">
        <v>0</v>
      </c>
      <c r="AI1164">
        <v>0</v>
      </c>
      <c r="AJ1164">
        <v>0</v>
      </c>
      <c r="AK1164">
        <v>0</v>
      </c>
      <c r="AL1164">
        <v>0</v>
      </c>
    </row>
    <row r="1165" spans="1:38" x14ac:dyDescent="0.3">
      <c r="A1165" t="s">
        <v>1459</v>
      </c>
      <c r="B1165">
        <v>134584</v>
      </c>
      <c r="C1165">
        <v>1</v>
      </c>
      <c r="D1165" t="s">
        <v>1680</v>
      </c>
      <c r="E1165" t="s">
        <v>843</v>
      </c>
      <c r="F1165">
        <v>8</v>
      </c>
      <c r="G1165">
        <v>23.04</v>
      </c>
      <c r="H1165">
        <v>76.17</v>
      </c>
      <c r="I1165">
        <v>19.350000000000001</v>
      </c>
      <c r="J1165">
        <v>63.99</v>
      </c>
      <c r="K1165">
        <v>8</v>
      </c>
      <c r="T1165">
        <v>3</v>
      </c>
      <c r="U1165">
        <v>1</v>
      </c>
      <c r="V1165" t="s">
        <v>93</v>
      </c>
      <c r="W1165">
        <v>76</v>
      </c>
      <c r="X1165">
        <v>5</v>
      </c>
      <c r="Y1165">
        <v>5</v>
      </c>
      <c r="Z1165" t="s">
        <v>1681</v>
      </c>
      <c r="AA1165" t="s">
        <v>1682</v>
      </c>
      <c r="AB1165" t="s">
        <v>96</v>
      </c>
      <c r="AC1165" t="s">
        <v>97</v>
      </c>
      <c r="AD1165" t="s">
        <v>1463</v>
      </c>
      <c r="AG1165" t="s">
        <v>1683</v>
      </c>
      <c r="AH1165">
        <v>0</v>
      </c>
      <c r="AI1165">
        <v>287</v>
      </c>
      <c r="AJ1165">
        <v>54</v>
      </c>
      <c r="AK1165">
        <v>8</v>
      </c>
      <c r="AL1165">
        <v>1</v>
      </c>
    </row>
    <row r="1166" spans="1:38" x14ac:dyDescent="0.3">
      <c r="A1166" t="s">
        <v>1459</v>
      </c>
      <c r="B1166">
        <v>133537</v>
      </c>
      <c r="C1166">
        <v>1</v>
      </c>
      <c r="D1166" t="s">
        <v>1684</v>
      </c>
      <c r="E1166" t="s">
        <v>1685</v>
      </c>
      <c r="F1166">
        <v>303</v>
      </c>
      <c r="G1166">
        <v>25.19</v>
      </c>
      <c r="H1166">
        <v>83.3</v>
      </c>
      <c r="I1166">
        <v>18.079999999999998</v>
      </c>
      <c r="J1166">
        <v>59.8</v>
      </c>
      <c r="K1166">
        <v>232</v>
      </c>
      <c r="T1166">
        <v>3</v>
      </c>
      <c r="U1166">
        <v>2</v>
      </c>
      <c r="V1166" t="s">
        <v>93</v>
      </c>
      <c r="W1166">
        <v>83</v>
      </c>
      <c r="X1166">
        <v>37</v>
      </c>
      <c r="Y1166">
        <v>25</v>
      </c>
      <c r="Z1166" t="s">
        <v>1686</v>
      </c>
      <c r="AA1166" t="s">
        <v>1687</v>
      </c>
      <c r="AB1166" t="s">
        <v>96</v>
      </c>
      <c r="AC1166" t="s">
        <v>97</v>
      </c>
      <c r="AD1166" t="s">
        <v>1463</v>
      </c>
      <c r="AG1166" t="s">
        <v>285</v>
      </c>
      <c r="AH1166">
        <v>0</v>
      </c>
      <c r="AI1166">
        <v>0</v>
      </c>
      <c r="AJ1166">
        <v>0</v>
      </c>
      <c r="AK1166">
        <v>319</v>
      </c>
      <c r="AL1166">
        <v>1.05</v>
      </c>
    </row>
    <row r="1167" spans="1:38" x14ac:dyDescent="0.3">
      <c r="A1167" t="s">
        <v>1459</v>
      </c>
      <c r="B1167">
        <v>133537</v>
      </c>
      <c r="C1167">
        <v>2</v>
      </c>
      <c r="D1167" t="s">
        <v>1684</v>
      </c>
      <c r="E1167" t="s">
        <v>1685</v>
      </c>
      <c r="F1167">
        <v>303</v>
      </c>
      <c r="G1167">
        <v>29.57</v>
      </c>
      <c r="H1167">
        <v>97.78</v>
      </c>
      <c r="I1167">
        <v>22.69</v>
      </c>
      <c r="J1167">
        <v>75.03</v>
      </c>
      <c r="K1167">
        <v>71</v>
      </c>
      <c r="T1167">
        <v>3</v>
      </c>
      <c r="U1167">
        <v>2</v>
      </c>
      <c r="V1167" t="s">
        <v>93</v>
      </c>
      <c r="W1167">
        <v>97</v>
      </c>
      <c r="X1167">
        <v>37</v>
      </c>
      <c r="Y1167">
        <v>25</v>
      </c>
      <c r="Z1167" t="s">
        <v>1686</v>
      </c>
      <c r="AA1167" t="s">
        <v>1687</v>
      </c>
      <c r="AB1167" t="s">
        <v>96</v>
      </c>
      <c r="AC1167" t="s">
        <v>97</v>
      </c>
      <c r="AD1167" t="s">
        <v>1463</v>
      </c>
      <c r="AG1167" t="s">
        <v>285</v>
      </c>
      <c r="AH1167">
        <v>0</v>
      </c>
      <c r="AI1167">
        <v>0</v>
      </c>
      <c r="AJ1167">
        <v>0</v>
      </c>
      <c r="AK1167">
        <v>319</v>
      </c>
      <c r="AL1167">
        <v>1.05</v>
      </c>
    </row>
    <row r="1168" spans="1:38" x14ac:dyDescent="0.3">
      <c r="A1168" t="s">
        <v>1459</v>
      </c>
      <c r="B1168">
        <v>2421</v>
      </c>
      <c r="C1168">
        <v>1</v>
      </c>
      <c r="D1168" t="s">
        <v>1688</v>
      </c>
      <c r="E1168" t="s">
        <v>676</v>
      </c>
      <c r="F1168">
        <v>298</v>
      </c>
      <c r="G1168">
        <v>24.42</v>
      </c>
      <c r="H1168">
        <v>80.73</v>
      </c>
      <c r="I1168">
        <v>17.95</v>
      </c>
      <c r="J1168">
        <v>59.34</v>
      </c>
      <c r="K1168">
        <v>154</v>
      </c>
      <c r="T1168">
        <v>3</v>
      </c>
      <c r="U1168">
        <v>1</v>
      </c>
      <c r="V1168" t="s">
        <v>93</v>
      </c>
      <c r="W1168">
        <v>80</v>
      </c>
      <c r="X1168">
        <v>24</v>
      </c>
      <c r="Y1168">
        <v>18</v>
      </c>
      <c r="Z1168" t="s">
        <v>1689</v>
      </c>
      <c r="AA1168" t="s">
        <v>1690</v>
      </c>
      <c r="AB1168" t="s">
        <v>96</v>
      </c>
      <c r="AC1168" t="s">
        <v>97</v>
      </c>
      <c r="AD1168" t="s">
        <v>1463</v>
      </c>
      <c r="AG1168" t="s">
        <v>1691</v>
      </c>
      <c r="AH1168">
        <v>0</v>
      </c>
      <c r="AI1168">
        <v>376</v>
      </c>
      <c r="AJ1168">
        <v>24</v>
      </c>
      <c r="AK1168">
        <v>228</v>
      </c>
      <c r="AL1168">
        <v>0.77</v>
      </c>
    </row>
    <row r="1169" spans="1:38" x14ac:dyDescent="0.3">
      <c r="A1169" t="s">
        <v>1459</v>
      </c>
      <c r="B1169">
        <v>2421</v>
      </c>
      <c r="C1169">
        <v>2</v>
      </c>
      <c r="D1169" t="s">
        <v>1688</v>
      </c>
      <c r="E1169" t="s">
        <v>676</v>
      </c>
      <c r="F1169">
        <v>298</v>
      </c>
      <c r="G1169">
        <v>32.53</v>
      </c>
      <c r="H1169">
        <v>107.54</v>
      </c>
      <c r="I1169">
        <v>25.59</v>
      </c>
      <c r="J1169">
        <v>84.61</v>
      </c>
      <c r="K1169">
        <v>120</v>
      </c>
      <c r="T1169">
        <v>3</v>
      </c>
      <c r="U1169">
        <v>2</v>
      </c>
      <c r="V1169" t="s">
        <v>93</v>
      </c>
      <c r="W1169">
        <v>107</v>
      </c>
      <c r="X1169">
        <v>24</v>
      </c>
      <c r="Y1169">
        <v>18</v>
      </c>
      <c r="Z1169" t="s">
        <v>1689</v>
      </c>
      <c r="AA1169" t="s">
        <v>1690</v>
      </c>
      <c r="AB1169" t="s">
        <v>96</v>
      </c>
      <c r="AC1169" t="s">
        <v>97</v>
      </c>
      <c r="AD1169" t="s">
        <v>1463</v>
      </c>
      <c r="AG1169" t="s">
        <v>1691</v>
      </c>
      <c r="AH1169">
        <v>0</v>
      </c>
      <c r="AI1169">
        <v>376</v>
      </c>
      <c r="AJ1169">
        <v>24</v>
      </c>
      <c r="AK1169">
        <v>228</v>
      </c>
      <c r="AL1169">
        <v>0.77</v>
      </c>
    </row>
    <row r="1170" spans="1:38" x14ac:dyDescent="0.3">
      <c r="A1170" t="s">
        <v>1459</v>
      </c>
      <c r="B1170">
        <v>2421</v>
      </c>
      <c r="C1170">
        <v>3</v>
      </c>
      <c r="D1170" t="s">
        <v>1688</v>
      </c>
      <c r="E1170" t="s">
        <v>676</v>
      </c>
      <c r="F1170">
        <v>298</v>
      </c>
      <c r="G1170">
        <v>38.36</v>
      </c>
      <c r="H1170">
        <v>126.83</v>
      </c>
      <c r="I1170">
        <v>30.92</v>
      </c>
      <c r="J1170">
        <v>102.24</v>
      </c>
      <c r="K1170">
        <v>24</v>
      </c>
      <c r="T1170">
        <v>3</v>
      </c>
      <c r="U1170">
        <v>2</v>
      </c>
      <c r="V1170" t="s">
        <v>93</v>
      </c>
      <c r="W1170">
        <v>126</v>
      </c>
      <c r="X1170">
        <v>24</v>
      </c>
      <c r="Y1170">
        <v>18</v>
      </c>
      <c r="Z1170" t="s">
        <v>1689</v>
      </c>
      <c r="AA1170" t="s">
        <v>1690</v>
      </c>
      <c r="AB1170" t="s">
        <v>96</v>
      </c>
      <c r="AC1170" t="s">
        <v>97</v>
      </c>
      <c r="AD1170" t="s">
        <v>1463</v>
      </c>
      <c r="AG1170" t="s">
        <v>1691</v>
      </c>
      <c r="AH1170">
        <v>0</v>
      </c>
      <c r="AI1170">
        <v>376</v>
      </c>
      <c r="AJ1170">
        <v>24</v>
      </c>
      <c r="AK1170">
        <v>228</v>
      </c>
      <c r="AL1170">
        <v>0.77</v>
      </c>
    </row>
    <row r="1171" spans="1:38" x14ac:dyDescent="0.3">
      <c r="A1171" t="s">
        <v>1459</v>
      </c>
      <c r="B1171">
        <v>120585</v>
      </c>
      <c r="C1171">
        <v>1</v>
      </c>
      <c r="D1171" t="s">
        <v>1692</v>
      </c>
      <c r="E1171" t="s">
        <v>151</v>
      </c>
      <c r="F1171">
        <v>19</v>
      </c>
      <c r="G1171">
        <v>26.71</v>
      </c>
      <c r="H1171">
        <v>88.31</v>
      </c>
      <c r="I1171">
        <v>22.12</v>
      </c>
      <c r="J1171">
        <v>73.13</v>
      </c>
      <c r="K1171">
        <v>4</v>
      </c>
      <c r="T1171">
        <v>3</v>
      </c>
      <c r="U1171">
        <v>2</v>
      </c>
      <c r="V1171" t="s">
        <v>93</v>
      </c>
      <c r="W1171" t="s">
        <v>297</v>
      </c>
      <c r="X1171">
        <v>14</v>
      </c>
      <c r="Y1171">
        <v>13</v>
      </c>
      <c r="Z1171" t="s">
        <v>1693</v>
      </c>
      <c r="AA1171" t="s">
        <v>1694</v>
      </c>
      <c r="AB1171" t="s">
        <v>96</v>
      </c>
      <c r="AC1171" t="s">
        <v>97</v>
      </c>
      <c r="AD1171" t="s">
        <v>1463</v>
      </c>
      <c r="AG1171" t="s">
        <v>1695</v>
      </c>
      <c r="AH1171">
        <v>0</v>
      </c>
      <c r="AI1171">
        <v>773</v>
      </c>
      <c r="AJ1171">
        <v>67</v>
      </c>
      <c r="AK1171">
        <v>19</v>
      </c>
      <c r="AL1171">
        <v>1</v>
      </c>
    </row>
    <row r="1172" spans="1:38" x14ac:dyDescent="0.3">
      <c r="A1172" t="s">
        <v>1459</v>
      </c>
      <c r="B1172">
        <v>120585</v>
      </c>
      <c r="C1172">
        <v>2</v>
      </c>
      <c r="D1172" t="s">
        <v>1692</v>
      </c>
      <c r="E1172" t="s">
        <v>151</v>
      </c>
      <c r="F1172">
        <v>19</v>
      </c>
      <c r="G1172">
        <v>26.88</v>
      </c>
      <c r="H1172">
        <v>88.89</v>
      </c>
      <c r="I1172">
        <v>22.14</v>
      </c>
      <c r="J1172">
        <v>73.209999999999994</v>
      </c>
      <c r="K1172">
        <v>3</v>
      </c>
      <c r="T1172">
        <v>3</v>
      </c>
      <c r="U1172">
        <v>2</v>
      </c>
      <c r="V1172" t="s">
        <v>93</v>
      </c>
      <c r="W1172" t="s">
        <v>298</v>
      </c>
      <c r="X1172">
        <v>14</v>
      </c>
      <c r="Y1172">
        <v>13</v>
      </c>
      <c r="Z1172" t="s">
        <v>1693</v>
      </c>
      <c r="AA1172" t="s">
        <v>1694</v>
      </c>
      <c r="AB1172" t="s">
        <v>96</v>
      </c>
      <c r="AC1172" t="s">
        <v>97</v>
      </c>
      <c r="AD1172" t="s">
        <v>1463</v>
      </c>
      <c r="AG1172" t="s">
        <v>1695</v>
      </c>
      <c r="AH1172">
        <v>0</v>
      </c>
      <c r="AI1172">
        <v>773</v>
      </c>
      <c r="AJ1172">
        <v>67</v>
      </c>
      <c r="AK1172">
        <v>19</v>
      </c>
      <c r="AL1172">
        <v>1</v>
      </c>
    </row>
    <row r="1173" spans="1:38" x14ac:dyDescent="0.3">
      <c r="A1173" t="s">
        <v>1459</v>
      </c>
      <c r="B1173">
        <v>120585</v>
      </c>
      <c r="C1173">
        <v>3</v>
      </c>
      <c r="D1173" t="s">
        <v>1692</v>
      </c>
      <c r="E1173" t="s">
        <v>151</v>
      </c>
      <c r="F1173">
        <v>19</v>
      </c>
      <c r="G1173">
        <v>27.77</v>
      </c>
      <c r="H1173">
        <v>91.81</v>
      </c>
      <c r="I1173">
        <v>23.02</v>
      </c>
      <c r="J1173">
        <v>76.12</v>
      </c>
      <c r="K1173">
        <v>3</v>
      </c>
      <c r="T1173">
        <v>3</v>
      </c>
      <c r="U1173">
        <v>2</v>
      </c>
      <c r="V1173" t="s">
        <v>93</v>
      </c>
      <c r="W1173">
        <v>91</v>
      </c>
      <c r="X1173">
        <v>14</v>
      </c>
      <c r="Y1173">
        <v>13</v>
      </c>
      <c r="Z1173" t="s">
        <v>1693</v>
      </c>
      <c r="AA1173" t="s">
        <v>1694</v>
      </c>
      <c r="AB1173" t="s">
        <v>96</v>
      </c>
      <c r="AC1173" t="s">
        <v>97</v>
      </c>
      <c r="AD1173" t="s">
        <v>1463</v>
      </c>
      <c r="AG1173" t="s">
        <v>1695</v>
      </c>
      <c r="AH1173">
        <v>0</v>
      </c>
      <c r="AI1173">
        <v>773</v>
      </c>
      <c r="AJ1173">
        <v>67</v>
      </c>
      <c r="AK1173">
        <v>19</v>
      </c>
      <c r="AL1173">
        <v>1</v>
      </c>
    </row>
    <row r="1174" spans="1:38" x14ac:dyDescent="0.3">
      <c r="A1174" t="s">
        <v>1459</v>
      </c>
      <c r="B1174">
        <v>120585</v>
      </c>
      <c r="C1174">
        <v>4</v>
      </c>
      <c r="D1174" t="s">
        <v>1692</v>
      </c>
      <c r="E1174" t="s">
        <v>151</v>
      </c>
      <c r="F1174">
        <v>19</v>
      </c>
      <c r="G1174">
        <v>29.45</v>
      </c>
      <c r="H1174">
        <v>97.37</v>
      </c>
      <c r="I1174">
        <v>24.26</v>
      </c>
      <c r="J1174">
        <v>80.22</v>
      </c>
      <c r="K1174">
        <v>3</v>
      </c>
      <c r="T1174">
        <v>3</v>
      </c>
      <c r="U1174">
        <v>2</v>
      </c>
      <c r="V1174" t="s">
        <v>93</v>
      </c>
      <c r="W1174">
        <v>97</v>
      </c>
      <c r="X1174">
        <v>14</v>
      </c>
      <c r="Y1174">
        <v>13</v>
      </c>
      <c r="Z1174" t="s">
        <v>1693</v>
      </c>
      <c r="AA1174" t="s">
        <v>1694</v>
      </c>
      <c r="AB1174" t="s">
        <v>96</v>
      </c>
      <c r="AC1174" t="s">
        <v>97</v>
      </c>
      <c r="AD1174" t="s">
        <v>1463</v>
      </c>
      <c r="AG1174" t="s">
        <v>1695</v>
      </c>
      <c r="AH1174">
        <v>0</v>
      </c>
      <c r="AI1174">
        <v>773</v>
      </c>
      <c r="AJ1174">
        <v>67</v>
      </c>
      <c r="AK1174">
        <v>19</v>
      </c>
      <c r="AL1174">
        <v>1</v>
      </c>
    </row>
    <row r="1175" spans="1:38" x14ac:dyDescent="0.3">
      <c r="A1175" t="s">
        <v>1459</v>
      </c>
      <c r="B1175">
        <v>120585</v>
      </c>
      <c r="C1175">
        <v>5</v>
      </c>
      <c r="D1175" t="s">
        <v>1692</v>
      </c>
      <c r="E1175" t="s">
        <v>151</v>
      </c>
      <c r="F1175">
        <v>19</v>
      </c>
      <c r="G1175">
        <v>31.08</v>
      </c>
      <c r="H1175">
        <v>102.75</v>
      </c>
      <c r="I1175">
        <v>25.55</v>
      </c>
      <c r="J1175">
        <v>84.49</v>
      </c>
      <c r="K1175">
        <v>4</v>
      </c>
      <c r="T1175">
        <v>3</v>
      </c>
      <c r="U1175">
        <v>2</v>
      </c>
      <c r="V1175" t="s">
        <v>93</v>
      </c>
      <c r="W1175" t="s">
        <v>186</v>
      </c>
      <c r="X1175">
        <v>14</v>
      </c>
      <c r="Y1175">
        <v>13</v>
      </c>
      <c r="Z1175" t="s">
        <v>1693</v>
      </c>
      <c r="AA1175" t="s">
        <v>1694</v>
      </c>
      <c r="AB1175" t="s">
        <v>96</v>
      </c>
      <c r="AC1175" t="s">
        <v>97</v>
      </c>
      <c r="AD1175" t="s">
        <v>1463</v>
      </c>
      <c r="AG1175" t="s">
        <v>1695</v>
      </c>
      <c r="AH1175">
        <v>0</v>
      </c>
      <c r="AI1175">
        <v>773</v>
      </c>
      <c r="AJ1175">
        <v>67</v>
      </c>
      <c r="AK1175">
        <v>19</v>
      </c>
      <c r="AL1175">
        <v>1</v>
      </c>
    </row>
    <row r="1176" spans="1:38" x14ac:dyDescent="0.3">
      <c r="A1176" t="s">
        <v>1459</v>
      </c>
      <c r="B1176">
        <v>120585</v>
      </c>
      <c r="C1176">
        <v>6</v>
      </c>
      <c r="D1176" t="s">
        <v>1692</v>
      </c>
      <c r="E1176" t="s">
        <v>151</v>
      </c>
      <c r="F1176">
        <v>19</v>
      </c>
      <c r="G1176">
        <v>31.36</v>
      </c>
      <c r="H1176">
        <v>103.7</v>
      </c>
      <c r="I1176">
        <v>25.67</v>
      </c>
      <c r="J1176">
        <v>84.87</v>
      </c>
      <c r="K1176">
        <v>1</v>
      </c>
      <c r="T1176">
        <v>3</v>
      </c>
      <c r="U1176">
        <v>2</v>
      </c>
      <c r="V1176" t="s">
        <v>93</v>
      </c>
      <c r="W1176" t="s">
        <v>602</v>
      </c>
      <c r="X1176">
        <v>14</v>
      </c>
      <c r="Y1176">
        <v>13</v>
      </c>
      <c r="Z1176" t="s">
        <v>1693</v>
      </c>
      <c r="AA1176" t="s">
        <v>1694</v>
      </c>
      <c r="AB1176" t="s">
        <v>96</v>
      </c>
      <c r="AC1176" t="s">
        <v>97</v>
      </c>
      <c r="AD1176" t="s">
        <v>1463</v>
      </c>
      <c r="AG1176" t="s">
        <v>1695</v>
      </c>
      <c r="AH1176">
        <v>0</v>
      </c>
      <c r="AI1176">
        <v>773</v>
      </c>
      <c r="AJ1176">
        <v>67</v>
      </c>
      <c r="AK1176">
        <v>19</v>
      </c>
      <c r="AL1176">
        <v>1</v>
      </c>
    </row>
    <row r="1177" spans="1:38" x14ac:dyDescent="0.3">
      <c r="A1177" t="s">
        <v>1459</v>
      </c>
      <c r="B1177">
        <v>120585</v>
      </c>
      <c r="C1177">
        <v>7</v>
      </c>
      <c r="D1177" t="s">
        <v>1692</v>
      </c>
      <c r="E1177" t="s">
        <v>151</v>
      </c>
      <c r="F1177">
        <v>19</v>
      </c>
      <c r="G1177">
        <v>31.19</v>
      </c>
      <c r="H1177">
        <v>103.14</v>
      </c>
      <c r="I1177">
        <v>25.7</v>
      </c>
      <c r="J1177">
        <v>84.96</v>
      </c>
      <c r="K1177">
        <v>1</v>
      </c>
      <c r="T1177">
        <v>3</v>
      </c>
      <c r="U1177">
        <v>2</v>
      </c>
      <c r="V1177" t="s">
        <v>93</v>
      </c>
      <c r="W1177" t="s">
        <v>635</v>
      </c>
      <c r="X1177">
        <v>14</v>
      </c>
      <c r="Y1177">
        <v>13</v>
      </c>
      <c r="Z1177" t="s">
        <v>1693</v>
      </c>
      <c r="AA1177" t="s">
        <v>1694</v>
      </c>
      <c r="AB1177" t="s">
        <v>96</v>
      </c>
      <c r="AC1177" t="s">
        <v>97</v>
      </c>
      <c r="AD1177" t="s">
        <v>1463</v>
      </c>
      <c r="AG1177" t="s">
        <v>1695</v>
      </c>
      <c r="AH1177">
        <v>0</v>
      </c>
      <c r="AI1177">
        <v>773</v>
      </c>
      <c r="AJ1177">
        <v>67</v>
      </c>
      <c r="AK1177">
        <v>19</v>
      </c>
      <c r="AL1177">
        <v>1</v>
      </c>
    </row>
    <row r="1178" spans="1:38" x14ac:dyDescent="0.3">
      <c r="A1178" t="s">
        <v>1459</v>
      </c>
      <c r="B1178">
        <v>22840</v>
      </c>
      <c r="C1178">
        <v>1</v>
      </c>
      <c r="D1178" t="s">
        <v>1696</v>
      </c>
      <c r="E1178" t="s">
        <v>205</v>
      </c>
      <c r="F1178">
        <v>19</v>
      </c>
      <c r="G1178">
        <v>27.51</v>
      </c>
      <c r="H1178">
        <v>90.97</v>
      </c>
      <c r="I1178">
        <v>25.41</v>
      </c>
      <c r="J1178">
        <v>84</v>
      </c>
      <c r="K1178">
        <v>5</v>
      </c>
      <c r="T1178">
        <v>3</v>
      </c>
      <c r="U1178">
        <v>2</v>
      </c>
      <c r="V1178" t="s">
        <v>93</v>
      </c>
      <c r="W1178" t="s">
        <v>830</v>
      </c>
      <c r="X1178">
        <v>6</v>
      </c>
      <c r="Y1178">
        <v>6</v>
      </c>
      <c r="Z1178" t="s">
        <v>1697</v>
      </c>
      <c r="AA1178" t="s">
        <v>1698</v>
      </c>
      <c r="AB1178" t="s">
        <v>96</v>
      </c>
      <c r="AC1178" t="s">
        <v>97</v>
      </c>
      <c r="AD1178" t="s">
        <v>1463</v>
      </c>
      <c r="AG1178" t="s">
        <v>1699</v>
      </c>
      <c r="AH1178">
        <v>0</v>
      </c>
      <c r="AI1178">
        <v>0</v>
      </c>
      <c r="AJ1178">
        <v>0</v>
      </c>
      <c r="AK1178">
        <v>0</v>
      </c>
      <c r="AL1178">
        <v>0</v>
      </c>
    </row>
    <row r="1179" spans="1:38" x14ac:dyDescent="0.3">
      <c r="A1179" t="s">
        <v>1459</v>
      </c>
      <c r="B1179">
        <v>22840</v>
      </c>
      <c r="C1179">
        <v>2</v>
      </c>
      <c r="D1179" t="s">
        <v>1696</v>
      </c>
      <c r="E1179" t="s">
        <v>205</v>
      </c>
      <c r="F1179">
        <v>19</v>
      </c>
      <c r="G1179">
        <v>27.41</v>
      </c>
      <c r="H1179">
        <v>90.63</v>
      </c>
      <c r="I1179">
        <v>25.31</v>
      </c>
      <c r="J1179">
        <v>83.69</v>
      </c>
      <c r="K1179">
        <v>4</v>
      </c>
      <c r="T1179">
        <v>3</v>
      </c>
      <c r="U1179">
        <v>2</v>
      </c>
      <c r="V1179" t="s">
        <v>93</v>
      </c>
      <c r="W1179" t="s">
        <v>830</v>
      </c>
      <c r="X1179">
        <v>6</v>
      </c>
      <c r="Y1179">
        <v>6</v>
      </c>
      <c r="Z1179" t="s">
        <v>1697</v>
      </c>
      <c r="AA1179" t="s">
        <v>1698</v>
      </c>
      <c r="AB1179" t="s">
        <v>96</v>
      </c>
      <c r="AC1179" t="s">
        <v>97</v>
      </c>
      <c r="AD1179" t="s">
        <v>1463</v>
      </c>
      <c r="AG1179" t="s">
        <v>1699</v>
      </c>
      <c r="AH1179">
        <v>0</v>
      </c>
      <c r="AI1179">
        <v>0</v>
      </c>
      <c r="AJ1179">
        <v>0</v>
      </c>
      <c r="AK1179">
        <v>0</v>
      </c>
      <c r="AL1179">
        <v>0</v>
      </c>
    </row>
    <row r="1180" spans="1:38" x14ac:dyDescent="0.3">
      <c r="A1180" t="s">
        <v>1459</v>
      </c>
      <c r="B1180">
        <v>22840</v>
      </c>
      <c r="C1180">
        <v>3</v>
      </c>
      <c r="D1180" t="s">
        <v>1696</v>
      </c>
      <c r="E1180" t="s">
        <v>205</v>
      </c>
      <c r="F1180">
        <v>19</v>
      </c>
      <c r="G1180">
        <v>27.45</v>
      </c>
      <c r="H1180">
        <v>90.75</v>
      </c>
      <c r="I1180">
        <v>25.34</v>
      </c>
      <c r="J1180">
        <v>83.8</v>
      </c>
      <c r="K1180">
        <v>4</v>
      </c>
      <c r="T1180">
        <v>3</v>
      </c>
      <c r="U1180">
        <v>2</v>
      </c>
      <c r="V1180" t="s">
        <v>93</v>
      </c>
      <c r="W1180" t="s">
        <v>144</v>
      </c>
      <c r="X1180">
        <v>6</v>
      </c>
      <c r="Y1180">
        <v>6</v>
      </c>
      <c r="Z1180" t="s">
        <v>1697</v>
      </c>
      <c r="AA1180" t="s">
        <v>1698</v>
      </c>
      <c r="AB1180" t="s">
        <v>96</v>
      </c>
      <c r="AC1180" t="s">
        <v>97</v>
      </c>
      <c r="AD1180" t="s">
        <v>1463</v>
      </c>
      <c r="AG1180" t="s">
        <v>1699</v>
      </c>
      <c r="AH1180">
        <v>0</v>
      </c>
      <c r="AI1180">
        <v>0</v>
      </c>
      <c r="AJ1180">
        <v>0</v>
      </c>
      <c r="AK1180">
        <v>0</v>
      </c>
      <c r="AL1180">
        <v>0</v>
      </c>
    </row>
    <row r="1181" spans="1:38" x14ac:dyDescent="0.3">
      <c r="A1181" t="s">
        <v>1459</v>
      </c>
      <c r="B1181">
        <v>22840</v>
      </c>
      <c r="C1181">
        <v>4</v>
      </c>
      <c r="D1181" t="s">
        <v>1696</v>
      </c>
      <c r="E1181" t="s">
        <v>205</v>
      </c>
      <c r="F1181">
        <v>19</v>
      </c>
      <c r="G1181">
        <v>27.71</v>
      </c>
      <c r="H1181">
        <v>91.63</v>
      </c>
      <c r="I1181">
        <v>25.59</v>
      </c>
      <c r="J1181">
        <v>84.61</v>
      </c>
      <c r="K1181">
        <v>5</v>
      </c>
      <c r="T1181">
        <v>3</v>
      </c>
      <c r="U1181">
        <v>2</v>
      </c>
      <c r="V1181" t="s">
        <v>93</v>
      </c>
      <c r="W1181" t="s">
        <v>905</v>
      </c>
      <c r="X1181">
        <v>6</v>
      </c>
      <c r="Y1181">
        <v>6</v>
      </c>
      <c r="Z1181" t="s">
        <v>1697</v>
      </c>
      <c r="AA1181" t="s">
        <v>1698</v>
      </c>
      <c r="AB1181" t="s">
        <v>96</v>
      </c>
      <c r="AC1181" t="s">
        <v>97</v>
      </c>
      <c r="AD1181" t="s">
        <v>1463</v>
      </c>
      <c r="AG1181" t="s">
        <v>1699</v>
      </c>
      <c r="AH1181">
        <v>0</v>
      </c>
      <c r="AI1181">
        <v>0</v>
      </c>
      <c r="AJ1181">
        <v>0</v>
      </c>
      <c r="AK1181">
        <v>0</v>
      </c>
      <c r="AL1181">
        <v>0</v>
      </c>
    </row>
    <row r="1182" spans="1:38" x14ac:dyDescent="0.3">
      <c r="A1182" t="s">
        <v>1459</v>
      </c>
      <c r="B1182">
        <v>22840</v>
      </c>
      <c r="C1182">
        <v>5</v>
      </c>
      <c r="D1182" t="s">
        <v>1696</v>
      </c>
      <c r="E1182" t="s">
        <v>205</v>
      </c>
      <c r="F1182">
        <v>19</v>
      </c>
      <c r="G1182">
        <v>27.69</v>
      </c>
      <c r="H1182">
        <v>91.54</v>
      </c>
      <c r="I1182">
        <v>25.57</v>
      </c>
      <c r="J1182">
        <v>84.53</v>
      </c>
      <c r="K1182">
        <v>1</v>
      </c>
      <c r="T1182">
        <v>3</v>
      </c>
      <c r="U1182">
        <v>2</v>
      </c>
      <c r="V1182" t="s">
        <v>93</v>
      </c>
      <c r="W1182" t="s">
        <v>1700</v>
      </c>
      <c r="X1182">
        <v>6</v>
      </c>
      <c r="Y1182">
        <v>6</v>
      </c>
      <c r="Z1182" t="s">
        <v>1697</v>
      </c>
      <c r="AA1182" t="s">
        <v>1698</v>
      </c>
      <c r="AB1182" t="s">
        <v>96</v>
      </c>
      <c r="AC1182" t="s">
        <v>97</v>
      </c>
      <c r="AD1182" t="s">
        <v>1463</v>
      </c>
      <c r="AG1182" t="s">
        <v>1699</v>
      </c>
      <c r="AH1182">
        <v>0</v>
      </c>
      <c r="AI1182">
        <v>0</v>
      </c>
      <c r="AJ1182">
        <v>0</v>
      </c>
      <c r="AK1182">
        <v>0</v>
      </c>
      <c r="AL1182">
        <v>0</v>
      </c>
    </row>
    <row r="1183" spans="1:38" x14ac:dyDescent="0.3">
      <c r="A1183" t="s">
        <v>1459</v>
      </c>
      <c r="B1183">
        <v>14792</v>
      </c>
      <c r="C1183">
        <v>1</v>
      </c>
      <c r="D1183" t="s">
        <v>659</v>
      </c>
      <c r="E1183" t="s">
        <v>281</v>
      </c>
      <c r="F1183">
        <v>40</v>
      </c>
      <c r="G1183">
        <v>21.85</v>
      </c>
      <c r="H1183">
        <v>72.260000000000005</v>
      </c>
      <c r="I1183">
        <v>19.03</v>
      </c>
      <c r="J1183">
        <v>62.91</v>
      </c>
      <c r="K1183">
        <v>40</v>
      </c>
      <c r="T1183">
        <v>3</v>
      </c>
      <c r="U1183">
        <v>1</v>
      </c>
      <c r="V1183" t="s">
        <v>93</v>
      </c>
      <c r="W1183">
        <v>72</v>
      </c>
      <c r="X1183">
        <v>5</v>
      </c>
      <c r="Y1183">
        <v>5</v>
      </c>
      <c r="Z1183" t="s">
        <v>1701</v>
      </c>
      <c r="AA1183" t="s">
        <v>1702</v>
      </c>
      <c r="AB1183" t="s">
        <v>96</v>
      </c>
      <c r="AC1183" t="s">
        <v>97</v>
      </c>
      <c r="AD1183" t="s">
        <v>1463</v>
      </c>
      <c r="AG1183" t="s">
        <v>1703</v>
      </c>
      <c r="AH1183">
        <v>0</v>
      </c>
      <c r="AI1183">
        <v>0</v>
      </c>
      <c r="AJ1183">
        <v>0</v>
      </c>
      <c r="AK1183">
        <v>0</v>
      </c>
      <c r="AL1183">
        <v>0</v>
      </c>
    </row>
    <row r="1184" spans="1:38" x14ac:dyDescent="0.3">
      <c r="A1184" t="s">
        <v>1459</v>
      </c>
      <c r="B1184">
        <v>11712</v>
      </c>
      <c r="C1184">
        <v>1</v>
      </c>
      <c r="D1184" t="s">
        <v>1704</v>
      </c>
      <c r="E1184" t="s">
        <v>375</v>
      </c>
      <c r="F1184">
        <v>8</v>
      </c>
      <c r="G1184">
        <v>22.02</v>
      </c>
      <c r="H1184">
        <v>72.819999999999993</v>
      </c>
      <c r="I1184">
        <v>19.88</v>
      </c>
      <c r="J1184">
        <v>65.739999999999995</v>
      </c>
      <c r="K1184">
        <v>2</v>
      </c>
      <c r="T1184">
        <v>3</v>
      </c>
      <c r="U1184">
        <v>1</v>
      </c>
      <c r="V1184" t="s">
        <v>93</v>
      </c>
      <c r="W1184">
        <v>72</v>
      </c>
      <c r="X1184">
        <v>6</v>
      </c>
      <c r="Y1184">
        <v>6</v>
      </c>
      <c r="Z1184" t="s">
        <v>1705</v>
      </c>
      <c r="AA1184" t="s">
        <v>1706</v>
      </c>
      <c r="AB1184" t="s">
        <v>96</v>
      </c>
      <c r="AC1184" t="s">
        <v>97</v>
      </c>
      <c r="AD1184" t="s">
        <v>1463</v>
      </c>
      <c r="AG1184" t="s">
        <v>1707</v>
      </c>
      <c r="AH1184">
        <v>0</v>
      </c>
      <c r="AI1184">
        <v>305</v>
      </c>
      <c r="AJ1184">
        <v>69</v>
      </c>
      <c r="AK1184">
        <v>6</v>
      </c>
      <c r="AL1184">
        <v>0.75</v>
      </c>
    </row>
    <row r="1185" spans="1:38" x14ac:dyDescent="0.3">
      <c r="A1185" t="s">
        <v>1459</v>
      </c>
      <c r="B1185">
        <v>11712</v>
      </c>
      <c r="C1185">
        <v>2</v>
      </c>
      <c r="D1185" t="s">
        <v>1704</v>
      </c>
      <c r="E1185" t="s">
        <v>375</v>
      </c>
      <c r="F1185">
        <v>8</v>
      </c>
      <c r="G1185">
        <v>23.68</v>
      </c>
      <c r="H1185">
        <v>78.3</v>
      </c>
      <c r="I1185">
        <v>21.38</v>
      </c>
      <c r="J1185">
        <v>70.680000000000007</v>
      </c>
      <c r="K1185">
        <v>6</v>
      </c>
      <c r="T1185">
        <v>3</v>
      </c>
      <c r="U1185">
        <v>1</v>
      </c>
      <c r="V1185" t="s">
        <v>211</v>
      </c>
      <c r="W1185">
        <v>78</v>
      </c>
      <c r="X1185">
        <v>6</v>
      </c>
      <c r="Y1185">
        <v>6</v>
      </c>
      <c r="Z1185" t="s">
        <v>1705</v>
      </c>
      <c r="AA1185" t="s">
        <v>1706</v>
      </c>
      <c r="AB1185" t="s">
        <v>96</v>
      </c>
      <c r="AC1185" t="s">
        <v>97</v>
      </c>
      <c r="AD1185" t="s">
        <v>1463</v>
      </c>
      <c r="AG1185" t="s">
        <v>1707</v>
      </c>
      <c r="AH1185">
        <v>0</v>
      </c>
      <c r="AI1185">
        <v>305</v>
      </c>
      <c r="AJ1185">
        <v>69</v>
      </c>
      <c r="AK1185">
        <v>6</v>
      </c>
      <c r="AL1185">
        <v>0.75</v>
      </c>
    </row>
    <row r="1186" spans="1:38" x14ac:dyDescent="0.3">
      <c r="A1186" t="s">
        <v>1459</v>
      </c>
      <c r="B1186">
        <v>118332</v>
      </c>
      <c r="C1186">
        <v>1</v>
      </c>
      <c r="D1186" t="s">
        <v>1708</v>
      </c>
      <c r="E1186" t="s">
        <v>910</v>
      </c>
      <c r="F1186">
        <v>24</v>
      </c>
      <c r="G1186">
        <v>22.21</v>
      </c>
      <c r="H1186">
        <v>73.44</v>
      </c>
      <c r="I1186">
        <v>18.13</v>
      </c>
      <c r="J1186">
        <v>59.96</v>
      </c>
      <c r="K1186">
        <v>9</v>
      </c>
      <c r="T1186">
        <v>3</v>
      </c>
      <c r="U1186">
        <v>2</v>
      </c>
      <c r="V1186" t="s">
        <v>93</v>
      </c>
      <c r="W1186">
        <v>73</v>
      </c>
      <c r="X1186">
        <v>17</v>
      </c>
      <c r="Y1186">
        <v>16</v>
      </c>
      <c r="Z1186" t="s">
        <v>1709</v>
      </c>
      <c r="AA1186" t="s">
        <v>1710</v>
      </c>
      <c r="AB1186" t="s">
        <v>96</v>
      </c>
      <c r="AC1186" t="s">
        <v>97</v>
      </c>
      <c r="AD1186" t="s">
        <v>1463</v>
      </c>
      <c r="AG1186" t="s">
        <v>1711</v>
      </c>
      <c r="AH1186">
        <v>0</v>
      </c>
      <c r="AI1186">
        <v>840</v>
      </c>
      <c r="AJ1186">
        <v>70</v>
      </c>
      <c r="AK1186">
        <v>21</v>
      </c>
      <c r="AL1186">
        <v>0.88</v>
      </c>
    </row>
    <row r="1187" spans="1:38" x14ac:dyDescent="0.3">
      <c r="A1187" t="s">
        <v>1459</v>
      </c>
      <c r="B1187">
        <v>118332</v>
      </c>
      <c r="C1187">
        <v>2</v>
      </c>
      <c r="D1187" t="s">
        <v>1708</v>
      </c>
      <c r="E1187" t="s">
        <v>910</v>
      </c>
      <c r="F1187">
        <v>24</v>
      </c>
      <c r="G1187">
        <v>22.87</v>
      </c>
      <c r="H1187">
        <v>75.61</v>
      </c>
      <c r="I1187">
        <v>18.079999999999998</v>
      </c>
      <c r="J1187">
        <v>59.8</v>
      </c>
      <c r="K1187">
        <v>9</v>
      </c>
      <c r="T1187">
        <v>3</v>
      </c>
      <c r="U1187">
        <v>2</v>
      </c>
      <c r="V1187" t="s">
        <v>93</v>
      </c>
      <c r="W1187" t="s">
        <v>407</v>
      </c>
      <c r="X1187">
        <v>17</v>
      </c>
      <c r="Y1187">
        <v>16</v>
      </c>
      <c r="Z1187" t="s">
        <v>1709</v>
      </c>
      <c r="AA1187" t="s">
        <v>1710</v>
      </c>
      <c r="AB1187" t="s">
        <v>96</v>
      </c>
      <c r="AC1187" t="s">
        <v>97</v>
      </c>
      <c r="AD1187" t="s">
        <v>1463</v>
      </c>
      <c r="AG1187" t="s">
        <v>1711</v>
      </c>
      <c r="AH1187">
        <v>0</v>
      </c>
      <c r="AI1187">
        <v>840</v>
      </c>
      <c r="AJ1187">
        <v>70</v>
      </c>
      <c r="AK1187">
        <v>21</v>
      </c>
      <c r="AL1187">
        <v>0.88</v>
      </c>
    </row>
    <row r="1188" spans="1:38" x14ac:dyDescent="0.3">
      <c r="A1188" t="s">
        <v>1459</v>
      </c>
      <c r="B1188">
        <v>118332</v>
      </c>
      <c r="C1188">
        <v>3</v>
      </c>
      <c r="D1188" t="s">
        <v>1708</v>
      </c>
      <c r="E1188" t="s">
        <v>910</v>
      </c>
      <c r="F1188">
        <v>24</v>
      </c>
      <c r="G1188">
        <v>22.98</v>
      </c>
      <c r="H1188">
        <v>75.989999999999995</v>
      </c>
      <c r="I1188">
        <v>18.03</v>
      </c>
      <c r="J1188">
        <v>59.63</v>
      </c>
      <c r="K1188">
        <v>5</v>
      </c>
      <c r="T1188">
        <v>3</v>
      </c>
      <c r="U1188">
        <v>2</v>
      </c>
      <c r="V1188" t="s">
        <v>93</v>
      </c>
      <c r="W1188" t="s">
        <v>882</v>
      </c>
      <c r="X1188">
        <v>17</v>
      </c>
      <c r="Y1188">
        <v>16</v>
      </c>
      <c r="Z1188" t="s">
        <v>1709</v>
      </c>
      <c r="AA1188" t="s">
        <v>1710</v>
      </c>
      <c r="AB1188" t="s">
        <v>96</v>
      </c>
      <c r="AC1188" t="s">
        <v>97</v>
      </c>
      <c r="AD1188" t="s">
        <v>1463</v>
      </c>
      <c r="AG1188" t="s">
        <v>1711</v>
      </c>
      <c r="AH1188">
        <v>0</v>
      </c>
      <c r="AI1188">
        <v>840</v>
      </c>
      <c r="AJ1188">
        <v>70</v>
      </c>
      <c r="AK1188">
        <v>21</v>
      </c>
      <c r="AL1188">
        <v>0.88</v>
      </c>
    </row>
    <row r="1189" spans="1:38" x14ac:dyDescent="0.3">
      <c r="A1189" t="s">
        <v>1459</v>
      </c>
      <c r="B1189">
        <v>118332</v>
      </c>
      <c r="C1189">
        <v>4</v>
      </c>
      <c r="D1189" t="s">
        <v>1708</v>
      </c>
      <c r="E1189" t="s">
        <v>910</v>
      </c>
      <c r="F1189">
        <v>24</v>
      </c>
      <c r="G1189">
        <v>27.61</v>
      </c>
      <c r="H1189">
        <v>91.3</v>
      </c>
      <c r="I1189">
        <v>22.26</v>
      </c>
      <c r="J1189">
        <v>73.599999999999994</v>
      </c>
      <c r="K1189">
        <v>1</v>
      </c>
      <c r="T1189">
        <v>3</v>
      </c>
      <c r="U1189">
        <v>2</v>
      </c>
      <c r="V1189" t="s">
        <v>93</v>
      </c>
      <c r="W1189">
        <v>91</v>
      </c>
      <c r="X1189">
        <v>17</v>
      </c>
      <c r="Y1189">
        <v>16</v>
      </c>
      <c r="Z1189" t="s">
        <v>1709</v>
      </c>
      <c r="AA1189" t="s">
        <v>1710</v>
      </c>
      <c r="AB1189" t="s">
        <v>96</v>
      </c>
      <c r="AC1189" t="s">
        <v>97</v>
      </c>
      <c r="AD1189" t="s">
        <v>1463</v>
      </c>
      <c r="AG1189" t="s">
        <v>1711</v>
      </c>
      <c r="AH1189">
        <v>0</v>
      </c>
      <c r="AI1189">
        <v>840</v>
      </c>
      <c r="AJ1189">
        <v>70</v>
      </c>
      <c r="AK1189">
        <v>21</v>
      </c>
      <c r="AL1189">
        <v>0.88</v>
      </c>
    </row>
    <row r="1190" spans="1:38" x14ac:dyDescent="0.3">
      <c r="A1190" t="s">
        <v>1459</v>
      </c>
      <c r="B1190">
        <v>142910</v>
      </c>
      <c r="C1190">
        <v>1</v>
      </c>
      <c r="D1190" t="s">
        <v>1712</v>
      </c>
      <c r="E1190" t="s">
        <v>1048</v>
      </c>
      <c r="F1190">
        <v>10</v>
      </c>
      <c r="G1190">
        <v>11.66</v>
      </c>
      <c r="H1190">
        <v>38.549999999999997</v>
      </c>
      <c r="I1190">
        <v>9.34</v>
      </c>
      <c r="J1190">
        <v>30.88</v>
      </c>
      <c r="K1190">
        <v>1</v>
      </c>
      <c r="T1190">
        <v>1</v>
      </c>
      <c r="U1190">
        <v>1</v>
      </c>
      <c r="V1190" t="s">
        <v>93</v>
      </c>
      <c r="W1190">
        <v>38</v>
      </c>
      <c r="X1190">
        <v>11</v>
      </c>
      <c r="Y1190">
        <v>10</v>
      </c>
      <c r="Z1190" t="s">
        <v>1713</v>
      </c>
      <c r="AA1190" t="s">
        <v>1714</v>
      </c>
      <c r="AB1190" t="s">
        <v>96</v>
      </c>
      <c r="AC1190" t="s">
        <v>97</v>
      </c>
      <c r="AD1190" t="s">
        <v>1463</v>
      </c>
      <c r="AG1190" t="s">
        <v>1715</v>
      </c>
      <c r="AH1190">
        <v>0</v>
      </c>
      <c r="AI1190">
        <v>459</v>
      </c>
      <c r="AJ1190">
        <v>59</v>
      </c>
      <c r="AK1190">
        <v>10</v>
      </c>
      <c r="AL1190">
        <v>1</v>
      </c>
    </row>
    <row r="1191" spans="1:38" x14ac:dyDescent="0.3">
      <c r="A1191" t="s">
        <v>1459</v>
      </c>
      <c r="B1191">
        <v>142910</v>
      </c>
      <c r="C1191">
        <v>2</v>
      </c>
      <c r="D1191" t="s">
        <v>1712</v>
      </c>
      <c r="E1191" t="s">
        <v>1048</v>
      </c>
      <c r="F1191">
        <v>10</v>
      </c>
      <c r="G1191">
        <v>14.37</v>
      </c>
      <c r="H1191">
        <v>47.52</v>
      </c>
      <c r="I1191">
        <v>11.36</v>
      </c>
      <c r="J1191">
        <v>37.57</v>
      </c>
      <c r="K1191">
        <v>3</v>
      </c>
      <c r="T1191">
        <v>1</v>
      </c>
      <c r="U1191">
        <v>1</v>
      </c>
      <c r="V1191" t="s">
        <v>93</v>
      </c>
      <c r="W1191">
        <v>47</v>
      </c>
      <c r="X1191">
        <v>11</v>
      </c>
      <c r="Y1191">
        <v>10</v>
      </c>
      <c r="Z1191" t="s">
        <v>1713</v>
      </c>
      <c r="AA1191" t="s">
        <v>1714</v>
      </c>
      <c r="AB1191" t="s">
        <v>96</v>
      </c>
      <c r="AC1191" t="s">
        <v>97</v>
      </c>
      <c r="AD1191" t="s">
        <v>1463</v>
      </c>
      <c r="AG1191" t="s">
        <v>1715</v>
      </c>
      <c r="AH1191">
        <v>0</v>
      </c>
      <c r="AI1191">
        <v>459</v>
      </c>
      <c r="AJ1191">
        <v>59</v>
      </c>
      <c r="AK1191">
        <v>10</v>
      </c>
      <c r="AL1191">
        <v>1</v>
      </c>
    </row>
    <row r="1192" spans="1:38" x14ac:dyDescent="0.3">
      <c r="A1192" t="s">
        <v>1459</v>
      </c>
      <c r="B1192">
        <v>142910</v>
      </c>
      <c r="C1192">
        <v>3</v>
      </c>
      <c r="D1192" t="s">
        <v>1712</v>
      </c>
      <c r="E1192" t="s">
        <v>1048</v>
      </c>
      <c r="F1192">
        <v>10</v>
      </c>
      <c r="G1192">
        <v>18.420000000000002</v>
      </c>
      <c r="H1192">
        <v>60.9</v>
      </c>
      <c r="I1192">
        <v>14.82</v>
      </c>
      <c r="J1192">
        <v>49</v>
      </c>
      <c r="K1192">
        <v>2</v>
      </c>
      <c r="T1192">
        <v>2</v>
      </c>
      <c r="U1192">
        <v>1</v>
      </c>
      <c r="V1192" t="s">
        <v>93</v>
      </c>
      <c r="W1192" t="s">
        <v>254</v>
      </c>
      <c r="X1192">
        <v>11</v>
      </c>
      <c r="Y1192">
        <v>10</v>
      </c>
      <c r="Z1192" t="s">
        <v>1713</v>
      </c>
      <c r="AA1192" t="s">
        <v>1714</v>
      </c>
      <c r="AB1192" t="s">
        <v>96</v>
      </c>
      <c r="AC1192" t="s">
        <v>97</v>
      </c>
      <c r="AD1192" t="s">
        <v>1463</v>
      </c>
      <c r="AG1192" t="s">
        <v>1715</v>
      </c>
      <c r="AH1192">
        <v>0</v>
      </c>
      <c r="AI1192">
        <v>459</v>
      </c>
      <c r="AJ1192">
        <v>59</v>
      </c>
      <c r="AK1192">
        <v>10</v>
      </c>
      <c r="AL1192">
        <v>1</v>
      </c>
    </row>
    <row r="1193" spans="1:38" x14ac:dyDescent="0.3">
      <c r="A1193" t="s">
        <v>1459</v>
      </c>
      <c r="B1193">
        <v>142910</v>
      </c>
      <c r="C1193">
        <v>4</v>
      </c>
      <c r="D1193" t="s">
        <v>1712</v>
      </c>
      <c r="E1193" t="s">
        <v>1048</v>
      </c>
      <c r="F1193">
        <v>10</v>
      </c>
      <c r="G1193">
        <v>18.46</v>
      </c>
      <c r="H1193">
        <v>61.03</v>
      </c>
      <c r="I1193">
        <v>14.97</v>
      </c>
      <c r="J1193">
        <v>49.49</v>
      </c>
      <c r="K1193">
        <v>2</v>
      </c>
      <c r="T1193">
        <v>2</v>
      </c>
      <c r="U1193">
        <v>1</v>
      </c>
      <c r="V1193" t="s">
        <v>93</v>
      </c>
      <c r="W1193" t="s">
        <v>697</v>
      </c>
      <c r="X1193">
        <v>11</v>
      </c>
      <c r="Y1193">
        <v>10</v>
      </c>
      <c r="Z1193" t="s">
        <v>1713</v>
      </c>
      <c r="AA1193" t="s">
        <v>1714</v>
      </c>
      <c r="AB1193" t="s">
        <v>96</v>
      </c>
      <c r="AC1193" t="s">
        <v>97</v>
      </c>
      <c r="AD1193" t="s">
        <v>1463</v>
      </c>
      <c r="AG1193" t="s">
        <v>1715</v>
      </c>
      <c r="AH1193">
        <v>0</v>
      </c>
      <c r="AI1193">
        <v>459</v>
      </c>
      <c r="AJ1193">
        <v>59</v>
      </c>
      <c r="AK1193">
        <v>10</v>
      </c>
      <c r="AL1193">
        <v>1</v>
      </c>
    </row>
    <row r="1194" spans="1:38" x14ac:dyDescent="0.3">
      <c r="A1194" t="s">
        <v>1459</v>
      </c>
      <c r="B1194">
        <v>142910</v>
      </c>
      <c r="C1194">
        <v>5</v>
      </c>
      <c r="D1194" t="s">
        <v>1712</v>
      </c>
      <c r="E1194" t="s">
        <v>1048</v>
      </c>
      <c r="F1194">
        <v>10</v>
      </c>
      <c r="G1194">
        <v>18.649999999999999</v>
      </c>
      <c r="H1194">
        <v>61.67</v>
      </c>
      <c r="I1194">
        <v>15.02</v>
      </c>
      <c r="J1194">
        <v>49.68</v>
      </c>
      <c r="K1194">
        <v>1</v>
      </c>
      <c r="T1194">
        <v>2</v>
      </c>
      <c r="U1194">
        <v>1</v>
      </c>
      <c r="V1194" t="s">
        <v>93</v>
      </c>
      <c r="W1194" t="s">
        <v>697</v>
      </c>
      <c r="X1194">
        <v>11</v>
      </c>
      <c r="Y1194">
        <v>10</v>
      </c>
      <c r="Z1194" t="s">
        <v>1713</v>
      </c>
      <c r="AA1194" t="s">
        <v>1714</v>
      </c>
      <c r="AB1194" t="s">
        <v>96</v>
      </c>
      <c r="AC1194" t="s">
        <v>97</v>
      </c>
      <c r="AD1194" t="s">
        <v>1463</v>
      </c>
      <c r="AG1194" t="s">
        <v>1715</v>
      </c>
      <c r="AH1194">
        <v>0</v>
      </c>
      <c r="AI1194">
        <v>459</v>
      </c>
      <c r="AJ1194">
        <v>59</v>
      </c>
      <c r="AK1194">
        <v>10</v>
      </c>
      <c r="AL1194">
        <v>1</v>
      </c>
    </row>
    <row r="1195" spans="1:38" x14ac:dyDescent="0.3">
      <c r="A1195" t="s">
        <v>1459</v>
      </c>
      <c r="B1195">
        <v>142910</v>
      </c>
      <c r="C1195">
        <v>6</v>
      </c>
      <c r="D1195" t="s">
        <v>1712</v>
      </c>
      <c r="E1195" t="s">
        <v>1048</v>
      </c>
      <c r="F1195">
        <v>10</v>
      </c>
      <c r="G1195">
        <v>18.82</v>
      </c>
      <c r="H1195">
        <v>62.23</v>
      </c>
      <c r="I1195">
        <v>14.97</v>
      </c>
      <c r="J1195">
        <v>49.52</v>
      </c>
      <c r="K1195">
        <v>1</v>
      </c>
      <c r="T1195">
        <v>2</v>
      </c>
      <c r="U1195">
        <v>1</v>
      </c>
      <c r="V1195" t="s">
        <v>93</v>
      </c>
      <c r="W1195" t="s">
        <v>463</v>
      </c>
      <c r="X1195">
        <v>11</v>
      </c>
      <c r="Y1195">
        <v>10</v>
      </c>
      <c r="Z1195" t="s">
        <v>1713</v>
      </c>
      <c r="AA1195" t="s">
        <v>1714</v>
      </c>
      <c r="AB1195" t="s">
        <v>96</v>
      </c>
      <c r="AC1195" t="s">
        <v>97</v>
      </c>
      <c r="AD1195" t="s">
        <v>1463</v>
      </c>
      <c r="AG1195" t="s">
        <v>1715</v>
      </c>
      <c r="AH1195">
        <v>0</v>
      </c>
      <c r="AI1195">
        <v>459</v>
      </c>
      <c r="AJ1195">
        <v>59</v>
      </c>
      <c r="AK1195">
        <v>10</v>
      </c>
      <c r="AL1195">
        <v>1</v>
      </c>
    </row>
    <row r="1196" spans="1:38" x14ac:dyDescent="0.3">
      <c r="A1196" t="s">
        <v>1459</v>
      </c>
      <c r="B1196">
        <v>26836</v>
      </c>
      <c r="C1196">
        <v>1</v>
      </c>
      <c r="D1196" t="s">
        <v>1716</v>
      </c>
      <c r="E1196" t="s">
        <v>1717</v>
      </c>
      <c r="F1196">
        <v>550</v>
      </c>
      <c r="G1196">
        <v>32.270000000000003</v>
      </c>
      <c r="H1196">
        <v>106.7</v>
      </c>
      <c r="I1196">
        <v>25.68</v>
      </c>
      <c r="J1196">
        <v>84.92</v>
      </c>
      <c r="K1196">
        <v>550</v>
      </c>
      <c r="T1196">
        <v>3</v>
      </c>
      <c r="U1196">
        <v>2</v>
      </c>
      <c r="V1196" t="s">
        <v>93</v>
      </c>
      <c r="W1196">
        <v>106</v>
      </c>
      <c r="X1196">
        <v>25</v>
      </c>
      <c r="Y1196">
        <v>18</v>
      </c>
      <c r="Z1196" t="s">
        <v>1718</v>
      </c>
      <c r="AA1196" t="s">
        <v>1719</v>
      </c>
      <c r="AB1196" t="s">
        <v>96</v>
      </c>
      <c r="AC1196" t="s">
        <v>97</v>
      </c>
      <c r="AD1196" t="s">
        <v>1463</v>
      </c>
      <c r="AG1196" t="s">
        <v>1720</v>
      </c>
      <c r="AH1196">
        <v>0</v>
      </c>
      <c r="AI1196">
        <v>248</v>
      </c>
      <c r="AJ1196">
        <v>18</v>
      </c>
      <c r="AK1196">
        <v>652</v>
      </c>
      <c r="AL1196">
        <v>1.19</v>
      </c>
    </row>
    <row r="1197" spans="1:38" x14ac:dyDescent="0.3">
      <c r="A1197" t="s">
        <v>1459</v>
      </c>
      <c r="B1197">
        <v>10879</v>
      </c>
      <c r="C1197">
        <v>1</v>
      </c>
      <c r="D1197" t="s">
        <v>1721</v>
      </c>
      <c r="E1197" t="s">
        <v>1722</v>
      </c>
      <c r="F1197">
        <v>110</v>
      </c>
      <c r="G1197">
        <v>18.77</v>
      </c>
      <c r="H1197">
        <v>62.06</v>
      </c>
      <c r="I1197">
        <v>16.920000000000002</v>
      </c>
      <c r="J1197">
        <v>55.96</v>
      </c>
      <c r="K1197">
        <v>110</v>
      </c>
      <c r="T1197">
        <v>3</v>
      </c>
      <c r="U1197">
        <v>1</v>
      </c>
      <c r="V1197" t="s">
        <v>93</v>
      </c>
      <c r="W1197">
        <v>62</v>
      </c>
      <c r="X1197">
        <v>5</v>
      </c>
      <c r="Y1197">
        <v>5</v>
      </c>
      <c r="Z1197" t="s">
        <v>1723</v>
      </c>
      <c r="AA1197" t="s">
        <v>1724</v>
      </c>
      <c r="AB1197" t="s">
        <v>96</v>
      </c>
      <c r="AC1197" t="s">
        <v>97</v>
      </c>
      <c r="AD1197" t="s">
        <v>1463</v>
      </c>
      <c r="AG1197" t="s">
        <v>1725</v>
      </c>
      <c r="AH1197">
        <v>0</v>
      </c>
      <c r="AI1197">
        <v>104</v>
      </c>
      <c r="AJ1197">
        <v>21</v>
      </c>
      <c r="AK1197">
        <v>0</v>
      </c>
      <c r="AL1197">
        <v>0</v>
      </c>
    </row>
    <row r="1198" spans="1:38" x14ac:dyDescent="0.3">
      <c r="A1198" t="s">
        <v>1459</v>
      </c>
      <c r="B1198">
        <v>16553</v>
      </c>
      <c r="C1198">
        <v>1</v>
      </c>
      <c r="D1198" t="s">
        <v>680</v>
      </c>
      <c r="E1198" t="s">
        <v>1726</v>
      </c>
      <c r="F1198">
        <v>40</v>
      </c>
      <c r="G1198">
        <v>18.670000000000002</v>
      </c>
      <c r="H1198">
        <v>61.73</v>
      </c>
      <c r="I1198">
        <v>16.600000000000001</v>
      </c>
      <c r="J1198">
        <v>54.9</v>
      </c>
      <c r="K1198">
        <v>40</v>
      </c>
      <c r="T1198">
        <v>3</v>
      </c>
      <c r="U1198">
        <v>1</v>
      </c>
      <c r="V1198" t="s">
        <v>93</v>
      </c>
      <c r="W1198">
        <v>61</v>
      </c>
      <c r="X1198">
        <v>5</v>
      </c>
      <c r="Y1198">
        <v>5</v>
      </c>
      <c r="Z1198" t="s">
        <v>1727</v>
      </c>
      <c r="AA1198" t="s">
        <v>1728</v>
      </c>
      <c r="AB1198" t="s">
        <v>96</v>
      </c>
      <c r="AC1198" t="s">
        <v>97</v>
      </c>
      <c r="AD1198" t="s">
        <v>1463</v>
      </c>
      <c r="AG1198" t="s">
        <v>1729</v>
      </c>
      <c r="AH1198">
        <v>0</v>
      </c>
      <c r="AI1198">
        <v>0</v>
      </c>
      <c r="AJ1198">
        <v>0</v>
      </c>
      <c r="AK1198">
        <v>0</v>
      </c>
      <c r="AL1198">
        <v>0</v>
      </c>
    </row>
    <row r="1199" spans="1:38" x14ac:dyDescent="0.3">
      <c r="A1199" t="s">
        <v>1459</v>
      </c>
      <c r="B1199">
        <v>12993</v>
      </c>
      <c r="C1199">
        <v>1</v>
      </c>
      <c r="D1199" t="s">
        <v>1730</v>
      </c>
      <c r="E1199" t="s">
        <v>1663</v>
      </c>
      <c r="F1199">
        <v>57</v>
      </c>
      <c r="G1199">
        <v>15.63</v>
      </c>
      <c r="H1199">
        <v>51.7</v>
      </c>
      <c r="I1199">
        <v>13.61</v>
      </c>
      <c r="J1199">
        <v>45</v>
      </c>
      <c r="K1199">
        <v>57</v>
      </c>
      <c r="T1199">
        <v>2</v>
      </c>
      <c r="U1199">
        <v>2</v>
      </c>
      <c r="V1199" t="s">
        <v>93</v>
      </c>
      <c r="W1199">
        <v>51</v>
      </c>
      <c r="X1199">
        <v>6</v>
      </c>
      <c r="Y1199">
        <v>6</v>
      </c>
      <c r="Z1199" t="s">
        <v>1731</v>
      </c>
      <c r="AA1199" t="s">
        <v>1732</v>
      </c>
      <c r="AB1199" t="s">
        <v>96</v>
      </c>
      <c r="AC1199" t="s">
        <v>97</v>
      </c>
      <c r="AD1199" t="s">
        <v>1463</v>
      </c>
      <c r="AG1199" t="s">
        <v>1733</v>
      </c>
      <c r="AH1199">
        <v>0</v>
      </c>
      <c r="AI1199">
        <v>0</v>
      </c>
      <c r="AJ1199">
        <v>0</v>
      </c>
      <c r="AK1199">
        <v>26</v>
      </c>
      <c r="AL1199">
        <v>0.46</v>
      </c>
    </row>
    <row r="1200" spans="1:38" x14ac:dyDescent="0.3">
      <c r="A1200" t="s">
        <v>1459</v>
      </c>
      <c r="B1200">
        <v>2416</v>
      </c>
      <c r="C1200">
        <v>1</v>
      </c>
      <c r="D1200" t="s">
        <v>342</v>
      </c>
      <c r="E1200" t="s">
        <v>116</v>
      </c>
      <c r="F1200">
        <v>598</v>
      </c>
      <c r="G1200">
        <v>31</v>
      </c>
      <c r="H1200">
        <v>102.5</v>
      </c>
      <c r="I1200">
        <v>25.68</v>
      </c>
      <c r="J1200">
        <v>84.92</v>
      </c>
      <c r="K1200">
        <v>442</v>
      </c>
      <c r="T1200">
        <v>3</v>
      </c>
      <c r="U1200">
        <v>2</v>
      </c>
      <c r="V1200" t="s">
        <v>93</v>
      </c>
      <c r="W1200">
        <v>102</v>
      </c>
      <c r="X1200">
        <v>13</v>
      </c>
      <c r="Y1200">
        <v>13</v>
      </c>
      <c r="Z1200" t="s">
        <v>1734</v>
      </c>
      <c r="AA1200" t="s">
        <v>1735</v>
      </c>
      <c r="AB1200" t="s">
        <v>96</v>
      </c>
      <c r="AC1200" t="s">
        <v>97</v>
      </c>
      <c r="AD1200" t="s">
        <v>1463</v>
      </c>
      <c r="AG1200" t="s">
        <v>1736</v>
      </c>
      <c r="AH1200">
        <v>0</v>
      </c>
      <c r="AI1200">
        <v>230</v>
      </c>
      <c r="AJ1200">
        <v>22</v>
      </c>
      <c r="AK1200">
        <v>598</v>
      </c>
      <c r="AL1200">
        <v>1</v>
      </c>
    </row>
    <row r="1201" spans="1:38" x14ac:dyDescent="0.3">
      <c r="A1201" t="s">
        <v>1459</v>
      </c>
      <c r="B1201">
        <v>2416</v>
      </c>
      <c r="C1201">
        <v>2</v>
      </c>
      <c r="D1201" t="s">
        <v>342</v>
      </c>
      <c r="E1201" t="s">
        <v>116</v>
      </c>
      <c r="F1201">
        <v>598</v>
      </c>
      <c r="G1201">
        <v>45.14</v>
      </c>
      <c r="H1201">
        <v>149.22999999999999</v>
      </c>
      <c r="I1201">
        <v>38.78</v>
      </c>
      <c r="J1201">
        <v>128.21</v>
      </c>
      <c r="K1201">
        <v>156</v>
      </c>
      <c r="T1201">
        <v>4</v>
      </c>
      <c r="U1201">
        <v>2</v>
      </c>
      <c r="V1201" t="s">
        <v>93</v>
      </c>
      <c r="W1201">
        <v>149</v>
      </c>
      <c r="X1201">
        <v>13</v>
      </c>
      <c r="Y1201">
        <v>13</v>
      </c>
      <c r="Z1201" t="s">
        <v>1734</v>
      </c>
      <c r="AA1201" t="s">
        <v>1735</v>
      </c>
      <c r="AB1201" t="s">
        <v>96</v>
      </c>
      <c r="AC1201" t="s">
        <v>97</v>
      </c>
      <c r="AD1201" t="s">
        <v>1463</v>
      </c>
      <c r="AG1201" t="s">
        <v>1736</v>
      </c>
      <c r="AH1201">
        <v>0</v>
      </c>
      <c r="AI1201">
        <v>230</v>
      </c>
      <c r="AJ1201">
        <v>22</v>
      </c>
      <c r="AK1201">
        <v>598</v>
      </c>
      <c r="AL1201">
        <v>1</v>
      </c>
    </row>
    <row r="1202" spans="1:38" x14ac:dyDescent="0.3">
      <c r="A1202" t="s">
        <v>1459</v>
      </c>
      <c r="B1202">
        <v>140846</v>
      </c>
      <c r="C1202">
        <v>1</v>
      </c>
      <c r="D1202" t="s">
        <v>1737</v>
      </c>
      <c r="E1202" t="s">
        <v>292</v>
      </c>
      <c r="F1202">
        <v>8</v>
      </c>
      <c r="G1202">
        <v>23.25</v>
      </c>
      <c r="H1202">
        <v>76.88</v>
      </c>
      <c r="I1202">
        <v>19.52</v>
      </c>
      <c r="J1202">
        <v>64.53</v>
      </c>
      <c r="K1202">
        <v>8</v>
      </c>
      <c r="T1202">
        <v>3</v>
      </c>
      <c r="U1202">
        <v>1</v>
      </c>
      <c r="V1202" t="s">
        <v>93</v>
      </c>
      <c r="W1202">
        <v>76</v>
      </c>
      <c r="X1202">
        <v>7</v>
      </c>
      <c r="Y1202">
        <v>7</v>
      </c>
      <c r="Z1202" t="s">
        <v>1738</v>
      </c>
      <c r="AA1202" t="s">
        <v>1739</v>
      </c>
      <c r="AB1202" t="s">
        <v>96</v>
      </c>
      <c r="AC1202" t="s">
        <v>97</v>
      </c>
      <c r="AD1202" t="s">
        <v>1463</v>
      </c>
      <c r="AG1202" t="s">
        <v>1740</v>
      </c>
      <c r="AH1202">
        <v>0</v>
      </c>
      <c r="AI1202">
        <v>318</v>
      </c>
      <c r="AJ1202">
        <v>59</v>
      </c>
      <c r="AK1202">
        <v>8</v>
      </c>
      <c r="AL1202">
        <v>1</v>
      </c>
    </row>
    <row r="1203" spans="1:38" x14ac:dyDescent="0.3">
      <c r="A1203" t="s">
        <v>1459</v>
      </c>
      <c r="B1203">
        <v>11356</v>
      </c>
      <c r="C1203">
        <v>1</v>
      </c>
      <c r="D1203" t="s">
        <v>1741</v>
      </c>
      <c r="E1203" t="s">
        <v>1742</v>
      </c>
      <c r="F1203">
        <v>114</v>
      </c>
      <c r="G1203">
        <v>24.51</v>
      </c>
      <c r="H1203">
        <v>81.05</v>
      </c>
      <c r="I1203">
        <v>17.64</v>
      </c>
      <c r="J1203">
        <v>58.32</v>
      </c>
      <c r="K1203">
        <v>114</v>
      </c>
      <c r="T1203">
        <v>2</v>
      </c>
      <c r="U1203">
        <v>1</v>
      </c>
      <c r="V1203" t="s">
        <v>132</v>
      </c>
      <c r="W1203">
        <v>81</v>
      </c>
      <c r="X1203">
        <v>8</v>
      </c>
      <c r="Y1203">
        <v>7</v>
      </c>
      <c r="Z1203" t="s">
        <v>1743</v>
      </c>
      <c r="AA1203" t="s">
        <v>1744</v>
      </c>
      <c r="AB1203" t="s">
        <v>96</v>
      </c>
      <c r="AC1203" t="s">
        <v>97</v>
      </c>
      <c r="AD1203" t="s">
        <v>1463</v>
      </c>
      <c r="AG1203" t="s">
        <v>1745</v>
      </c>
      <c r="AH1203">
        <v>0</v>
      </c>
      <c r="AI1203">
        <v>247</v>
      </c>
      <c r="AJ1203">
        <v>39</v>
      </c>
      <c r="AK1203">
        <v>55</v>
      </c>
      <c r="AL1203">
        <v>0.48</v>
      </c>
    </row>
    <row r="1204" spans="1:38" x14ac:dyDescent="0.3">
      <c r="A1204" t="s">
        <v>1459</v>
      </c>
      <c r="B1204">
        <v>8111</v>
      </c>
      <c r="C1204">
        <v>1</v>
      </c>
      <c r="D1204" t="s">
        <v>1746</v>
      </c>
      <c r="E1204" t="s">
        <v>1747</v>
      </c>
      <c r="F1204">
        <v>492</v>
      </c>
      <c r="G1204">
        <v>18.38</v>
      </c>
      <c r="H1204">
        <v>60.78</v>
      </c>
      <c r="I1204">
        <v>14.3</v>
      </c>
      <c r="J1204">
        <v>47.28</v>
      </c>
      <c r="K1204">
        <v>24</v>
      </c>
      <c r="T1204">
        <v>2</v>
      </c>
      <c r="U1204">
        <v>1</v>
      </c>
      <c r="V1204" t="s">
        <v>93</v>
      </c>
      <c r="W1204">
        <v>60</v>
      </c>
      <c r="X1204">
        <v>6</v>
      </c>
      <c r="Y1204">
        <v>6</v>
      </c>
      <c r="Z1204" t="s">
        <v>1748</v>
      </c>
      <c r="AA1204" t="s">
        <v>1749</v>
      </c>
      <c r="AB1204" t="s">
        <v>96</v>
      </c>
      <c r="AC1204" t="s">
        <v>97</v>
      </c>
      <c r="AD1204" t="s">
        <v>1463</v>
      </c>
      <c r="AG1204" t="s">
        <v>1750</v>
      </c>
      <c r="AH1204">
        <v>0</v>
      </c>
      <c r="AI1204">
        <v>162</v>
      </c>
      <c r="AJ1204">
        <v>29</v>
      </c>
      <c r="AK1204">
        <v>0</v>
      </c>
      <c r="AL1204">
        <v>0</v>
      </c>
    </row>
    <row r="1205" spans="1:38" x14ac:dyDescent="0.3">
      <c r="A1205" t="s">
        <v>1459</v>
      </c>
      <c r="B1205">
        <v>8111</v>
      </c>
      <c r="C1205">
        <v>2</v>
      </c>
      <c r="D1205" t="s">
        <v>1746</v>
      </c>
      <c r="E1205" t="s">
        <v>1747</v>
      </c>
      <c r="F1205">
        <v>492</v>
      </c>
      <c r="G1205">
        <v>18.97</v>
      </c>
      <c r="H1205">
        <v>62.72</v>
      </c>
      <c r="I1205">
        <v>14.8</v>
      </c>
      <c r="J1205">
        <v>48.93</v>
      </c>
      <c r="K1205">
        <v>108</v>
      </c>
      <c r="T1205">
        <v>3</v>
      </c>
      <c r="U1205">
        <v>1</v>
      </c>
      <c r="V1205" t="s">
        <v>93</v>
      </c>
      <c r="W1205">
        <v>62</v>
      </c>
      <c r="X1205">
        <v>6</v>
      </c>
      <c r="Y1205">
        <v>6</v>
      </c>
      <c r="Z1205" t="s">
        <v>1748</v>
      </c>
      <c r="AA1205" t="s">
        <v>1749</v>
      </c>
      <c r="AB1205" t="s">
        <v>96</v>
      </c>
      <c r="AC1205" t="s">
        <v>97</v>
      </c>
      <c r="AD1205" t="s">
        <v>1463</v>
      </c>
      <c r="AG1205" t="s">
        <v>1750</v>
      </c>
      <c r="AH1205">
        <v>0</v>
      </c>
      <c r="AI1205">
        <v>162</v>
      </c>
      <c r="AJ1205">
        <v>29</v>
      </c>
      <c r="AK1205">
        <v>0</v>
      </c>
      <c r="AL1205">
        <v>0</v>
      </c>
    </row>
    <row r="1206" spans="1:38" x14ac:dyDescent="0.3">
      <c r="A1206" t="s">
        <v>1459</v>
      </c>
      <c r="B1206">
        <v>8111</v>
      </c>
      <c r="C1206">
        <v>3</v>
      </c>
      <c r="D1206" t="s">
        <v>1746</v>
      </c>
      <c r="E1206" t="s">
        <v>1747</v>
      </c>
      <c r="F1206">
        <v>492</v>
      </c>
      <c r="G1206">
        <v>20.02</v>
      </c>
      <c r="H1206">
        <v>66.2</v>
      </c>
      <c r="I1206">
        <v>15.69</v>
      </c>
      <c r="J1206">
        <v>51.9</v>
      </c>
      <c r="K1206">
        <v>120</v>
      </c>
      <c r="T1206">
        <v>3</v>
      </c>
      <c r="U1206">
        <v>1</v>
      </c>
      <c r="V1206" t="s">
        <v>93</v>
      </c>
      <c r="W1206">
        <v>66</v>
      </c>
      <c r="X1206">
        <v>6</v>
      </c>
      <c r="Y1206">
        <v>6</v>
      </c>
      <c r="Z1206" t="s">
        <v>1748</v>
      </c>
      <c r="AA1206" t="s">
        <v>1749</v>
      </c>
      <c r="AB1206" t="s">
        <v>96</v>
      </c>
      <c r="AC1206" t="s">
        <v>97</v>
      </c>
      <c r="AD1206" t="s">
        <v>1463</v>
      </c>
      <c r="AG1206" t="s">
        <v>1750</v>
      </c>
      <c r="AH1206">
        <v>0</v>
      </c>
      <c r="AI1206">
        <v>162</v>
      </c>
      <c r="AJ1206">
        <v>29</v>
      </c>
      <c r="AK1206">
        <v>0</v>
      </c>
      <c r="AL1206">
        <v>0</v>
      </c>
    </row>
    <row r="1207" spans="1:38" x14ac:dyDescent="0.3">
      <c r="A1207" t="s">
        <v>1459</v>
      </c>
      <c r="B1207">
        <v>8111</v>
      </c>
      <c r="C1207">
        <v>4</v>
      </c>
      <c r="D1207" t="s">
        <v>1746</v>
      </c>
      <c r="E1207" t="s">
        <v>1747</v>
      </c>
      <c r="F1207">
        <v>492</v>
      </c>
      <c r="G1207">
        <v>21.07</v>
      </c>
      <c r="H1207">
        <v>69.67</v>
      </c>
      <c r="I1207">
        <v>16.59</v>
      </c>
      <c r="J1207">
        <v>54.87</v>
      </c>
      <c r="K1207">
        <v>168</v>
      </c>
      <c r="T1207">
        <v>3</v>
      </c>
      <c r="U1207">
        <v>1</v>
      </c>
      <c r="V1207" t="s">
        <v>93</v>
      </c>
      <c r="W1207">
        <v>69</v>
      </c>
      <c r="X1207">
        <v>6</v>
      </c>
      <c r="Y1207">
        <v>6</v>
      </c>
      <c r="Z1207" t="s">
        <v>1748</v>
      </c>
      <c r="AA1207" t="s">
        <v>1749</v>
      </c>
      <c r="AB1207" t="s">
        <v>96</v>
      </c>
      <c r="AC1207" t="s">
        <v>97</v>
      </c>
      <c r="AD1207" t="s">
        <v>1463</v>
      </c>
      <c r="AG1207" t="s">
        <v>1750</v>
      </c>
      <c r="AH1207">
        <v>0</v>
      </c>
      <c r="AI1207">
        <v>162</v>
      </c>
      <c r="AJ1207">
        <v>29</v>
      </c>
      <c r="AK1207">
        <v>0</v>
      </c>
      <c r="AL1207">
        <v>0</v>
      </c>
    </row>
    <row r="1208" spans="1:38" x14ac:dyDescent="0.3">
      <c r="A1208" t="s">
        <v>1459</v>
      </c>
      <c r="B1208">
        <v>8111</v>
      </c>
      <c r="C1208">
        <v>5</v>
      </c>
      <c r="D1208" t="s">
        <v>1746</v>
      </c>
      <c r="E1208" t="s">
        <v>1747</v>
      </c>
      <c r="F1208">
        <v>492</v>
      </c>
      <c r="G1208">
        <v>22.87</v>
      </c>
      <c r="H1208">
        <v>75.61</v>
      </c>
      <c r="I1208">
        <v>18.13</v>
      </c>
      <c r="J1208">
        <v>59.94</v>
      </c>
      <c r="K1208">
        <v>72</v>
      </c>
      <c r="T1208">
        <v>3</v>
      </c>
      <c r="U1208">
        <v>1</v>
      </c>
      <c r="V1208" t="s">
        <v>93</v>
      </c>
      <c r="W1208">
        <v>75</v>
      </c>
      <c r="X1208">
        <v>6</v>
      </c>
      <c r="Y1208">
        <v>6</v>
      </c>
      <c r="Z1208" t="s">
        <v>1748</v>
      </c>
      <c r="AA1208" t="s">
        <v>1749</v>
      </c>
      <c r="AB1208" t="s">
        <v>96</v>
      </c>
      <c r="AC1208" t="s">
        <v>97</v>
      </c>
      <c r="AD1208" t="s">
        <v>1463</v>
      </c>
      <c r="AG1208" t="s">
        <v>1750</v>
      </c>
      <c r="AH1208">
        <v>0</v>
      </c>
      <c r="AI1208">
        <v>162</v>
      </c>
      <c r="AJ1208">
        <v>29</v>
      </c>
      <c r="AK1208">
        <v>0</v>
      </c>
      <c r="AL1208">
        <v>0</v>
      </c>
    </row>
    <row r="1209" spans="1:38" x14ac:dyDescent="0.3">
      <c r="A1209" t="s">
        <v>1459</v>
      </c>
      <c r="B1209">
        <v>118487</v>
      </c>
      <c r="C1209">
        <v>1</v>
      </c>
      <c r="D1209" t="s">
        <v>1039</v>
      </c>
      <c r="E1209" t="s">
        <v>274</v>
      </c>
      <c r="F1209">
        <v>16</v>
      </c>
      <c r="G1209">
        <v>22.05</v>
      </c>
      <c r="H1209">
        <v>72.91</v>
      </c>
      <c r="I1209">
        <v>17.97</v>
      </c>
      <c r="J1209">
        <v>59.41</v>
      </c>
      <c r="K1209">
        <v>8</v>
      </c>
      <c r="T1209">
        <v>3</v>
      </c>
      <c r="U1209">
        <v>1</v>
      </c>
      <c r="V1209" t="s">
        <v>93</v>
      </c>
      <c r="W1209" t="s">
        <v>282</v>
      </c>
      <c r="X1209">
        <v>14</v>
      </c>
      <c r="Y1209">
        <v>14</v>
      </c>
      <c r="Z1209" t="s">
        <v>1751</v>
      </c>
      <c r="AA1209" t="s">
        <v>1752</v>
      </c>
      <c r="AB1209" t="s">
        <v>96</v>
      </c>
      <c r="AC1209" t="s">
        <v>97</v>
      </c>
      <c r="AD1209" t="s">
        <v>1463</v>
      </c>
      <c r="AG1209" t="s">
        <v>1753</v>
      </c>
      <c r="AH1209">
        <v>0</v>
      </c>
      <c r="AI1209">
        <v>709</v>
      </c>
      <c r="AJ1209">
        <v>67</v>
      </c>
      <c r="AK1209">
        <v>14</v>
      </c>
      <c r="AL1209">
        <v>0.88</v>
      </c>
    </row>
    <row r="1210" spans="1:38" x14ac:dyDescent="0.3">
      <c r="A1210" t="s">
        <v>1459</v>
      </c>
      <c r="B1210">
        <v>118487</v>
      </c>
      <c r="C1210">
        <v>2</v>
      </c>
      <c r="D1210" t="s">
        <v>1039</v>
      </c>
      <c r="E1210" t="s">
        <v>274</v>
      </c>
      <c r="F1210">
        <v>16</v>
      </c>
      <c r="G1210">
        <v>22.21</v>
      </c>
      <c r="H1210">
        <v>73.430000000000007</v>
      </c>
      <c r="I1210">
        <v>18.04</v>
      </c>
      <c r="J1210">
        <v>59.66</v>
      </c>
      <c r="K1210">
        <v>8</v>
      </c>
      <c r="T1210">
        <v>3</v>
      </c>
      <c r="U1210">
        <v>1</v>
      </c>
      <c r="V1210" t="s">
        <v>93</v>
      </c>
      <c r="W1210" t="s">
        <v>286</v>
      </c>
      <c r="X1210">
        <v>14</v>
      </c>
      <c r="Y1210">
        <v>14</v>
      </c>
      <c r="Z1210" t="s">
        <v>1751</v>
      </c>
      <c r="AA1210" t="s">
        <v>1752</v>
      </c>
      <c r="AB1210" t="s">
        <v>96</v>
      </c>
      <c r="AC1210" t="s">
        <v>97</v>
      </c>
      <c r="AD1210" t="s">
        <v>1463</v>
      </c>
      <c r="AG1210" t="s">
        <v>1753</v>
      </c>
      <c r="AH1210">
        <v>0</v>
      </c>
      <c r="AI1210">
        <v>709</v>
      </c>
      <c r="AJ1210">
        <v>67</v>
      </c>
      <c r="AK1210">
        <v>14</v>
      </c>
      <c r="AL1210">
        <v>0.88</v>
      </c>
    </row>
    <row r="1211" spans="1:38" x14ac:dyDescent="0.3">
      <c r="A1211" t="s">
        <v>1459</v>
      </c>
      <c r="B1211">
        <v>12804</v>
      </c>
      <c r="C1211">
        <v>1</v>
      </c>
      <c r="D1211" t="s">
        <v>1754</v>
      </c>
      <c r="E1211" t="s">
        <v>1663</v>
      </c>
      <c r="F1211">
        <v>40</v>
      </c>
      <c r="G1211">
        <v>19.79</v>
      </c>
      <c r="H1211">
        <v>65.430000000000007</v>
      </c>
      <c r="I1211">
        <v>17.71</v>
      </c>
      <c r="J1211">
        <v>58.57</v>
      </c>
      <c r="K1211">
        <v>20</v>
      </c>
      <c r="T1211">
        <v>3</v>
      </c>
      <c r="U1211">
        <v>1</v>
      </c>
      <c r="V1211" t="s">
        <v>93</v>
      </c>
      <c r="W1211" t="s">
        <v>197</v>
      </c>
      <c r="X1211">
        <v>9</v>
      </c>
      <c r="Y1211">
        <v>9</v>
      </c>
      <c r="Z1211" t="s">
        <v>1755</v>
      </c>
      <c r="AA1211" t="s">
        <v>1756</v>
      </c>
      <c r="AB1211" t="s">
        <v>96</v>
      </c>
      <c r="AC1211" t="s">
        <v>97</v>
      </c>
      <c r="AD1211" t="s">
        <v>1463</v>
      </c>
      <c r="AG1211" t="s">
        <v>1757</v>
      </c>
      <c r="AH1211">
        <v>0</v>
      </c>
      <c r="AI1211">
        <v>465</v>
      </c>
      <c r="AJ1211">
        <v>65</v>
      </c>
      <c r="AK1211">
        <v>22</v>
      </c>
      <c r="AL1211">
        <v>0.55000000000000004</v>
      </c>
    </row>
    <row r="1212" spans="1:38" x14ac:dyDescent="0.3">
      <c r="A1212" t="s">
        <v>1459</v>
      </c>
      <c r="B1212">
        <v>12804</v>
      </c>
      <c r="C1212">
        <v>2</v>
      </c>
      <c r="D1212" t="s">
        <v>1754</v>
      </c>
      <c r="E1212" t="s">
        <v>1663</v>
      </c>
      <c r="F1212">
        <v>40</v>
      </c>
      <c r="G1212">
        <v>20.05</v>
      </c>
      <c r="H1212">
        <v>66.31</v>
      </c>
      <c r="I1212">
        <v>17.95</v>
      </c>
      <c r="J1212">
        <v>59.35</v>
      </c>
      <c r="K1212">
        <v>20</v>
      </c>
      <c r="T1212">
        <v>2</v>
      </c>
      <c r="U1212">
        <v>1</v>
      </c>
      <c r="V1212" t="s">
        <v>93</v>
      </c>
      <c r="W1212" t="s">
        <v>256</v>
      </c>
      <c r="X1212">
        <v>9</v>
      </c>
      <c r="Y1212">
        <v>9</v>
      </c>
      <c r="Z1212" t="s">
        <v>1755</v>
      </c>
      <c r="AA1212" t="s">
        <v>1756</v>
      </c>
      <c r="AB1212" t="s">
        <v>96</v>
      </c>
      <c r="AC1212" t="s">
        <v>97</v>
      </c>
      <c r="AD1212" t="s">
        <v>1463</v>
      </c>
      <c r="AG1212" t="s">
        <v>1757</v>
      </c>
      <c r="AH1212">
        <v>0</v>
      </c>
      <c r="AI1212">
        <v>465</v>
      </c>
      <c r="AJ1212">
        <v>65</v>
      </c>
      <c r="AK1212">
        <v>22</v>
      </c>
      <c r="AL1212">
        <v>0.55000000000000004</v>
      </c>
    </row>
    <row r="1213" spans="1:38" x14ac:dyDescent="0.3">
      <c r="A1213" t="s">
        <v>1459</v>
      </c>
      <c r="B1213">
        <v>9735</v>
      </c>
      <c r="C1213">
        <v>1</v>
      </c>
      <c r="D1213" t="s">
        <v>1758</v>
      </c>
      <c r="E1213" t="s">
        <v>146</v>
      </c>
      <c r="F1213">
        <v>40</v>
      </c>
      <c r="G1213">
        <v>23.76</v>
      </c>
      <c r="H1213">
        <v>78.55</v>
      </c>
      <c r="I1213">
        <v>21.01</v>
      </c>
      <c r="J1213">
        <v>69.48</v>
      </c>
      <c r="K1213">
        <v>20</v>
      </c>
      <c r="T1213">
        <v>3</v>
      </c>
      <c r="U1213">
        <v>1</v>
      </c>
      <c r="V1213" t="s">
        <v>93</v>
      </c>
      <c r="W1213" t="s">
        <v>318</v>
      </c>
      <c r="X1213">
        <v>5</v>
      </c>
      <c r="Y1213">
        <v>5</v>
      </c>
      <c r="Z1213" t="s">
        <v>1759</v>
      </c>
      <c r="AA1213" t="s">
        <v>1760</v>
      </c>
      <c r="AB1213" t="s">
        <v>96</v>
      </c>
      <c r="AC1213" t="s">
        <v>97</v>
      </c>
      <c r="AD1213" t="s">
        <v>1463</v>
      </c>
      <c r="AG1213" t="s">
        <v>1761</v>
      </c>
      <c r="AH1213">
        <v>0</v>
      </c>
      <c r="AI1213">
        <v>0</v>
      </c>
      <c r="AJ1213">
        <v>0</v>
      </c>
      <c r="AK1213">
        <v>0</v>
      </c>
      <c r="AL1213">
        <v>0</v>
      </c>
    </row>
    <row r="1214" spans="1:38" x14ac:dyDescent="0.3">
      <c r="A1214" t="s">
        <v>1459</v>
      </c>
      <c r="B1214">
        <v>9735</v>
      </c>
      <c r="C1214">
        <v>2</v>
      </c>
      <c r="D1214" t="s">
        <v>1758</v>
      </c>
      <c r="E1214" t="s">
        <v>146</v>
      </c>
      <c r="F1214">
        <v>40</v>
      </c>
      <c r="G1214">
        <v>24.04</v>
      </c>
      <c r="H1214">
        <v>79.48</v>
      </c>
      <c r="I1214">
        <v>21.34</v>
      </c>
      <c r="J1214">
        <v>70.56</v>
      </c>
      <c r="K1214">
        <v>20</v>
      </c>
      <c r="T1214">
        <v>3</v>
      </c>
      <c r="U1214">
        <v>1</v>
      </c>
      <c r="V1214" t="s">
        <v>93</v>
      </c>
      <c r="W1214" t="s">
        <v>475</v>
      </c>
      <c r="X1214">
        <v>5</v>
      </c>
      <c r="Y1214">
        <v>5</v>
      </c>
      <c r="Z1214" t="s">
        <v>1759</v>
      </c>
      <c r="AA1214" t="s">
        <v>1760</v>
      </c>
      <c r="AB1214" t="s">
        <v>96</v>
      </c>
      <c r="AC1214" t="s">
        <v>97</v>
      </c>
      <c r="AD1214" t="s">
        <v>1463</v>
      </c>
      <c r="AG1214" t="s">
        <v>1761</v>
      </c>
      <c r="AH1214">
        <v>0</v>
      </c>
      <c r="AI1214">
        <v>0</v>
      </c>
      <c r="AJ1214">
        <v>0</v>
      </c>
      <c r="AK1214">
        <v>0</v>
      </c>
      <c r="AL1214">
        <v>0</v>
      </c>
    </row>
    <row r="1215" spans="1:38" x14ac:dyDescent="0.3">
      <c r="A1215" t="s">
        <v>1459</v>
      </c>
      <c r="B1215">
        <v>9277</v>
      </c>
      <c r="C1215">
        <v>1</v>
      </c>
      <c r="D1215" t="s">
        <v>1762</v>
      </c>
      <c r="E1215" t="s">
        <v>614</v>
      </c>
      <c r="F1215">
        <v>100</v>
      </c>
      <c r="G1215">
        <v>21.33</v>
      </c>
      <c r="H1215">
        <v>70.52</v>
      </c>
      <c r="I1215">
        <v>19.579999999999998</v>
      </c>
      <c r="J1215">
        <v>64.760000000000005</v>
      </c>
      <c r="K1215">
        <v>100</v>
      </c>
      <c r="T1215">
        <v>3</v>
      </c>
      <c r="U1215">
        <v>1</v>
      </c>
      <c r="V1215" t="s">
        <v>93</v>
      </c>
      <c r="W1215">
        <v>70</v>
      </c>
      <c r="X1215">
        <v>5</v>
      </c>
      <c r="Y1215">
        <v>5</v>
      </c>
      <c r="Z1215" t="s">
        <v>1763</v>
      </c>
      <c r="AA1215" t="s">
        <v>1764</v>
      </c>
      <c r="AB1215" t="s">
        <v>96</v>
      </c>
      <c r="AC1215" t="s">
        <v>97</v>
      </c>
      <c r="AD1215" t="s">
        <v>1463</v>
      </c>
      <c r="AG1215" t="s">
        <v>1765</v>
      </c>
      <c r="AH1215">
        <v>0</v>
      </c>
      <c r="AI1215">
        <v>154</v>
      </c>
      <c r="AJ1215">
        <v>31</v>
      </c>
      <c r="AK1215">
        <v>120</v>
      </c>
      <c r="AL1215">
        <v>1.2</v>
      </c>
    </row>
    <row r="1216" spans="1:38" x14ac:dyDescent="0.3">
      <c r="A1216" t="s">
        <v>1459</v>
      </c>
      <c r="B1216">
        <v>3729</v>
      </c>
      <c r="C1216">
        <v>1</v>
      </c>
      <c r="D1216" t="s">
        <v>1766</v>
      </c>
      <c r="E1216" t="s">
        <v>1767</v>
      </c>
      <c r="F1216">
        <v>616</v>
      </c>
      <c r="G1216">
        <v>29.57</v>
      </c>
      <c r="H1216">
        <v>97.78</v>
      </c>
      <c r="I1216">
        <v>22.81</v>
      </c>
      <c r="J1216">
        <v>75.42</v>
      </c>
      <c r="K1216">
        <v>132</v>
      </c>
      <c r="T1216">
        <v>3</v>
      </c>
      <c r="U1216">
        <v>2</v>
      </c>
      <c r="V1216" t="s">
        <v>93</v>
      </c>
      <c r="W1216">
        <v>97</v>
      </c>
      <c r="X1216">
        <v>22</v>
      </c>
      <c r="Y1216">
        <v>22</v>
      </c>
      <c r="Z1216" t="s">
        <v>1768</v>
      </c>
      <c r="AA1216" t="s">
        <v>1769</v>
      </c>
      <c r="AB1216" t="s">
        <v>96</v>
      </c>
      <c r="AC1216" t="s">
        <v>97</v>
      </c>
      <c r="AD1216" t="s">
        <v>1463</v>
      </c>
      <c r="AG1216" t="s">
        <v>1770</v>
      </c>
      <c r="AH1216">
        <v>0</v>
      </c>
      <c r="AI1216">
        <v>330</v>
      </c>
      <c r="AJ1216">
        <v>22</v>
      </c>
      <c r="AK1216">
        <v>626</v>
      </c>
      <c r="AL1216">
        <v>1.02</v>
      </c>
    </row>
    <row r="1217" spans="1:38" x14ac:dyDescent="0.3">
      <c r="A1217" t="s">
        <v>1459</v>
      </c>
      <c r="B1217">
        <v>3729</v>
      </c>
      <c r="C1217">
        <v>2</v>
      </c>
      <c r="D1217" t="s">
        <v>1766</v>
      </c>
      <c r="E1217" t="s">
        <v>1767</v>
      </c>
      <c r="F1217">
        <v>616</v>
      </c>
      <c r="G1217">
        <v>32.75</v>
      </c>
      <c r="H1217">
        <v>108.29</v>
      </c>
      <c r="I1217">
        <v>25.7</v>
      </c>
      <c r="J1217">
        <v>84.97</v>
      </c>
      <c r="K1217">
        <v>352</v>
      </c>
      <c r="T1217">
        <v>3</v>
      </c>
      <c r="U1217">
        <v>2</v>
      </c>
      <c r="V1217" t="s">
        <v>93</v>
      </c>
      <c r="W1217">
        <v>108</v>
      </c>
      <c r="X1217">
        <v>22</v>
      </c>
      <c r="Y1217">
        <v>22</v>
      </c>
      <c r="Z1217" t="s">
        <v>1768</v>
      </c>
      <c r="AA1217" t="s">
        <v>1769</v>
      </c>
      <c r="AB1217" t="s">
        <v>96</v>
      </c>
      <c r="AC1217" t="s">
        <v>97</v>
      </c>
      <c r="AD1217" t="s">
        <v>1463</v>
      </c>
      <c r="AG1217" t="s">
        <v>1770</v>
      </c>
      <c r="AH1217">
        <v>0</v>
      </c>
      <c r="AI1217">
        <v>330</v>
      </c>
      <c r="AJ1217">
        <v>22</v>
      </c>
      <c r="AK1217">
        <v>626</v>
      </c>
      <c r="AL1217">
        <v>1.02</v>
      </c>
    </row>
    <row r="1218" spans="1:38" x14ac:dyDescent="0.3">
      <c r="A1218" t="s">
        <v>1459</v>
      </c>
      <c r="B1218">
        <v>3729</v>
      </c>
      <c r="C1218">
        <v>3</v>
      </c>
      <c r="D1218" t="s">
        <v>1766</v>
      </c>
      <c r="E1218" t="s">
        <v>1767</v>
      </c>
      <c r="F1218">
        <v>616</v>
      </c>
      <c r="G1218">
        <v>33.549999999999997</v>
      </c>
      <c r="H1218">
        <v>110.93</v>
      </c>
      <c r="I1218">
        <v>25.7</v>
      </c>
      <c r="J1218">
        <v>84.99</v>
      </c>
      <c r="K1218">
        <v>132</v>
      </c>
      <c r="T1218">
        <v>3</v>
      </c>
      <c r="U1218">
        <v>2</v>
      </c>
      <c r="V1218" t="s">
        <v>93</v>
      </c>
      <c r="W1218">
        <v>110</v>
      </c>
      <c r="X1218">
        <v>22</v>
      </c>
      <c r="Y1218">
        <v>22</v>
      </c>
      <c r="Z1218" t="s">
        <v>1768</v>
      </c>
      <c r="AA1218" t="s">
        <v>1769</v>
      </c>
      <c r="AB1218" t="s">
        <v>96</v>
      </c>
      <c r="AC1218" t="s">
        <v>97</v>
      </c>
      <c r="AD1218" t="s">
        <v>1463</v>
      </c>
      <c r="AG1218" t="s">
        <v>1770</v>
      </c>
      <c r="AH1218">
        <v>0</v>
      </c>
      <c r="AI1218">
        <v>330</v>
      </c>
      <c r="AJ1218">
        <v>22</v>
      </c>
      <c r="AK1218">
        <v>626</v>
      </c>
      <c r="AL1218">
        <v>1.02</v>
      </c>
    </row>
    <row r="1219" spans="1:38" x14ac:dyDescent="0.3">
      <c r="A1219" t="s">
        <v>1459</v>
      </c>
      <c r="B1219">
        <v>2418</v>
      </c>
      <c r="C1219">
        <v>1</v>
      </c>
      <c r="D1219" t="s">
        <v>1771</v>
      </c>
      <c r="E1219" t="s">
        <v>1772</v>
      </c>
      <c r="F1219">
        <v>408</v>
      </c>
      <c r="G1219">
        <v>24.88</v>
      </c>
      <c r="H1219">
        <v>82.27</v>
      </c>
      <c r="I1219">
        <v>17.989999999999998</v>
      </c>
      <c r="J1219">
        <v>59.49</v>
      </c>
      <c r="K1219">
        <v>187</v>
      </c>
      <c r="T1219">
        <v>3</v>
      </c>
      <c r="U1219">
        <v>1</v>
      </c>
      <c r="V1219" t="s">
        <v>132</v>
      </c>
      <c r="W1219">
        <v>82</v>
      </c>
      <c r="X1219">
        <v>17</v>
      </c>
      <c r="Y1219">
        <v>17</v>
      </c>
      <c r="Z1219" t="s">
        <v>1773</v>
      </c>
      <c r="AA1219" t="s">
        <v>1774</v>
      </c>
      <c r="AB1219" t="s">
        <v>96</v>
      </c>
      <c r="AC1219" t="s">
        <v>97</v>
      </c>
      <c r="AD1219" t="s">
        <v>1463</v>
      </c>
      <c r="AG1219" t="s">
        <v>1775</v>
      </c>
      <c r="AH1219">
        <v>0</v>
      </c>
      <c r="AI1219">
        <v>282</v>
      </c>
      <c r="AJ1219">
        <v>0</v>
      </c>
      <c r="AK1219">
        <v>277</v>
      </c>
      <c r="AL1219">
        <v>0.68</v>
      </c>
    </row>
    <row r="1220" spans="1:38" x14ac:dyDescent="0.3">
      <c r="A1220" t="s">
        <v>1459</v>
      </c>
      <c r="B1220">
        <v>2418</v>
      </c>
      <c r="C1220">
        <v>2</v>
      </c>
      <c r="D1220" t="s">
        <v>1771</v>
      </c>
      <c r="E1220" t="s">
        <v>1772</v>
      </c>
      <c r="F1220">
        <v>408</v>
      </c>
      <c r="G1220">
        <v>33.35</v>
      </c>
      <c r="H1220">
        <v>110.26</v>
      </c>
      <c r="I1220">
        <v>25.66</v>
      </c>
      <c r="J1220">
        <v>84.84</v>
      </c>
      <c r="K1220">
        <v>221</v>
      </c>
      <c r="T1220">
        <v>3</v>
      </c>
      <c r="U1220">
        <v>2</v>
      </c>
      <c r="V1220" t="s">
        <v>93</v>
      </c>
      <c r="W1220">
        <v>110</v>
      </c>
      <c r="X1220">
        <v>17</v>
      </c>
      <c r="Y1220">
        <v>17</v>
      </c>
      <c r="Z1220" t="s">
        <v>1773</v>
      </c>
      <c r="AA1220" t="s">
        <v>1774</v>
      </c>
      <c r="AB1220" t="s">
        <v>96</v>
      </c>
      <c r="AC1220" t="s">
        <v>97</v>
      </c>
      <c r="AD1220" t="s">
        <v>1463</v>
      </c>
      <c r="AG1220" t="s">
        <v>1775</v>
      </c>
      <c r="AH1220">
        <v>0</v>
      </c>
      <c r="AI1220">
        <v>282</v>
      </c>
      <c r="AJ1220">
        <v>0</v>
      </c>
      <c r="AK1220">
        <v>277</v>
      </c>
      <c r="AL1220">
        <v>0.68</v>
      </c>
    </row>
    <row r="1221" spans="1:38" x14ac:dyDescent="0.3">
      <c r="A1221" t="s">
        <v>1459</v>
      </c>
      <c r="B1221">
        <v>16557</v>
      </c>
      <c r="C1221">
        <v>1</v>
      </c>
      <c r="D1221" t="s">
        <v>1776</v>
      </c>
      <c r="E1221" t="s">
        <v>1777</v>
      </c>
      <c r="F1221">
        <v>50</v>
      </c>
      <c r="G1221">
        <v>19.739999999999998</v>
      </c>
      <c r="H1221">
        <v>65.27</v>
      </c>
      <c r="I1221">
        <v>17.82</v>
      </c>
      <c r="J1221">
        <v>58.92</v>
      </c>
      <c r="K1221">
        <v>50</v>
      </c>
      <c r="T1221">
        <v>2</v>
      </c>
      <c r="U1221">
        <v>1</v>
      </c>
      <c r="V1221" t="s">
        <v>93</v>
      </c>
      <c r="W1221">
        <v>65</v>
      </c>
      <c r="X1221">
        <v>5</v>
      </c>
      <c r="Y1221">
        <v>5</v>
      </c>
      <c r="Z1221" t="s">
        <v>1778</v>
      </c>
      <c r="AA1221" t="s">
        <v>1779</v>
      </c>
      <c r="AB1221" t="s">
        <v>96</v>
      </c>
      <c r="AC1221" t="s">
        <v>97</v>
      </c>
      <c r="AD1221" t="s">
        <v>1463</v>
      </c>
      <c r="AG1221" t="s">
        <v>1780</v>
      </c>
      <c r="AH1221">
        <v>0</v>
      </c>
      <c r="AI1221">
        <v>0</v>
      </c>
      <c r="AJ1221">
        <v>0</v>
      </c>
      <c r="AK1221">
        <v>0</v>
      </c>
      <c r="AL1221">
        <v>0</v>
      </c>
    </row>
    <row r="1222" spans="1:38" x14ac:dyDescent="0.3">
      <c r="A1222" t="s">
        <v>1459</v>
      </c>
      <c r="B1222">
        <v>9163</v>
      </c>
      <c r="C1222">
        <v>1</v>
      </c>
      <c r="D1222" t="s">
        <v>1781</v>
      </c>
      <c r="E1222" t="s">
        <v>1782</v>
      </c>
      <c r="F1222">
        <v>821</v>
      </c>
      <c r="G1222">
        <v>25.13</v>
      </c>
      <c r="H1222">
        <v>83.08</v>
      </c>
      <c r="I1222">
        <v>18.100000000000001</v>
      </c>
      <c r="J1222">
        <v>59.85</v>
      </c>
      <c r="K1222">
        <v>433</v>
      </c>
      <c r="T1222">
        <v>3</v>
      </c>
      <c r="U1222">
        <v>2</v>
      </c>
      <c r="V1222" t="s">
        <v>93</v>
      </c>
      <c r="W1222">
        <v>83</v>
      </c>
      <c r="X1222">
        <v>23</v>
      </c>
      <c r="Y1222">
        <v>18</v>
      </c>
      <c r="Z1222" t="s">
        <v>1783</v>
      </c>
      <c r="AA1222" t="s">
        <v>1784</v>
      </c>
      <c r="AB1222" t="s">
        <v>96</v>
      </c>
      <c r="AC1222" t="s">
        <v>97</v>
      </c>
      <c r="AD1222" t="s">
        <v>1463</v>
      </c>
      <c r="AG1222" t="s">
        <v>1785</v>
      </c>
      <c r="AH1222">
        <v>0</v>
      </c>
      <c r="AI1222">
        <v>249</v>
      </c>
      <c r="AJ1222">
        <v>16</v>
      </c>
      <c r="AK1222">
        <v>821</v>
      </c>
      <c r="AL1222">
        <v>1</v>
      </c>
    </row>
    <row r="1223" spans="1:38" x14ac:dyDescent="0.3">
      <c r="A1223" t="s">
        <v>1459</v>
      </c>
      <c r="B1223">
        <v>9163</v>
      </c>
      <c r="C1223">
        <v>2</v>
      </c>
      <c r="D1223" t="s">
        <v>1781</v>
      </c>
      <c r="E1223" t="s">
        <v>1782</v>
      </c>
      <c r="F1223">
        <v>821</v>
      </c>
      <c r="G1223">
        <v>32.18</v>
      </c>
      <c r="H1223">
        <v>106.41</v>
      </c>
      <c r="I1223">
        <v>25.6</v>
      </c>
      <c r="J1223">
        <v>84.64</v>
      </c>
      <c r="K1223">
        <v>388</v>
      </c>
      <c r="T1223">
        <v>3</v>
      </c>
      <c r="U1223">
        <v>2</v>
      </c>
      <c r="V1223" t="s">
        <v>93</v>
      </c>
      <c r="W1223">
        <v>106</v>
      </c>
      <c r="X1223">
        <v>23</v>
      </c>
      <c r="Y1223">
        <v>18</v>
      </c>
      <c r="Z1223" t="s">
        <v>1783</v>
      </c>
      <c r="AA1223" t="s">
        <v>1784</v>
      </c>
      <c r="AB1223" t="s">
        <v>96</v>
      </c>
      <c r="AC1223" t="s">
        <v>97</v>
      </c>
      <c r="AD1223" t="s">
        <v>1463</v>
      </c>
      <c r="AG1223" t="s">
        <v>1785</v>
      </c>
      <c r="AH1223">
        <v>0</v>
      </c>
      <c r="AI1223">
        <v>249</v>
      </c>
      <c r="AJ1223">
        <v>16</v>
      </c>
      <c r="AK1223">
        <v>821</v>
      </c>
      <c r="AL1223">
        <v>1</v>
      </c>
    </row>
    <row r="1224" spans="1:38" x14ac:dyDescent="0.3">
      <c r="A1224" t="s">
        <v>1459</v>
      </c>
      <c r="B1224">
        <v>119246</v>
      </c>
      <c r="C1224">
        <v>1</v>
      </c>
      <c r="D1224" t="s">
        <v>1786</v>
      </c>
      <c r="E1224" t="s">
        <v>1787</v>
      </c>
      <c r="F1224">
        <v>36</v>
      </c>
      <c r="G1224">
        <v>20.6</v>
      </c>
      <c r="H1224">
        <v>68.099999999999994</v>
      </c>
      <c r="I1224">
        <v>17.89</v>
      </c>
      <c r="J1224">
        <v>59.17</v>
      </c>
      <c r="K1224">
        <v>24</v>
      </c>
      <c r="T1224">
        <v>3</v>
      </c>
      <c r="U1224">
        <v>1</v>
      </c>
      <c r="V1224" t="s">
        <v>93</v>
      </c>
      <c r="W1224">
        <v>68</v>
      </c>
      <c r="X1224">
        <v>3</v>
      </c>
      <c r="Y1224">
        <v>3</v>
      </c>
      <c r="Z1224" t="s">
        <v>1788</v>
      </c>
      <c r="AA1224" t="s">
        <v>1789</v>
      </c>
      <c r="AB1224" t="s">
        <v>96</v>
      </c>
      <c r="AC1224" t="s">
        <v>97</v>
      </c>
      <c r="AD1224" t="s">
        <v>1463</v>
      </c>
      <c r="AG1224" t="s">
        <v>1790</v>
      </c>
      <c r="AH1224">
        <v>0</v>
      </c>
      <c r="AI1224">
        <v>0</v>
      </c>
      <c r="AJ1224">
        <v>0</v>
      </c>
      <c r="AK1224">
        <v>0</v>
      </c>
      <c r="AL1224">
        <v>0</v>
      </c>
    </row>
    <row r="1225" spans="1:38" x14ac:dyDescent="0.3">
      <c r="A1225" t="s">
        <v>1459</v>
      </c>
      <c r="B1225">
        <v>119246</v>
      </c>
      <c r="C1225">
        <v>2</v>
      </c>
      <c r="D1225" t="s">
        <v>1786</v>
      </c>
      <c r="E1225" t="s">
        <v>1787</v>
      </c>
      <c r="F1225">
        <v>36</v>
      </c>
      <c r="G1225">
        <v>22.26</v>
      </c>
      <c r="H1225">
        <v>73.59</v>
      </c>
      <c r="I1225">
        <v>16.34</v>
      </c>
      <c r="J1225">
        <v>54.02</v>
      </c>
      <c r="K1225">
        <v>6</v>
      </c>
      <c r="T1225">
        <v>3</v>
      </c>
      <c r="U1225">
        <v>1</v>
      </c>
      <c r="V1225" t="s">
        <v>211</v>
      </c>
      <c r="W1225">
        <v>73</v>
      </c>
      <c r="X1225">
        <v>3</v>
      </c>
      <c r="Y1225">
        <v>3</v>
      </c>
      <c r="Z1225" t="s">
        <v>1788</v>
      </c>
      <c r="AA1225" t="s">
        <v>1789</v>
      </c>
      <c r="AB1225" t="s">
        <v>96</v>
      </c>
      <c r="AC1225" t="s">
        <v>97</v>
      </c>
      <c r="AD1225" t="s">
        <v>1463</v>
      </c>
      <c r="AG1225" t="s">
        <v>1790</v>
      </c>
      <c r="AH1225">
        <v>0</v>
      </c>
      <c r="AI1225">
        <v>0</v>
      </c>
      <c r="AJ1225">
        <v>0</v>
      </c>
      <c r="AK1225">
        <v>0</v>
      </c>
      <c r="AL1225">
        <v>0</v>
      </c>
    </row>
    <row r="1226" spans="1:38" x14ac:dyDescent="0.3">
      <c r="A1226" t="s">
        <v>1459</v>
      </c>
      <c r="B1226">
        <v>119246</v>
      </c>
      <c r="C1226">
        <v>3</v>
      </c>
      <c r="D1226" t="s">
        <v>1786</v>
      </c>
      <c r="E1226" t="s">
        <v>1787</v>
      </c>
      <c r="F1226">
        <v>36</v>
      </c>
      <c r="G1226">
        <v>22.63</v>
      </c>
      <c r="H1226">
        <v>74.81</v>
      </c>
      <c r="I1226">
        <v>16.61</v>
      </c>
      <c r="J1226">
        <v>54.91</v>
      </c>
      <c r="K1226">
        <v>6</v>
      </c>
      <c r="T1226">
        <v>3</v>
      </c>
      <c r="U1226">
        <v>1</v>
      </c>
      <c r="V1226" t="s">
        <v>93</v>
      </c>
      <c r="W1226">
        <v>74</v>
      </c>
      <c r="X1226">
        <v>3</v>
      </c>
      <c r="Y1226">
        <v>3</v>
      </c>
      <c r="Z1226" t="s">
        <v>1788</v>
      </c>
      <c r="AA1226" t="s">
        <v>1789</v>
      </c>
      <c r="AB1226" t="s">
        <v>96</v>
      </c>
      <c r="AC1226" t="s">
        <v>97</v>
      </c>
      <c r="AD1226" t="s">
        <v>1463</v>
      </c>
      <c r="AG1226" t="s">
        <v>1790</v>
      </c>
      <c r="AH1226">
        <v>0</v>
      </c>
      <c r="AI1226">
        <v>0</v>
      </c>
      <c r="AJ1226">
        <v>0</v>
      </c>
      <c r="AK1226">
        <v>0</v>
      </c>
      <c r="AL1226">
        <v>0</v>
      </c>
    </row>
    <row r="1227" spans="1:38" x14ac:dyDescent="0.3">
      <c r="A1227" t="s">
        <v>1459</v>
      </c>
      <c r="B1227">
        <v>126459</v>
      </c>
      <c r="C1227">
        <v>1</v>
      </c>
      <c r="D1227" t="s">
        <v>485</v>
      </c>
      <c r="E1227" t="s">
        <v>391</v>
      </c>
      <c r="F1227">
        <v>30</v>
      </c>
      <c r="G1227">
        <v>22.41</v>
      </c>
      <c r="H1227">
        <v>74.099999999999994</v>
      </c>
      <c r="I1227">
        <v>17.75</v>
      </c>
      <c r="J1227">
        <v>58.68</v>
      </c>
      <c r="K1227">
        <v>15</v>
      </c>
      <c r="T1227">
        <v>3</v>
      </c>
      <c r="U1227">
        <v>1</v>
      </c>
      <c r="V1227" t="s">
        <v>93</v>
      </c>
      <c r="W1227">
        <v>74</v>
      </c>
      <c r="X1227">
        <v>16</v>
      </c>
      <c r="Y1227">
        <v>16</v>
      </c>
      <c r="Z1227" t="s">
        <v>1791</v>
      </c>
      <c r="AA1227" t="s">
        <v>1792</v>
      </c>
      <c r="AB1227" t="s">
        <v>96</v>
      </c>
      <c r="AC1227" t="s">
        <v>97</v>
      </c>
      <c r="AD1227" t="s">
        <v>1463</v>
      </c>
      <c r="AG1227" t="s">
        <v>1793</v>
      </c>
      <c r="AH1227">
        <v>0</v>
      </c>
      <c r="AI1227">
        <v>849</v>
      </c>
      <c r="AJ1227">
        <v>68</v>
      </c>
      <c r="AK1227">
        <v>25</v>
      </c>
      <c r="AL1227">
        <v>0.83</v>
      </c>
    </row>
    <row r="1228" spans="1:38" x14ac:dyDescent="0.3">
      <c r="A1228" t="s">
        <v>1459</v>
      </c>
      <c r="B1228">
        <v>126459</v>
      </c>
      <c r="C1228">
        <v>2</v>
      </c>
      <c r="D1228" t="s">
        <v>485</v>
      </c>
      <c r="E1228" t="s">
        <v>391</v>
      </c>
      <c r="F1228">
        <v>30</v>
      </c>
      <c r="G1228">
        <v>22.76</v>
      </c>
      <c r="H1228">
        <v>75.25</v>
      </c>
      <c r="I1228">
        <v>17.87</v>
      </c>
      <c r="J1228">
        <v>59.09</v>
      </c>
      <c r="K1228">
        <v>15</v>
      </c>
      <c r="T1228">
        <v>3</v>
      </c>
      <c r="U1228">
        <v>1</v>
      </c>
      <c r="V1228" t="s">
        <v>93</v>
      </c>
      <c r="W1228">
        <v>75</v>
      </c>
      <c r="X1228">
        <v>16</v>
      </c>
      <c r="Y1228">
        <v>16</v>
      </c>
      <c r="Z1228" t="s">
        <v>1791</v>
      </c>
      <c r="AA1228" t="s">
        <v>1792</v>
      </c>
      <c r="AB1228" t="s">
        <v>96</v>
      </c>
      <c r="AC1228" t="s">
        <v>97</v>
      </c>
      <c r="AD1228" t="s">
        <v>1463</v>
      </c>
      <c r="AG1228" t="s">
        <v>1793</v>
      </c>
      <c r="AH1228">
        <v>0</v>
      </c>
      <c r="AI1228">
        <v>849</v>
      </c>
      <c r="AJ1228">
        <v>68</v>
      </c>
      <c r="AK1228">
        <v>25</v>
      </c>
      <c r="AL1228">
        <v>0.83</v>
      </c>
    </row>
    <row r="1229" spans="1:38" x14ac:dyDescent="0.3">
      <c r="A1229" t="s">
        <v>1459</v>
      </c>
      <c r="B1229">
        <v>2417</v>
      </c>
      <c r="C1229">
        <v>1</v>
      </c>
      <c r="D1229" t="s">
        <v>1794</v>
      </c>
      <c r="E1229" t="s">
        <v>131</v>
      </c>
      <c r="F1229">
        <v>299</v>
      </c>
      <c r="G1229">
        <v>24.52</v>
      </c>
      <c r="H1229">
        <v>81.069999999999993</v>
      </c>
      <c r="I1229">
        <v>18.13</v>
      </c>
      <c r="J1229">
        <v>59.95</v>
      </c>
      <c r="K1229">
        <v>120</v>
      </c>
      <c r="T1229">
        <v>3</v>
      </c>
      <c r="U1229">
        <v>1</v>
      </c>
      <c r="V1229" t="s">
        <v>132</v>
      </c>
      <c r="W1229">
        <v>81</v>
      </c>
      <c r="X1229">
        <v>14</v>
      </c>
      <c r="Y1229">
        <v>12</v>
      </c>
      <c r="Z1229" t="s">
        <v>1795</v>
      </c>
      <c r="AA1229" t="s">
        <v>1796</v>
      </c>
      <c r="AB1229" t="s">
        <v>96</v>
      </c>
      <c r="AC1229" t="s">
        <v>97</v>
      </c>
      <c r="AD1229" t="s">
        <v>1463</v>
      </c>
      <c r="AG1229" t="s">
        <v>1797</v>
      </c>
      <c r="AH1229">
        <v>0</v>
      </c>
      <c r="AI1229">
        <v>297</v>
      </c>
      <c r="AJ1229">
        <v>27</v>
      </c>
      <c r="AK1229">
        <v>190</v>
      </c>
      <c r="AL1229">
        <v>0.64</v>
      </c>
    </row>
    <row r="1230" spans="1:38" x14ac:dyDescent="0.3">
      <c r="A1230" t="s">
        <v>1459</v>
      </c>
      <c r="B1230">
        <v>2417</v>
      </c>
      <c r="C1230">
        <v>2</v>
      </c>
      <c r="D1230" t="s">
        <v>1794</v>
      </c>
      <c r="E1230" t="s">
        <v>131</v>
      </c>
      <c r="F1230">
        <v>299</v>
      </c>
      <c r="G1230">
        <v>31.66</v>
      </c>
      <c r="H1230">
        <v>104.67</v>
      </c>
      <c r="I1230">
        <v>25.69</v>
      </c>
      <c r="J1230">
        <v>84.93</v>
      </c>
      <c r="K1230">
        <v>96</v>
      </c>
      <c r="T1230">
        <v>3</v>
      </c>
      <c r="U1230">
        <v>2</v>
      </c>
      <c r="V1230" t="s">
        <v>93</v>
      </c>
      <c r="W1230" t="s">
        <v>1495</v>
      </c>
      <c r="X1230">
        <v>14</v>
      </c>
      <c r="Y1230">
        <v>12</v>
      </c>
      <c r="Z1230" t="s">
        <v>1795</v>
      </c>
      <c r="AA1230" t="s">
        <v>1796</v>
      </c>
      <c r="AB1230" t="s">
        <v>96</v>
      </c>
      <c r="AC1230" t="s">
        <v>97</v>
      </c>
      <c r="AD1230" t="s">
        <v>1463</v>
      </c>
      <c r="AG1230" t="s">
        <v>1797</v>
      </c>
      <c r="AH1230">
        <v>0</v>
      </c>
      <c r="AI1230">
        <v>297</v>
      </c>
      <c r="AJ1230">
        <v>27</v>
      </c>
      <c r="AK1230">
        <v>190</v>
      </c>
      <c r="AL1230">
        <v>0.64</v>
      </c>
    </row>
    <row r="1231" spans="1:38" x14ac:dyDescent="0.3">
      <c r="A1231" t="s">
        <v>1459</v>
      </c>
      <c r="B1231">
        <v>2417</v>
      </c>
      <c r="C1231">
        <v>3</v>
      </c>
      <c r="D1231" t="s">
        <v>1794</v>
      </c>
      <c r="E1231" t="s">
        <v>131</v>
      </c>
      <c r="F1231">
        <v>299</v>
      </c>
      <c r="G1231">
        <v>31.91</v>
      </c>
      <c r="H1231">
        <v>105.52</v>
      </c>
      <c r="I1231">
        <v>25.7</v>
      </c>
      <c r="J1231">
        <v>84.98</v>
      </c>
      <c r="K1231">
        <v>14</v>
      </c>
      <c r="T1231">
        <v>3</v>
      </c>
      <c r="U1231">
        <v>2</v>
      </c>
      <c r="V1231" t="s">
        <v>93</v>
      </c>
      <c r="W1231" t="s">
        <v>1798</v>
      </c>
      <c r="X1231">
        <v>14</v>
      </c>
      <c r="Y1231">
        <v>12</v>
      </c>
      <c r="Z1231" t="s">
        <v>1795</v>
      </c>
      <c r="AA1231" t="s">
        <v>1796</v>
      </c>
      <c r="AB1231" t="s">
        <v>96</v>
      </c>
      <c r="AC1231" t="s">
        <v>97</v>
      </c>
      <c r="AD1231" t="s">
        <v>1463</v>
      </c>
      <c r="AG1231" t="s">
        <v>1797</v>
      </c>
      <c r="AH1231">
        <v>0</v>
      </c>
      <c r="AI1231">
        <v>297</v>
      </c>
      <c r="AJ1231">
        <v>27</v>
      </c>
      <c r="AK1231">
        <v>190</v>
      </c>
      <c r="AL1231">
        <v>0.64</v>
      </c>
    </row>
    <row r="1232" spans="1:38" x14ac:dyDescent="0.3">
      <c r="A1232" t="s">
        <v>1459</v>
      </c>
      <c r="B1232">
        <v>2417</v>
      </c>
      <c r="C1232">
        <v>4</v>
      </c>
      <c r="D1232" t="s">
        <v>1794</v>
      </c>
      <c r="E1232" t="s">
        <v>131</v>
      </c>
      <c r="F1232">
        <v>299</v>
      </c>
      <c r="G1232">
        <v>31.95</v>
      </c>
      <c r="H1232">
        <v>105.64</v>
      </c>
      <c r="I1232">
        <v>25.7</v>
      </c>
      <c r="J1232">
        <v>84.99</v>
      </c>
      <c r="K1232">
        <v>13</v>
      </c>
      <c r="T1232">
        <v>3</v>
      </c>
      <c r="U1232">
        <v>2</v>
      </c>
      <c r="V1232" t="s">
        <v>93</v>
      </c>
      <c r="W1232" t="s">
        <v>1799</v>
      </c>
      <c r="X1232">
        <v>14</v>
      </c>
      <c r="Y1232">
        <v>12</v>
      </c>
      <c r="Z1232" t="s">
        <v>1795</v>
      </c>
      <c r="AA1232" t="s">
        <v>1796</v>
      </c>
      <c r="AB1232" t="s">
        <v>96</v>
      </c>
      <c r="AC1232" t="s">
        <v>97</v>
      </c>
      <c r="AD1232" t="s">
        <v>1463</v>
      </c>
      <c r="AG1232" t="s">
        <v>1797</v>
      </c>
      <c r="AH1232">
        <v>0</v>
      </c>
      <c r="AI1232">
        <v>297</v>
      </c>
      <c r="AJ1232">
        <v>27</v>
      </c>
      <c r="AK1232">
        <v>190</v>
      </c>
      <c r="AL1232">
        <v>0.64</v>
      </c>
    </row>
    <row r="1233" spans="1:38" x14ac:dyDescent="0.3">
      <c r="A1233" t="s">
        <v>1459</v>
      </c>
      <c r="B1233">
        <v>2417</v>
      </c>
      <c r="C1233">
        <v>5</v>
      </c>
      <c r="D1233" t="s">
        <v>1794</v>
      </c>
      <c r="E1233" t="s">
        <v>131</v>
      </c>
      <c r="F1233">
        <v>299</v>
      </c>
      <c r="G1233">
        <v>32.07</v>
      </c>
      <c r="H1233">
        <v>106.02</v>
      </c>
      <c r="I1233">
        <v>25.68</v>
      </c>
      <c r="J1233">
        <v>84.92</v>
      </c>
      <c r="K1233">
        <v>56</v>
      </c>
      <c r="T1233">
        <v>3</v>
      </c>
      <c r="U1233">
        <v>2</v>
      </c>
      <c r="V1233" t="s">
        <v>93</v>
      </c>
      <c r="W1233" t="s">
        <v>552</v>
      </c>
      <c r="X1233">
        <v>14</v>
      </c>
      <c r="Y1233">
        <v>12</v>
      </c>
      <c r="Z1233" t="s">
        <v>1795</v>
      </c>
      <c r="AA1233" t="s">
        <v>1796</v>
      </c>
      <c r="AB1233" t="s">
        <v>96</v>
      </c>
      <c r="AC1233" t="s">
        <v>97</v>
      </c>
      <c r="AD1233" t="s">
        <v>1463</v>
      </c>
      <c r="AG1233" t="s">
        <v>1797</v>
      </c>
      <c r="AH1233">
        <v>0</v>
      </c>
      <c r="AI1233">
        <v>297</v>
      </c>
      <c r="AJ1233">
        <v>27</v>
      </c>
      <c r="AK1233">
        <v>190</v>
      </c>
      <c r="AL1233">
        <v>0.64</v>
      </c>
    </row>
    <row r="1234" spans="1:38" x14ac:dyDescent="0.3">
      <c r="A1234" t="s">
        <v>1459</v>
      </c>
      <c r="B1234">
        <v>101393</v>
      </c>
      <c r="C1234">
        <v>1</v>
      </c>
      <c r="D1234" t="s">
        <v>1800</v>
      </c>
      <c r="E1234" t="s">
        <v>172</v>
      </c>
      <c r="F1234">
        <v>10</v>
      </c>
      <c r="G1234">
        <v>27.7</v>
      </c>
      <c r="H1234">
        <v>91.6</v>
      </c>
      <c r="I1234">
        <v>24.29</v>
      </c>
      <c r="J1234">
        <v>80.33</v>
      </c>
      <c r="K1234">
        <v>10</v>
      </c>
      <c r="T1234">
        <v>3</v>
      </c>
      <c r="U1234">
        <v>2</v>
      </c>
      <c r="V1234" t="s">
        <v>93</v>
      </c>
      <c r="W1234">
        <v>91</v>
      </c>
      <c r="X1234">
        <v>7</v>
      </c>
      <c r="Y1234">
        <v>7</v>
      </c>
      <c r="Z1234" t="s">
        <v>1801</v>
      </c>
      <c r="AA1234" t="s">
        <v>1802</v>
      </c>
      <c r="AB1234" t="s">
        <v>96</v>
      </c>
      <c r="AC1234" t="s">
        <v>97</v>
      </c>
      <c r="AD1234" t="s">
        <v>1463</v>
      </c>
      <c r="AG1234" t="s">
        <v>1803</v>
      </c>
      <c r="AH1234">
        <v>0</v>
      </c>
      <c r="AI1234">
        <v>262</v>
      </c>
      <c r="AJ1234">
        <v>51</v>
      </c>
      <c r="AK1234">
        <v>11</v>
      </c>
      <c r="AL1234">
        <v>1.1000000000000001</v>
      </c>
    </row>
    <row r="1235" spans="1:38" x14ac:dyDescent="0.3">
      <c r="A1235" t="s">
        <v>1459</v>
      </c>
      <c r="B1235">
        <v>14791</v>
      </c>
      <c r="C1235">
        <v>1</v>
      </c>
      <c r="D1235" t="s">
        <v>1804</v>
      </c>
      <c r="E1235" t="s">
        <v>1805</v>
      </c>
      <c r="F1235">
        <v>60</v>
      </c>
      <c r="G1235">
        <v>21.9</v>
      </c>
      <c r="H1235">
        <v>72.41</v>
      </c>
      <c r="I1235">
        <v>17.64</v>
      </c>
      <c r="J1235">
        <v>58.32</v>
      </c>
      <c r="K1235">
        <v>30</v>
      </c>
      <c r="T1235">
        <v>2</v>
      </c>
      <c r="U1235">
        <v>1</v>
      </c>
      <c r="V1235" t="s">
        <v>93</v>
      </c>
      <c r="W1235" t="s">
        <v>282</v>
      </c>
      <c r="X1235">
        <v>5</v>
      </c>
      <c r="Y1235">
        <v>5</v>
      </c>
      <c r="Z1235" t="s">
        <v>1806</v>
      </c>
      <c r="AA1235" t="s">
        <v>1807</v>
      </c>
      <c r="AB1235" t="s">
        <v>96</v>
      </c>
      <c r="AC1235" t="s">
        <v>97</v>
      </c>
      <c r="AD1235" t="s">
        <v>1463</v>
      </c>
      <c r="AG1235" t="s">
        <v>1808</v>
      </c>
      <c r="AH1235">
        <v>0</v>
      </c>
      <c r="AI1235">
        <v>0</v>
      </c>
      <c r="AJ1235">
        <v>0</v>
      </c>
      <c r="AK1235">
        <v>0</v>
      </c>
      <c r="AL1235">
        <v>0</v>
      </c>
    </row>
    <row r="1236" spans="1:38" x14ac:dyDescent="0.3">
      <c r="A1236" t="s">
        <v>1459</v>
      </c>
      <c r="B1236">
        <v>14791</v>
      </c>
      <c r="C1236">
        <v>2</v>
      </c>
      <c r="D1236" t="s">
        <v>1804</v>
      </c>
      <c r="E1236" t="s">
        <v>1805</v>
      </c>
      <c r="F1236">
        <v>60</v>
      </c>
      <c r="G1236">
        <v>22.39</v>
      </c>
      <c r="H1236">
        <v>74.040000000000006</v>
      </c>
      <c r="I1236">
        <v>18.23</v>
      </c>
      <c r="J1236">
        <v>60.27</v>
      </c>
      <c r="K1236">
        <v>30</v>
      </c>
      <c r="T1236">
        <v>2</v>
      </c>
      <c r="U1236">
        <v>1</v>
      </c>
      <c r="V1236" t="s">
        <v>93</v>
      </c>
      <c r="W1236" t="s">
        <v>876</v>
      </c>
      <c r="X1236">
        <v>5</v>
      </c>
      <c r="Y1236">
        <v>5</v>
      </c>
      <c r="Z1236" t="s">
        <v>1806</v>
      </c>
      <c r="AA1236" t="s">
        <v>1807</v>
      </c>
      <c r="AB1236" t="s">
        <v>96</v>
      </c>
      <c r="AC1236" t="s">
        <v>97</v>
      </c>
      <c r="AD1236" t="s">
        <v>1463</v>
      </c>
      <c r="AG1236" t="s">
        <v>1808</v>
      </c>
      <c r="AH1236">
        <v>0</v>
      </c>
      <c r="AI1236">
        <v>0</v>
      </c>
      <c r="AJ1236">
        <v>0</v>
      </c>
      <c r="AK1236">
        <v>0</v>
      </c>
      <c r="AL1236">
        <v>0</v>
      </c>
    </row>
    <row r="1237" spans="1:38" x14ac:dyDescent="0.3">
      <c r="A1237" t="s">
        <v>1459</v>
      </c>
      <c r="B1237">
        <v>137356</v>
      </c>
      <c r="C1237">
        <v>1</v>
      </c>
      <c r="D1237" t="s">
        <v>1809</v>
      </c>
      <c r="E1237" t="s">
        <v>210</v>
      </c>
      <c r="F1237">
        <v>8</v>
      </c>
      <c r="G1237">
        <v>24.12</v>
      </c>
      <c r="H1237">
        <v>79.739999999999995</v>
      </c>
      <c r="I1237">
        <v>20.47</v>
      </c>
      <c r="J1237">
        <v>67.7</v>
      </c>
      <c r="K1237">
        <v>4</v>
      </c>
      <c r="T1237">
        <v>3</v>
      </c>
      <c r="U1237">
        <v>1</v>
      </c>
      <c r="V1237" t="s">
        <v>93</v>
      </c>
      <c r="W1237">
        <v>79</v>
      </c>
      <c r="X1237">
        <v>5</v>
      </c>
      <c r="Y1237">
        <v>5</v>
      </c>
      <c r="Z1237" t="s">
        <v>1810</v>
      </c>
      <c r="AA1237" t="s">
        <v>1811</v>
      </c>
      <c r="AB1237" t="s">
        <v>96</v>
      </c>
      <c r="AC1237" t="s">
        <v>97</v>
      </c>
      <c r="AD1237" t="s">
        <v>1463</v>
      </c>
      <c r="AG1237" t="s">
        <v>1812</v>
      </c>
      <c r="AH1237">
        <v>0</v>
      </c>
      <c r="AI1237">
        <v>270</v>
      </c>
      <c r="AJ1237">
        <v>59</v>
      </c>
      <c r="AK1237">
        <v>8</v>
      </c>
      <c r="AL1237">
        <v>1</v>
      </c>
    </row>
    <row r="1238" spans="1:38" x14ac:dyDescent="0.3">
      <c r="A1238" t="s">
        <v>1459</v>
      </c>
      <c r="B1238">
        <v>137356</v>
      </c>
      <c r="C1238">
        <v>2</v>
      </c>
      <c r="D1238" t="s">
        <v>1809</v>
      </c>
      <c r="E1238" t="s">
        <v>210</v>
      </c>
      <c r="F1238">
        <v>8</v>
      </c>
      <c r="G1238">
        <v>25.54</v>
      </c>
      <c r="H1238">
        <v>84.44</v>
      </c>
      <c r="I1238">
        <v>21.73</v>
      </c>
      <c r="J1238">
        <v>71.86</v>
      </c>
      <c r="K1238">
        <v>4</v>
      </c>
      <c r="T1238">
        <v>3</v>
      </c>
      <c r="U1238">
        <v>2</v>
      </c>
      <c r="V1238" t="s">
        <v>93</v>
      </c>
      <c r="W1238">
        <v>84</v>
      </c>
      <c r="X1238">
        <v>5</v>
      </c>
      <c r="Y1238">
        <v>5</v>
      </c>
      <c r="Z1238" t="s">
        <v>1810</v>
      </c>
      <c r="AA1238" t="s">
        <v>1811</v>
      </c>
      <c r="AB1238" t="s">
        <v>96</v>
      </c>
      <c r="AC1238" t="s">
        <v>97</v>
      </c>
      <c r="AD1238" t="s">
        <v>1463</v>
      </c>
      <c r="AG1238" t="s">
        <v>1812</v>
      </c>
      <c r="AH1238">
        <v>0</v>
      </c>
      <c r="AI1238">
        <v>270</v>
      </c>
      <c r="AJ1238">
        <v>59</v>
      </c>
      <c r="AK1238">
        <v>8</v>
      </c>
      <c r="AL1238">
        <v>1</v>
      </c>
    </row>
    <row r="1239" spans="1:38" x14ac:dyDescent="0.3">
      <c r="A1239" t="s">
        <v>1813</v>
      </c>
      <c r="B1239">
        <v>121694</v>
      </c>
      <c r="C1239">
        <v>1</v>
      </c>
      <c r="D1239" t="s">
        <v>1814</v>
      </c>
      <c r="E1239" t="s">
        <v>1815</v>
      </c>
      <c r="F1239">
        <v>19</v>
      </c>
      <c r="G1239">
        <v>23.21</v>
      </c>
      <c r="H1239">
        <v>76.739999999999995</v>
      </c>
      <c r="I1239">
        <v>18.309999999999999</v>
      </c>
      <c r="J1239">
        <v>60.53</v>
      </c>
      <c r="K1239">
        <v>5</v>
      </c>
      <c r="T1239">
        <v>3</v>
      </c>
      <c r="U1239">
        <v>2</v>
      </c>
      <c r="V1239" t="s">
        <v>93</v>
      </c>
      <c r="W1239">
        <v>76</v>
      </c>
      <c r="X1239">
        <v>10</v>
      </c>
      <c r="Y1239">
        <v>9</v>
      </c>
      <c r="Z1239" t="s">
        <v>1816</v>
      </c>
      <c r="AA1239" t="s">
        <v>1817</v>
      </c>
      <c r="AB1239" t="s">
        <v>96</v>
      </c>
      <c r="AC1239" t="s">
        <v>97</v>
      </c>
      <c r="AD1239" t="s">
        <v>1818</v>
      </c>
      <c r="AG1239" t="s">
        <v>285</v>
      </c>
      <c r="AH1239">
        <v>0</v>
      </c>
      <c r="AI1239">
        <v>483</v>
      </c>
      <c r="AJ1239">
        <v>70</v>
      </c>
      <c r="AK1239">
        <v>10</v>
      </c>
      <c r="AL1239">
        <v>0.53</v>
      </c>
    </row>
    <row r="1240" spans="1:38" x14ac:dyDescent="0.3">
      <c r="A1240" t="s">
        <v>1813</v>
      </c>
      <c r="B1240">
        <v>121694</v>
      </c>
      <c r="C1240">
        <v>2</v>
      </c>
      <c r="D1240" t="s">
        <v>1814</v>
      </c>
      <c r="E1240" t="s">
        <v>1815</v>
      </c>
      <c r="F1240">
        <v>19</v>
      </c>
      <c r="G1240">
        <v>23.8</v>
      </c>
      <c r="H1240">
        <v>78.7</v>
      </c>
      <c r="I1240">
        <v>18.57</v>
      </c>
      <c r="J1240">
        <v>61.4</v>
      </c>
      <c r="K1240">
        <v>5</v>
      </c>
      <c r="T1240">
        <v>3</v>
      </c>
      <c r="U1240">
        <v>2</v>
      </c>
      <c r="V1240" t="s">
        <v>93</v>
      </c>
      <c r="W1240">
        <v>78</v>
      </c>
      <c r="X1240">
        <v>10</v>
      </c>
      <c r="Y1240">
        <v>9</v>
      </c>
      <c r="Z1240" t="s">
        <v>1816</v>
      </c>
      <c r="AA1240" t="s">
        <v>1817</v>
      </c>
      <c r="AB1240" t="s">
        <v>96</v>
      </c>
      <c r="AC1240" t="s">
        <v>97</v>
      </c>
      <c r="AD1240" t="s">
        <v>1818</v>
      </c>
      <c r="AG1240" t="s">
        <v>285</v>
      </c>
      <c r="AH1240">
        <v>0</v>
      </c>
      <c r="AI1240">
        <v>483</v>
      </c>
      <c r="AJ1240">
        <v>70</v>
      </c>
      <c r="AK1240">
        <v>10</v>
      </c>
      <c r="AL1240">
        <v>0.53</v>
      </c>
    </row>
    <row r="1241" spans="1:38" x14ac:dyDescent="0.3">
      <c r="A1241" t="s">
        <v>1813</v>
      </c>
      <c r="B1241">
        <v>121694</v>
      </c>
      <c r="C1241">
        <v>3</v>
      </c>
      <c r="D1241" t="s">
        <v>1814</v>
      </c>
      <c r="E1241" t="s">
        <v>1815</v>
      </c>
      <c r="F1241">
        <v>19</v>
      </c>
      <c r="G1241">
        <v>26.66</v>
      </c>
      <c r="H1241">
        <v>88.16</v>
      </c>
      <c r="I1241">
        <v>18.149999999999999</v>
      </c>
      <c r="J1241">
        <v>60.02</v>
      </c>
      <c r="K1241">
        <v>3</v>
      </c>
      <c r="T1241">
        <v>3</v>
      </c>
      <c r="U1241">
        <v>2</v>
      </c>
      <c r="V1241" t="s">
        <v>93</v>
      </c>
      <c r="W1241">
        <v>88</v>
      </c>
      <c r="X1241">
        <v>10</v>
      </c>
      <c r="Y1241">
        <v>9</v>
      </c>
      <c r="Z1241" t="s">
        <v>1816</v>
      </c>
      <c r="AA1241" t="s">
        <v>1817</v>
      </c>
      <c r="AB1241" t="s">
        <v>96</v>
      </c>
      <c r="AC1241" t="s">
        <v>97</v>
      </c>
      <c r="AD1241" t="s">
        <v>1818</v>
      </c>
      <c r="AG1241" t="s">
        <v>285</v>
      </c>
      <c r="AH1241">
        <v>0</v>
      </c>
      <c r="AI1241">
        <v>483</v>
      </c>
      <c r="AJ1241">
        <v>70</v>
      </c>
      <c r="AK1241">
        <v>10</v>
      </c>
      <c r="AL1241">
        <v>0.53</v>
      </c>
    </row>
    <row r="1242" spans="1:38" x14ac:dyDescent="0.3">
      <c r="A1242" t="s">
        <v>1813</v>
      </c>
      <c r="B1242">
        <v>121694</v>
      </c>
      <c r="C1242">
        <v>4</v>
      </c>
      <c r="D1242" t="s">
        <v>1814</v>
      </c>
      <c r="E1242" t="s">
        <v>1815</v>
      </c>
      <c r="F1242">
        <v>19</v>
      </c>
      <c r="G1242">
        <v>28</v>
      </c>
      <c r="H1242">
        <v>92.58</v>
      </c>
      <c r="I1242">
        <v>19.239999999999998</v>
      </c>
      <c r="J1242">
        <v>63.63</v>
      </c>
      <c r="K1242">
        <v>5</v>
      </c>
      <c r="T1242">
        <v>3</v>
      </c>
      <c r="U1242">
        <v>2</v>
      </c>
      <c r="V1242" t="s">
        <v>93</v>
      </c>
      <c r="W1242">
        <v>92</v>
      </c>
      <c r="X1242">
        <v>10</v>
      </c>
      <c r="Y1242">
        <v>9</v>
      </c>
      <c r="Z1242" t="s">
        <v>1816</v>
      </c>
      <c r="AA1242" t="s">
        <v>1817</v>
      </c>
      <c r="AB1242" t="s">
        <v>96</v>
      </c>
      <c r="AC1242" t="s">
        <v>97</v>
      </c>
      <c r="AD1242" t="s">
        <v>1818</v>
      </c>
      <c r="AG1242" t="s">
        <v>285</v>
      </c>
      <c r="AH1242">
        <v>0</v>
      </c>
      <c r="AI1242">
        <v>483</v>
      </c>
      <c r="AJ1242">
        <v>70</v>
      </c>
      <c r="AK1242">
        <v>10</v>
      </c>
      <c r="AL1242">
        <v>0.53</v>
      </c>
    </row>
    <row r="1243" spans="1:38" x14ac:dyDescent="0.3">
      <c r="A1243" t="s">
        <v>1813</v>
      </c>
      <c r="B1243">
        <v>121694</v>
      </c>
      <c r="C1243">
        <v>5</v>
      </c>
      <c r="D1243" t="s">
        <v>1814</v>
      </c>
      <c r="E1243" t="s">
        <v>1815</v>
      </c>
      <c r="F1243">
        <v>19</v>
      </c>
      <c r="G1243">
        <v>37.68</v>
      </c>
      <c r="H1243">
        <v>124.58</v>
      </c>
      <c r="I1243">
        <v>25.62</v>
      </c>
      <c r="J1243">
        <v>84.7</v>
      </c>
      <c r="K1243">
        <v>1</v>
      </c>
      <c r="T1243">
        <v>3</v>
      </c>
      <c r="U1243">
        <v>2</v>
      </c>
      <c r="V1243" t="s">
        <v>93</v>
      </c>
      <c r="W1243">
        <v>124</v>
      </c>
      <c r="X1243">
        <v>10</v>
      </c>
      <c r="Y1243">
        <v>9</v>
      </c>
      <c r="Z1243" t="s">
        <v>1816</v>
      </c>
      <c r="AA1243" t="s">
        <v>1817</v>
      </c>
      <c r="AB1243" t="s">
        <v>96</v>
      </c>
      <c r="AC1243" t="s">
        <v>97</v>
      </c>
      <c r="AD1243" t="s">
        <v>1818</v>
      </c>
      <c r="AG1243" t="s">
        <v>285</v>
      </c>
      <c r="AH1243">
        <v>0</v>
      </c>
      <c r="AI1243">
        <v>483</v>
      </c>
      <c r="AJ1243">
        <v>70</v>
      </c>
      <c r="AK1243">
        <v>10</v>
      </c>
      <c r="AL1243">
        <v>0.53</v>
      </c>
    </row>
    <row r="1244" spans="1:38" x14ac:dyDescent="0.3">
      <c r="A1244" t="s">
        <v>1813</v>
      </c>
      <c r="B1244">
        <v>11478</v>
      </c>
      <c r="C1244">
        <v>1</v>
      </c>
      <c r="D1244" t="s">
        <v>1819</v>
      </c>
      <c r="E1244" t="s">
        <v>1820</v>
      </c>
      <c r="F1244">
        <v>90</v>
      </c>
      <c r="G1244">
        <v>16.96</v>
      </c>
      <c r="H1244">
        <v>56.08</v>
      </c>
      <c r="I1244">
        <v>14.13</v>
      </c>
      <c r="J1244">
        <v>46.74</v>
      </c>
      <c r="K1244">
        <v>40</v>
      </c>
      <c r="T1244">
        <v>3</v>
      </c>
      <c r="U1244">
        <v>1</v>
      </c>
      <c r="V1244" t="s">
        <v>93</v>
      </c>
      <c r="W1244">
        <v>56</v>
      </c>
      <c r="X1244">
        <v>5</v>
      </c>
      <c r="Y1244">
        <v>5</v>
      </c>
      <c r="Z1244" t="s">
        <v>1821</v>
      </c>
      <c r="AA1244" t="s">
        <v>1822</v>
      </c>
      <c r="AB1244" t="s">
        <v>96</v>
      </c>
      <c r="AC1244" t="s">
        <v>97</v>
      </c>
      <c r="AD1244" t="s">
        <v>1818</v>
      </c>
      <c r="AG1244" t="s">
        <v>1823</v>
      </c>
      <c r="AH1244">
        <v>0</v>
      </c>
      <c r="AI1244">
        <v>0</v>
      </c>
      <c r="AJ1244">
        <v>0</v>
      </c>
      <c r="AK1244">
        <v>0</v>
      </c>
      <c r="AL1244">
        <v>0</v>
      </c>
    </row>
    <row r="1245" spans="1:38" x14ac:dyDescent="0.3">
      <c r="A1245" t="s">
        <v>1813</v>
      </c>
      <c r="B1245">
        <v>11478</v>
      </c>
      <c r="C1245">
        <v>2</v>
      </c>
      <c r="D1245" t="s">
        <v>1819</v>
      </c>
      <c r="E1245" t="s">
        <v>1820</v>
      </c>
      <c r="F1245">
        <v>90</v>
      </c>
      <c r="G1245">
        <v>17.68</v>
      </c>
      <c r="H1245">
        <v>58.46</v>
      </c>
      <c r="I1245">
        <v>14.73</v>
      </c>
      <c r="J1245">
        <v>48.72</v>
      </c>
      <c r="K1245">
        <v>50</v>
      </c>
      <c r="T1245">
        <v>3</v>
      </c>
      <c r="U1245">
        <v>1</v>
      </c>
      <c r="V1245" t="s">
        <v>93</v>
      </c>
      <c r="W1245">
        <v>58</v>
      </c>
      <c r="X1245">
        <v>5</v>
      </c>
      <c r="Y1245">
        <v>5</v>
      </c>
      <c r="Z1245" t="s">
        <v>1821</v>
      </c>
      <c r="AA1245" t="s">
        <v>1822</v>
      </c>
      <c r="AB1245" t="s">
        <v>96</v>
      </c>
      <c r="AC1245" t="s">
        <v>97</v>
      </c>
      <c r="AD1245" t="s">
        <v>1818</v>
      </c>
      <c r="AG1245" t="s">
        <v>1823</v>
      </c>
      <c r="AH1245">
        <v>0</v>
      </c>
      <c r="AI1245">
        <v>0</v>
      </c>
      <c r="AJ1245">
        <v>0</v>
      </c>
      <c r="AK1245">
        <v>0</v>
      </c>
      <c r="AL1245">
        <v>0</v>
      </c>
    </row>
    <row r="1246" spans="1:38" x14ac:dyDescent="0.3">
      <c r="A1246" t="s">
        <v>1813</v>
      </c>
      <c r="B1246">
        <v>10471</v>
      </c>
      <c r="C1246">
        <v>1</v>
      </c>
      <c r="D1246" t="s">
        <v>1824</v>
      </c>
      <c r="E1246" t="s">
        <v>1825</v>
      </c>
      <c r="F1246">
        <v>143</v>
      </c>
      <c r="G1246">
        <v>24.92</v>
      </c>
      <c r="H1246">
        <v>82.4</v>
      </c>
      <c r="I1246">
        <v>17.64</v>
      </c>
      <c r="J1246">
        <v>58.32</v>
      </c>
      <c r="K1246">
        <v>63</v>
      </c>
      <c r="T1246">
        <v>2</v>
      </c>
      <c r="U1246">
        <v>1</v>
      </c>
      <c r="V1246" t="s">
        <v>132</v>
      </c>
      <c r="W1246">
        <v>82</v>
      </c>
      <c r="X1246">
        <v>21</v>
      </c>
      <c r="Y1246">
        <v>9</v>
      </c>
      <c r="Z1246" t="s">
        <v>1826</v>
      </c>
      <c r="AA1246" t="s">
        <v>1827</v>
      </c>
      <c r="AB1246" t="s">
        <v>96</v>
      </c>
      <c r="AC1246" t="s">
        <v>97</v>
      </c>
      <c r="AD1246" t="s">
        <v>1818</v>
      </c>
      <c r="AG1246" t="s">
        <v>1828</v>
      </c>
      <c r="AH1246">
        <v>0</v>
      </c>
      <c r="AI1246">
        <v>425</v>
      </c>
      <c r="AJ1246">
        <v>33</v>
      </c>
      <c r="AK1246">
        <v>115</v>
      </c>
      <c r="AL1246">
        <v>0.8</v>
      </c>
    </row>
    <row r="1247" spans="1:38" x14ac:dyDescent="0.3">
      <c r="A1247" t="s">
        <v>1813</v>
      </c>
      <c r="B1247">
        <v>10471</v>
      </c>
      <c r="C1247">
        <v>2</v>
      </c>
      <c r="D1247" t="s">
        <v>1824</v>
      </c>
      <c r="E1247" t="s">
        <v>1825</v>
      </c>
      <c r="F1247">
        <v>143</v>
      </c>
      <c r="G1247">
        <v>31.29</v>
      </c>
      <c r="H1247">
        <v>103.45</v>
      </c>
      <c r="I1247">
        <v>25.69</v>
      </c>
      <c r="J1247">
        <v>84.95</v>
      </c>
      <c r="K1247">
        <v>41</v>
      </c>
      <c r="T1247">
        <v>3</v>
      </c>
      <c r="U1247">
        <v>2</v>
      </c>
      <c r="V1247" t="s">
        <v>93</v>
      </c>
      <c r="W1247">
        <v>103</v>
      </c>
      <c r="X1247">
        <v>21</v>
      </c>
      <c r="Y1247">
        <v>9</v>
      </c>
      <c r="Z1247" t="s">
        <v>1826</v>
      </c>
      <c r="AA1247" t="s">
        <v>1827</v>
      </c>
      <c r="AB1247" t="s">
        <v>96</v>
      </c>
      <c r="AC1247" t="s">
        <v>97</v>
      </c>
      <c r="AD1247" t="s">
        <v>1818</v>
      </c>
      <c r="AG1247" t="s">
        <v>1828</v>
      </c>
      <c r="AH1247">
        <v>0</v>
      </c>
      <c r="AI1247">
        <v>425</v>
      </c>
      <c r="AJ1247">
        <v>33</v>
      </c>
      <c r="AK1247">
        <v>115</v>
      </c>
      <c r="AL1247">
        <v>0.8</v>
      </c>
    </row>
    <row r="1248" spans="1:38" x14ac:dyDescent="0.3">
      <c r="A1248" t="s">
        <v>1813</v>
      </c>
      <c r="B1248">
        <v>10471</v>
      </c>
      <c r="C1248">
        <v>3</v>
      </c>
      <c r="D1248" t="s">
        <v>1824</v>
      </c>
      <c r="E1248" t="s">
        <v>1825</v>
      </c>
      <c r="F1248">
        <v>143</v>
      </c>
      <c r="G1248">
        <v>39.229999999999997</v>
      </c>
      <c r="H1248">
        <v>129.69</v>
      </c>
      <c r="I1248">
        <v>33.130000000000003</v>
      </c>
      <c r="J1248">
        <v>109.53</v>
      </c>
      <c r="K1248">
        <v>39</v>
      </c>
      <c r="T1248">
        <v>4</v>
      </c>
      <c r="U1248">
        <v>2</v>
      </c>
      <c r="V1248" t="s">
        <v>93</v>
      </c>
      <c r="W1248">
        <v>129</v>
      </c>
      <c r="X1248">
        <v>21</v>
      </c>
      <c r="Y1248">
        <v>9</v>
      </c>
      <c r="Z1248" t="s">
        <v>1826</v>
      </c>
      <c r="AA1248" t="s">
        <v>1827</v>
      </c>
      <c r="AB1248" t="s">
        <v>96</v>
      </c>
      <c r="AC1248" t="s">
        <v>97</v>
      </c>
      <c r="AD1248" t="s">
        <v>1818</v>
      </c>
      <c r="AG1248" t="s">
        <v>1828</v>
      </c>
      <c r="AH1248">
        <v>0</v>
      </c>
      <c r="AI1248">
        <v>425</v>
      </c>
      <c r="AJ1248">
        <v>33</v>
      </c>
      <c r="AK1248">
        <v>115</v>
      </c>
      <c r="AL1248">
        <v>0.8</v>
      </c>
    </row>
    <row r="1249" spans="1:38" x14ac:dyDescent="0.3">
      <c r="A1249" t="s">
        <v>1813</v>
      </c>
      <c r="B1249">
        <v>12803</v>
      </c>
      <c r="C1249">
        <v>1</v>
      </c>
      <c r="D1249" t="s">
        <v>1829</v>
      </c>
      <c r="E1249" t="s">
        <v>1830</v>
      </c>
      <c r="F1249">
        <v>70</v>
      </c>
      <c r="G1249">
        <v>17.399999999999999</v>
      </c>
      <c r="H1249">
        <v>57.55</v>
      </c>
      <c r="I1249">
        <v>15.33</v>
      </c>
      <c r="J1249">
        <v>50.7</v>
      </c>
      <c r="K1249">
        <v>20</v>
      </c>
      <c r="T1249">
        <v>3</v>
      </c>
      <c r="U1249">
        <v>1</v>
      </c>
      <c r="V1249" t="s">
        <v>93</v>
      </c>
      <c r="W1249">
        <v>57</v>
      </c>
      <c r="X1249">
        <v>5</v>
      </c>
      <c r="Y1249">
        <v>5</v>
      </c>
      <c r="Z1249" t="s">
        <v>1831</v>
      </c>
      <c r="AA1249" t="s">
        <v>1832</v>
      </c>
      <c r="AB1249" t="s">
        <v>96</v>
      </c>
      <c r="AC1249" t="s">
        <v>97</v>
      </c>
      <c r="AD1249" t="s">
        <v>1818</v>
      </c>
      <c r="AG1249" t="s">
        <v>1833</v>
      </c>
      <c r="AH1249">
        <v>0</v>
      </c>
      <c r="AI1249">
        <v>0</v>
      </c>
      <c r="AJ1249">
        <v>0</v>
      </c>
      <c r="AK1249">
        <v>0</v>
      </c>
      <c r="AL1249">
        <v>0</v>
      </c>
    </row>
    <row r="1250" spans="1:38" x14ac:dyDescent="0.3">
      <c r="A1250" t="s">
        <v>1813</v>
      </c>
      <c r="B1250">
        <v>12803</v>
      </c>
      <c r="C1250">
        <v>2</v>
      </c>
      <c r="D1250" t="s">
        <v>1829</v>
      </c>
      <c r="E1250" t="s">
        <v>1830</v>
      </c>
      <c r="F1250">
        <v>70</v>
      </c>
      <c r="G1250">
        <v>17.760000000000002</v>
      </c>
      <c r="H1250">
        <v>58.73</v>
      </c>
      <c r="I1250">
        <v>15.65</v>
      </c>
      <c r="J1250">
        <v>51.75</v>
      </c>
      <c r="K1250">
        <v>50</v>
      </c>
      <c r="T1250">
        <v>3</v>
      </c>
      <c r="U1250">
        <v>1</v>
      </c>
      <c r="V1250" t="s">
        <v>93</v>
      </c>
      <c r="W1250">
        <v>58</v>
      </c>
      <c r="X1250">
        <v>5</v>
      </c>
      <c r="Y1250">
        <v>5</v>
      </c>
      <c r="Z1250" t="s">
        <v>1831</v>
      </c>
      <c r="AA1250" t="s">
        <v>1832</v>
      </c>
      <c r="AB1250" t="s">
        <v>96</v>
      </c>
      <c r="AC1250" t="s">
        <v>97</v>
      </c>
      <c r="AD1250" t="s">
        <v>1818</v>
      </c>
      <c r="AG1250" t="s">
        <v>1833</v>
      </c>
      <c r="AH1250">
        <v>0</v>
      </c>
      <c r="AI1250">
        <v>0</v>
      </c>
      <c r="AJ1250">
        <v>0</v>
      </c>
      <c r="AK1250">
        <v>0</v>
      </c>
      <c r="AL1250">
        <v>0</v>
      </c>
    </row>
    <row r="1251" spans="1:38" x14ac:dyDescent="0.3">
      <c r="A1251" t="s">
        <v>1813</v>
      </c>
      <c r="B1251">
        <v>135315</v>
      </c>
      <c r="C1251">
        <v>1</v>
      </c>
      <c r="D1251" t="s">
        <v>1834</v>
      </c>
      <c r="E1251" t="s">
        <v>950</v>
      </c>
      <c r="F1251">
        <v>4</v>
      </c>
      <c r="G1251">
        <v>18.2</v>
      </c>
      <c r="H1251">
        <v>60.17</v>
      </c>
      <c r="I1251">
        <v>15.54</v>
      </c>
      <c r="J1251">
        <v>51.39</v>
      </c>
      <c r="K1251">
        <v>1</v>
      </c>
      <c r="T1251">
        <v>2</v>
      </c>
      <c r="U1251">
        <v>1</v>
      </c>
      <c r="V1251" t="s">
        <v>93</v>
      </c>
      <c r="W1251" t="s">
        <v>254</v>
      </c>
      <c r="X1251">
        <v>2</v>
      </c>
      <c r="Y1251">
        <v>2</v>
      </c>
      <c r="Z1251" t="s">
        <v>1835</v>
      </c>
      <c r="AA1251" t="s">
        <v>1836</v>
      </c>
      <c r="AB1251" t="s">
        <v>96</v>
      </c>
      <c r="AC1251" t="s">
        <v>97</v>
      </c>
      <c r="AD1251" t="s">
        <v>1818</v>
      </c>
      <c r="AG1251" t="s">
        <v>1837</v>
      </c>
      <c r="AH1251">
        <v>0</v>
      </c>
      <c r="AI1251">
        <v>499</v>
      </c>
      <c r="AJ1251">
        <v>59</v>
      </c>
      <c r="AK1251">
        <v>3</v>
      </c>
      <c r="AL1251">
        <v>0.75</v>
      </c>
    </row>
    <row r="1252" spans="1:38" x14ac:dyDescent="0.3">
      <c r="A1252" t="s">
        <v>1813</v>
      </c>
      <c r="B1252">
        <v>135315</v>
      </c>
      <c r="C1252">
        <v>2</v>
      </c>
      <c r="D1252" t="s">
        <v>1834</v>
      </c>
      <c r="E1252" t="s">
        <v>950</v>
      </c>
      <c r="F1252">
        <v>4</v>
      </c>
      <c r="G1252">
        <v>18.27</v>
      </c>
      <c r="H1252">
        <v>60.41</v>
      </c>
      <c r="I1252">
        <v>15.63</v>
      </c>
      <c r="J1252">
        <v>51.67</v>
      </c>
      <c r="K1252">
        <v>1</v>
      </c>
      <c r="T1252">
        <v>2</v>
      </c>
      <c r="U1252">
        <v>1</v>
      </c>
      <c r="V1252" t="s">
        <v>93</v>
      </c>
      <c r="W1252" t="s">
        <v>179</v>
      </c>
      <c r="X1252">
        <v>2</v>
      </c>
      <c r="Y1252">
        <v>2</v>
      </c>
      <c r="Z1252" t="s">
        <v>1835</v>
      </c>
      <c r="AA1252" t="s">
        <v>1836</v>
      </c>
      <c r="AB1252" t="s">
        <v>96</v>
      </c>
      <c r="AC1252" t="s">
        <v>97</v>
      </c>
      <c r="AD1252" t="s">
        <v>1818</v>
      </c>
      <c r="AG1252" t="s">
        <v>1837</v>
      </c>
      <c r="AH1252">
        <v>0</v>
      </c>
      <c r="AI1252">
        <v>499</v>
      </c>
      <c r="AJ1252">
        <v>59</v>
      </c>
      <c r="AK1252">
        <v>3</v>
      </c>
      <c r="AL1252">
        <v>0.75</v>
      </c>
    </row>
    <row r="1253" spans="1:38" x14ac:dyDescent="0.3">
      <c r="A1253" t="s">
        <v>1813</v>
      </c>
      <c r="B1253">
        <v>135315</v>
      </c>
      <c r="C1253">
        <v>3</v>
      </c>
      <c r="D1253" t="s">
        <v>1834</v>
      </c>
      <c r="E1253" t="s">
        <v>950</v>
      </c>
      <c r="F1253">
        <v>4</v>
      </c>
      <c r="G1253">
        <v>19.59</v>
      </c>
      <c r="H1253">
        <v>64.78</v>
      </c>
      <c r="I1253">
        <v>16.75</v>
      </c>
      <c r="J1253">
        <v>55.4</v>
      </c>
      <c r="K1253">
        <v>1</v>
      </c>
      <c r="T1253">
        <v>3</v>
      </c>
      <c r="U1253">
        <v>1</v>
      </c>
      <c r="V1253" t="s">
        <v>93</v>
      </c>
      <c r="W1253">
        <v>64</v>
      </c>
      <c r="X1253">
        <v>2</v>
      </c>
      <c r="Y1253">
        <v>2</v>
      </c>
      <c r="Z1253" t="s">
        <v>1835</v>
      </c>
      <c r="AA1253" t="s">
        <v>1836</v>
      </c>
      <c r="AB1253" t="s">
        <v>96</v>
      </c>
      <c r="AC1253" t="s">
        <v>97</v>
      </c>
      <c r="AD1253" t="s">
        <v>1818</v>
      </c>
      <c r="AG1253" t="s">
        <v>1837</v>
      </c>
      <c r="AH1253">
        <v>0</v>
      </c>
      <c r="AI1253">
        <v>499</v>
      </c>
      <c r="AJ1253">
        <v>59</v>
      </c>
      <c r="AK1253">
        <v>3</v>
      </c>
      <c r="AL1253">
        <v>0.75</v>
      </c>
    </row>
    <row r="1254" spans="1:38" x14ac:dyDescent="0.3">
      <c r="A1254" t="s">
        <v>1813</v>
      </c>
      <c r="B1254">
        <v>135315</v>
      </c>
      <c r="C1254">
        <v>4</v>
      </c>
      <c r="D1254" t="s">
        <v>1834</v>
      </c>
      <c r="E1254" t="s">
        <v>950</v>
      </c>
      <c r="F1254">
        <v>4</v>
      </c>
      <c r="G1254">
        <v>22.33</v>
      </c>
      <c r="H1254">
        <v>73.849999999999994</v>
      </c>
      <c r="I1254">
        <v>18.93</v>
      </c>
      <c r="J1254">
        <v>62.61</v>
      </c>
      <c r="K1254">
        <v>1</v>
      </c>
      <c r="T1254">
        <v>3</v>
      </c>
      <c r="U1254">
        <v>1</v>
      </c>
      <c r="V1254" t="s">
        <v>93</v>
      </c>
      <c r="W1254">
        <v>73</v>
      </c>
      <c r="X1254">
        <v>2</v>
      </c>
      <c r="Y1254">
        <v>2</v>
      </c>
      <c r="Z1254" t="s">
        <v>1835</v>
      </c>
      <c r="AA1254" t="s">
        <v>1836</v>
      </c>
      <c r="AB1254" t="s">
        <v>96</v>
      </c>
      <c r="AC1254" t="s">
        <v>97</v>
      </c>
      <c r="AD1254" t="s">
        <v>1818</v>
      </c>
      <c r="AG1254" t="s">
        <v>1837</v>
      </c>
      <c r="AH1254">
        <v>0</v>
      </c>
      <c r="AI1254">
        <v>499</v>
      </c>
      <c r="AJ1254">
        <v>59</v>
      </c>
      <c r="AK1254">
        <v>3</v>
      </c>
      <c r="AL1254">
        <v>0.75</v>
      </c>
    </row>
    <row r="1255" spans="1:38" x14ac:dyDescent="0.3">
      <c r="A1255" t="s">
        <v>1813</v>
      </c>
      <c r="B1255">
        <v>120429</v>
      </c>
      <c r="C1255">
        <v>1</v>
      </c>
      <c r="D1255" t="s">
        <v>1838</v>
      </c>
      <c r="E1255" t="s">
        <v>391</v>
      </c>
      <c r="F1255">
        <v>16</v>
      </c>
      <c r="G1255">
        <v>21.58</v>
      </c>
      <c r="H1255">
        <v>71.349999999999994</v>
      </c>
      <c r="I1255">
        <v>17</v>
      </c>
      <c r="J1255">
        <v>56.2</v>
      </c>
      <c r="K1255">
        <v>4</v>
      </c>
      <c r="T1255">
        <v>3</v>
      </c>
      <c r="U1255">
        <v>1</v>
      </c>
      <c r="V1255" t="s">
        <v>93</v>
      </c>
      <c r="W1255">
        <v>71</v>
      </c>
      <c r="X1255">
        <v>15</v>
      </c>
      <c r="Y1255">
        <v>15</v>
      </c>
      <c r="Z1255" t="s">
        <v>1839</v>
      </c>
      <c r="AA1255" t="s">
        <v>1840</v>
      </c>
      <c r="AB1255" t="s">
        <v>96</v>
      </c>
      <c r="AC1255" t="s">
        <v>97</v>
      </c>
      <c r="AD1255" t="s">
        <v>1818</v>
      </c>
      <c r="AG1255" t="s">
        <v>1841</v>
      </c>
      <c r="AH1255">
        <v>0</v>
      </c>
      <c r="AI1255">
        <v>820</v>
      </c>
      <c r="AJ1255">
        <v>69</v>
      </c>
      <c r="AK1255">
        <v>13</v>
      </c>
      <c r="AL1255">
        <v>0.81</v>
      </c>
    </row>
    <row r="1256" spans="1:38" x14ac:dyDescent="0.3">
      <c r="A1256" t="s">
        <v>1813</v>
      </c>
      <c r="B1256">
        <v>120429</v>
      </c>
      <c r="C1256">
        <v>2</v>
      </c>
      <c r="D1256" t="s">
        <v>1838</v>
      </c>
      <c r="E1256" t="s">
        <v>391</v>
      </c>
      <c r="F1256">
        <v>16</v>
      </c>
      <c r="G1256">
        <v>22.96</v>
      </c>
      <c r="H1256">
        <v>75.930000000000007</v>
      </c>
      <c r="I1256">
        <v>18.13</v>
      </c>
      <c r="J1256">
        <v>59.95</v>
      </c>
      <c r="K1256">
        <v>8</v>
      </c>
      <c r="T1256">
        <v>3</v>
      </c>
      <c r="U1256">
        <v>1</v>
      </c>
      <c r="V1256" t="s">
        <v>93</v>
      </c>
      <c r="W1256" t="s">
        <v>882</v>
      </c>
      <c r="X1256">
        <v>15</v>
      </c>
      <c r="Y1256">
        <v>15</v>
      </c>
      <c r="Z1256" t="s">
        <v>1839</v>
      </c>
      <c r="AA1256" t="s">
        <v>1840</v>
      </c>
      <c r="AB1256" t="s">
        <v>96</v>
      </c>
      <c r="AC1256" t="s">
        <v>97</v>
      </c>
      <c r="AD1256" t="s">
        <v>1818</v>
      </c>
      <c r="AG1256" t="s">
        <v>1841</v>
      </c>
      <c r="AH1256">
        <v>0</v>
      </c>
      <c r="AI1256">
        <v>820</v>
      </c>
      <c r="AJ1256">
        <v>69</v>
      </c>
      <c r="AK1256">
        <v>13</v>
      </c>
      <c r="AL1256">
        <v>0.81</v>
      </c>
    </row>
    <row r="1257" spans="1:38" x14ac:dyDescent="0.3">
      <c r="A1257" t="s">
        <v>1813</v>
      </c>
      <c r="B1257">
        <v>120429</v>
      </c>
      <c r="C1257">
        <v>3</v>
      </c>
      <c r="D1257" t="s">
        <v>1838</v>
      </c>
      <c r="E1257" t="s">
        <v>391</v>
      </c>
      <c r="F1257">
        <v>16</v>
      </c>
      <c r="G1257">
        <v>23.08</v>
      </c>
      <c r="H1257">
        <v>76.33</v>
      </c>
      <c r="I1257">
        <v>18.14</v>
      </c>
      <c r="J1257">
        <v>59.99</v>
      </c>
      <c r="K1257">
        <v>4</v>
      </c>
      <c r="T1257">
        <v>3</v>
      </c>
      <c r="U1257">
        <v>1</v>
      </c>
      <c r="V1257" t="s">
        <v>93</v>
      </c>
      <c r="W1257" t="s">
        <v>1126</v>
      </c>
      <c r="X1257">
        <v>15</v>
      </c>
      <c r="Y1257">
        <v>15</v>
      </c>
      <c r="Z1257" t="s">
        <v>1839</v>
      </c>
      <c r="AA1257" t="s">
        <v>1840</v>
      </c>
      <c r="AB1257" t="s">
        <v>96</v>
      </c>
      <c r="AC1257" t="s">
        <v>97</v>
      </c>
      <c r="AD1257" t="s">
        <v>1818</v>
      </c>
      <c r="AG1257" t="s">
        <v>1841</v>
      </c>
      <c r="AH1257">
        <v>0</v>
      </c>
      <c r="AI1257">
        <v>820</v>
      </c>
      <c r="AJ1257">
        <v>69</v>
      </c>
      <c r="AK1257">
        <v>13</v>
      </c>
      <c r="AL1257">
        <v>0.81</v>
      </c>
    </row>
    <row r="1258" spans="1:38" x14ac:dyDescent="0.3">
      <c r="A1258" t="s">
        <v>1813</v>
      </c>
      <c r="B1258">
        <v>141321</v>
      </c>
      <c r="C1258">
        <v>1</v>
      </c>
      <c r="D1258" t="s">
        <v>1842</v>
      </c>
      <c r="E1258" t="s">
        <v>375</v>
      </c>
      <c r="F1258">
        <v>10</v>
      </c>
      <c r="G1258">
        <v>20.239999999999998</v>
      </c>
      <c r="H1258">
        <v>66.94</v>
      </c>
      <c r="I1258">
        <v>17.170000000000002</v>
      </c>
      <c r="J1258">
        <v>56.79</v>
      </c>
      <c r="K1258">
        <v>1</v>
      </c>
      <c r="T1258">
        <v>3</v>
      </c>
      <c r="U1258">
        <v>1</v>
      </c>
      <c r="V1258" t="s">
        <v>93</v>
      </c>
      <c r="W1258">
        <v>66</v>
      </c>
      <c r="X1258">
        <v>7</v>
      </c>
      <c r="Y1258">
        <v>7</v>
      </c>
      <c r="Z1258" t="s">
        <v>1843</v>
      </c>
      <c r="AA1258" t="s">
        <v>1844</v>
      </c>
      <c r="AB1258" t="s">
        <v>96</v>
      </c>
      <c r="AC1258" t="s">
        <v>97</v>
      </c>
      <c r="AD1258" t="s">
        <v>1818</v>
      </c>
      <c r="AG1258" t="s">
        <v>1845</v>
      </c>
      <c r="AH1258">
        <v>0</v>
      </c>
      <c r="AI1258">
        <v>275</v>
      </c>
      <c r="AJ1258">
        <v>59</v>
      </c>
      <c r="AK1258">
        <v>9</v>
      </c>
      <c r="AL1258">
        <v>0.9</v>
      </c>
    </row>
    <row r="1259" spans="1:38" x14ac:dyDescent="0.3">
      <c r="A1259" t="s">
        <v>1813</v>
      </c>
      <c r="B1259">
        <v>141321</v>
      </c>
      <c r="C1259">
        <v>2</v>
      </c>
      <c r="D1259" t="s">
        <v>1842</v>
      </c>
      <c r="E1259" t="s">
        <v>375</v>
      </c>
      <c r="F1259">
        <v>10</v>
      </c>
      <c r="G1259">
        <v>22.84</v>
      </c>
      <c r="H1259">
        <v>75.52</v>
      </c>
      <c r="I1259">
        <v>19.38</v>
      </c>
      <c r="J1259">
        <v>64.09</v>
      </c>
      <c r="K1259">
        <v>8</v>
      </c>
      <c r="T1259">
        <v>3</v>
      </c>
      <c r="U1259">
        <v>1</v>
      </c>
      <c r="V1259" t="s">
        <v>93</v>
      </c>
      <c r="W1259">
        <v>75</v>
      </c>
      <c r="X1259">
        <v>7</v>
      </c>
      <c r="Y1259">
        <v>7</v>
      </c>
      <c r="Z1259" t="s">
        <v>1843</v>
      </c>
      <c r="AA1259" t="s">
        <v>1844</v>
      </c>
      <c r="AB1259" t="s">
        <v>96</v>
      </c>
      <c r="AC1259" t="s">
        <v>97</v>
      </c>
      <c r="AD1259" t="s">
        <v>1818</v>
      </c>
      <c r="AG1259" t="s">
        <v>1845</v>
      </c>
      <c r="AH1259">
        <v>0</v>
      </c>
      <c r="AI1259">
        <v>275</v>
      </c>
      <c r="AJ1259">
        <v>59</v>
      </c>
      <c r="AK1259">
        <v>9</v>
      </c>
      <c r="AL1259">
        <v>0.9</v>
      </c>
    </row>
    <row r="1260" spans="1:38" x14ac:dyDescent="0.3">
      <c r="A1260" t="s">
        <v>1813</v>
      </c>
      <c r="B1260">
        <v>141321</v>
      </c>
      <c r="C1260">
        <v>3</v>
      </c>
      <c r="D1260" t="s">
        <v>1842</v>
      </c>
      <c r="E1260" t="s">
        <v>375</v>
      </c>
      <c r="F1260">
        <v>10</v>
      </c>
      <c r="G1260">
        <v>25.45</v>
      </c>
      <c r="H1260">
        <v>84.15</v>
      </c>
      <c r="I1260">
        <v>21.59</v>
      </c>
      <c r="J1260">
        <v>71.39</v>
      </c>
      <c r="K1260">
        <v>1</v>
      </c>
      <c r="T1260">
        <v>3</v>
      </c>
      <c r="U1260">
        <v>2</v>
      </c>
      <c r="V1260" t="s">
        <v>93</v>
      </c>
      <c r="W1260">
        <v>84</v>
      </c>
      <c r="X1260">
        <v>7</v>
      </c>
      <c r="Y1260">
        <v>7</v>
      </c>
      <c r="Z1260" t="s">
        <v>1843</v>
      </c>
      <c r="AA1260" t="s">
        <v>1844</v>
      </c>
      <c r="AB1260" t="s">
        <v>96</v>
      </c>
      <c r="AC1260" t="s">
        <v>97</v>
      </c>
      <c r="AD1260" t="s">
        <v>1818</v>
      </c>
      <c r="AG1260" t="s">
        <v>1845</v>
      </c>
      <c r="AH1260">
        <v>0</v>
      </c>
      <c r="AI1260">
        <v>275</v>
      </c>
      <c r="AJ1260">
        <v>59</v>
      </c>
      <c r="AK1260">
        <v>9</v>
      </c>
      <c r="AL1260">
        <v>0.9</v>
      </c>
    </row>
    <row r="1261" spans="1:38" x14ac:dyDescent="0.3">
      <c r="A1261" t="s">
        <v>1813</v>
      </c>
      <c r="B1261">
        <v>124328</v>
      </c>
      <c r="C1261">
        <v>1</v>
      </c>
      <c r="D1261" t="s">
        <v>1846</v>
      </c>
      <c r="E1261" t="s">
        <v>1847</v>
      </c>
      <c r="F1261">
        <v>864</v>
      </c>
      <c r="G1261">
        <v>25.37</v>
      </c>
      <c r="H1261">
        <v>83.89</v>
      </c>
      <c r="I1261">
        <v>18.12</v>
      </c>
      <c r="J1261">
        <v>59.91</v>
      </c>
      <c r="K1261">
        <v>70</v>
      </c>
      <c r="T1261">
        <v>3</v>
      </c>
      <c r="U1261">
        <v>2</v>
      </c>
      <c r="V1261" t="s">
        <v>93</v>
      </c>
      <c r="W1261">
        <v>83</v>
      </c>
      <c r="X1261">
        <v>44</v>
      </c>
      <c r="Y1261">
        <v>42</v>
      </c>
      <c r="Z1261" t="s">
        <v>1848</v>
      </c>
      <c r="AA1261" t="s">
        <v>1849</v>
      </c>
      <c r="AB1261" t="s">
        <v>96</v>
      </c>
      <c r="AC1261" t="s">
        <v>97</v>
      </c>
      <c r="AD1261" t="s">
        <v>1818</v>
      </c>
      <c r="AG1261" t="s">
        <v>285</v>
      </c>
      <c r="AH1261">
        <v>0</v>
      </c>
      <c r="AI1261">
        <v>799</v>
      </c>
      <c r="AJ1261">
        <v>69</v>
      </c>
      <c r="AK1261">
        <v>1044</v>
      </c>
      <c r="AL1261">
        <v>1.21</v>
      </c>
    </row>
    <row r="1262" spans="1:38" x14ac:dyDescent="0.3">
      <c r="A1262" t="s">
        <v>1813</v>
      </c>
      <c r="B1262">
        <v>124328</v>
      </c>
      <c r="C1262">
        <v>2</v>
      </c>
      <c r="D1262" t="s">
        <v>1846</v>
      </c>
      <c r="E1262" t="s">
        <v>1847</v>
      </c>
      <c r="F1262">
        <v>864</v>
      </c>
      <c r="G1262">
        <v>30.74</v>
      </c>
      <c r="H1262">
        <v>101.64</v>
      </c>
      <c r="I1262">
        <v>21.46</v>
      </c>
      <c r="J1262">
        <v>70.95</v>
      </c>
      <c r="K1262">
        <v>218</v>
      </c>
      <c r="T1262">
        <v>3</v>
      </c>
      <c r="U1262">
        <v>2</v>
      </c>
      <c r="V1262" t="s">
        <v>93</v>
      </c>
      <c r="W1262">
        <v>101</v>
      </c>
      <c r="X1262">
        <v>44</v>
      </c>
      <c r="Y1262">
        <v>42</v>
      </c>
      <c r="Z1262" t="s">
        <v>1848</v>
      </c>
      <c r="AA1262" t="s">
        <v>1849</v>
      </c>
      <c r="AB1262" t="s">
        <v>96</v>
      </c>
      <c r="AC1262" t="s">
        <v>97</v>
      </c>
      <c r="AD1262" t="s">
        <v>1818</v>
      </c>
      <c r="AG1262" t="s">
        <v>285</v>
      </c>
      <c r="AH1262">
        <v>0</v>
      </c>
      <c r="AI1262">
        <v>799</v>
      </c>
      <c r="AJ1262">
        <v>69</v>
      </c>
      <c r="AK1262">
        <v>1044</v>
      </c>
      <c r="AL1262">
        <v>1.21</v>
      </c>
    </row>
    <row r="1263" spans="1:38" x14ac:dyDescent="0.3">
      <c r="A1263" t="s">
        <v>1813</v>
      </c>
      <c r="B1263">
        <v>124328</v>
      </c>
      <c r="C1263">
        <v>3</v>
      </c>
      <c r="D1263" t="s">
        <v>1846</v>
      </c>
      <c r="E1263" t="s">
        <v>1847</v>
      </c>
      <c r="F1263">
        <v>864</v>
      </c>
      <c r="G1263">
        <v>32.25</v>
      </c>
      <c r="H1263">
        <v>106.62</v>
      </c>
      <c r="I1263">
        <v>23.14</v>
      </c>
      <c r="J1263">
        <v>76.52</v>
      </c>
      <c r="K1263">
        <v>288</v>
      </c>
      <c r="T1263">
        <v>3</v>
      </c>
      <c r="U1263">
        <v>2</v>
      </c>
      <c r="V1263" t="s">
        <v>93</v>
      </c>
      <c r="W1263">
        <v>106</v>
      </c>
      <c r="X1263">
        <v>44</v>
      </c>
      <c r="Y1263">
        <v>42</v>
      </c>
      <c r="Z1263" t="s">
        <v>1848</v>
      </c>
      <c r="AA1263" t="s">
        <v>1849</v>
      </c>
      <c r="AB1263" t="s">
        <v>96</v>
      </c>
      <c r="AC1263" t="s">
        <v>97</v>
      </c>
      <c r="AD1263" t="s">
        <v>1818</v>
      </c>
      <c r="AG1263" t="s">
        <v>285</v>
      </c>
      <c r="AH1263">
        <v>0</v>
      </c>
      <c r="AI1263">
        <v>799</v>
      </c>
      <c r="AJ1263">
        <v>69</v>
      </c>
      <c r="AK1263">
        <v>1044</v>
      </c>
      <c r="AL1263">
        <v>1.21</v>
      </c>
    </row>
    <row r="1264" spans="1:38" x14ac:dyDescent="0.3">
      <c r="A1264" t="s">
        <v>1813</v>
      </c>
      <c r="B1264">
        <v>124328</v>
      </c>
      <c r="C1264">
        <v>4</v>
      </c>
      <c r="D1264" t="s">
        <v>1846</v>
      </c>
      <c r="E1264" t="s">
        <v>1847</v>
      </c>
      <c r="F1264">
        <v>864</v>
      </c>
      <c r="G1264">
        <v>35.35</v>
      </c>
      <c r="H1264">
        <v>116.87</v>
      </c>
      <c r="I1264">
        <v>25.6</v>
      </c>
      <c r="J1264">
        <v>84.65</v>
      </c>
      <c r="K1264">
        <v>72</v>
      </c>
      <c r="T1264">
        <v>3</v>
      </c>
      <c r="U1264">
        <v>2</v>
      </c>
      <c r="V1264" t="s">
        <v>93</v>
      </c>
      <c r="W1264" t="s">
        <v>1850</v>
      </c>
      <c r="X1264">
        <v>44</v>
      </c>
      <c r="Y1264">
        <v>42</v>
      </c>
      <c r="Z1264" t="s">
        <v>1848</v>
      </c>
      <c r="AA1264" t="s">
        <v>1849</v>
      </c>
      <c r="AB1264" t="s">
        <v>96</v>
      </c>
      <c r="AC1264" t="s">
        <v>97</v>
      </c>
      <c r="AD1264" t="s">
        <v>1818</v>
      </c>
      <c r="AG1264" t="s">
        <v>285</v>
      </c>
      <c r="AH1264">
        <v>0</v>
      </c>
      <c r="AI1264">
        <v>799</v>
      </c>
      <c r="AJ1264">
        <v>69</v>
      </c>
      <c r="AK1264">
        <v>1044</v>
      </c>
      <c r="AL1264">
        <v>1.21</v>
      </c>
    </row>
    <row r="1265" spans="1:38" x14ac:dyDescent="0.3">
      <c r="A1265" t="s">
        <v>1813</v>
      </c>
      <c r="B1265">
        <v>124328</v>
      </c>
      <c r="C1265">
        <v>5</v>
      </c>
      <c r="D1265" t="s">
        <v>1846</v>
      </c>
      <c r="E1265" t="s">
        <v>1847</v>
      </c>
      <c r="F1265">
        <v>864</v>
      </c>
      <c r="G1265">
        <v>35.619999999999997</v>
      </c>
      <c r="H1265">
        <v>117.78</v>
      </c>
      <c r="I1265">
        <v>25.63</v>
      </c>
      <c r="J1265">
        <v>84.73</v>
      </c>
      <c r="K1265">
        <v>70</v>
      </c>
      <c r="T1265">
        <v>3</v>
      </c>
      <c r="U1265">
        <v>2</v>
      </c>
      <c r="V1265" t="s">
        <v>93</v>
      </c>
      <c r="W1265" t="s">
        <v>1228</v>
      </c>
      <c r="X1265">
        <v>44</v>
      </c>
      <c r="Y1265">
        <v>42</v>
      </c>
      <c r="Z1265" t="s">
        <v>1848</v>
      </c>
      <c r="AA1265" t="s">
        <v>1849</v>
      </c>
      <c r="AB1265" t="s">
        <v>96</v>
      </c>
      <c r="AC1265" t="s">
        <v>97</v>
      </c>
      <c r="AD1265" t="s">
        <v>1818</v>
      </c>
      <c r="AG1265" t="s">
        <v>285</v>
      </c>
      <c r="AH1265">
        <v>0</v>
      </c>
      <c r="AI1265">
        <v>799</v>
      </c>
      <c r="AJ1265">
        <v>69</v>
      </c>
      <c r="AK1265">
        <v>1044</v>
      </c>
      <c r="AL1265">
        <v>1.21</v>
      </c>
    </row>
    <row r="1266" spans="1:38" x14ac:dyDescent="0.3">
      <c r="A1266" t="s">
        <v>1813</v>
      </c>
      <c r="B1266">
        <v>124328</v>
      </c>
      <c r="C1266">
        <v>6</v>
      </c>
      <c r="D1266" t="s">
        <v>1846</v>
      </c>
      <c r="E1266" t="s">
        <v>1847</v>
      </c>
      <c r="F1266">
        <v>864</v>
      </c>
      <c r="G1266">
        <v>35.630000000000003</v>
      </c>
      <c r="H1266">
        <v>117.8</v>
      </c>
      <c r="I1266">
        <v>25.68</v>
      </c>
      <c r="J1266">
        <v>84.92</v>
      </c>
      <c r="K1266">
        <v>70</v>
      </c>
      <c r="T1266">
        <v>3</v>
      </c>
      <c r="U1266">
        <v>2</v>
      </c>
      <c r="V1266" t="s">
        <v>93</v>
      </c>
      <c r="W1266" t="s">
        <v>1229</v>
      </c>
      <c r="X1266">
        <v>44</v>
      </c>
      <c r="Y1266">
        <v>42</v>
      </c>
      <c r="Z1266" t="s">
        <v>1848</v>
      </c>
      <c r="AA1266" t="s">
        <v>1849</v>
      </c>
      <c r="AB1266" t="s">
        <v>96</v>
      </c>
      <c r="AC1266" t="s">
        <v>97</v>
      </c>
      <c r="AD1266" t="s">
        <v>1818</v>
      </c>
      <c r="AG1266" t="s">
        <v>285</v>
      </c>
      <c r="AH1266">
        <v>0</v>
      </c>
      <c r="AI1266">
        <v>799</v>
      </c>
      <c r="AJ1266">
        <v>69</v>
      </c>
      <c r="AK1266">
        <v>1044</v>
      </c>
      <c r="AL1266">
        <v>1.21</v>
      </c>
    </row>
    <row r="1267" spans="1:38" x14ac:dyDescent="0.3">
      <c r="A1267" t="s">
        <v>1813</v>
      </c>
      <c r="B1267">
        <v>124328</v>
      </c>
      <c r="C1267">
        <v>7</v>
      </c>
      <c r="D1267" t="s">
        <v>1846</v>
      </c>
      <c r="E1267" t="s">
        <v>1847</v>
      </c>
      <c r="F1267">
        <v>864</v>
      </c>
      <c r="G1267">
        <v>41</v>
      </c>
      <c r="H1267">
        <v>135.56</v>
      </c>
      <c r="I1267">
        <v>29.88</v>
      </c>
      <c r="J1267">
        <v>98.79</v>
      </c>
      <c r="K1267">
        <v>72</v>
      </c>
      <c r="T1267">
        <v>4</v>
      </c>
      <c r="U1267">
        <v>2</v>
      </c>
      <c r="V1267" t="s">
        <v>93</v>
      </c>
      <c r="W1267">
        <v>135</v>
      </c>
      <c r="X1267">
        <v>44</v>
      </c>
      <c r="Y1267">
        <v>42</v>
      </c>
      <c r="Z1267" t="s">
        <v>1848</v>
      </c>
      <c r="AA1267" t="s">
        <v>1849</v>
      </c>
      <c r="AB1267" t="s">
        <v>96</v>
      </c>
      <c r="AC1267" t="s">
        <v>97</v>
      </c>
      <c r="AD1267" t="s">
        <v>1818</v>
      </c>
      <c r="AG1267" t="s">
        <v>285</v>
      </c>
      <c r="AH1267">
        <v>0</v>
      </c>
      <c r="AI1267">
        <v>799</v>
      </c>
      <c r="AJ1267">
        <v>69</v>
      </c>
      <c r="AK1267">
        <v>1044</v>
      </c>
      <c r="AL1267">
        <v>1.21</v>
      </c>
    </row>
    <row r="1268" spans="1:38" x14ac:dyDescent="0.3">
      <c r="A1268" t="s">
        <v>1813</v>
      </c>
      <c r="B1268">
        <v>124328</v>
      </c>
      <c r="C1268">
        <v>8</v>
      </c>
      <c r="D1268" t="s">
        <v>1846</v>
      </c>
      <c r="E1268" t="s">
        <v>1847</v>
      </c>
      <c r="F1268">
        <v>864</v>
      </c>
      <c r="G1268">
        <v>59.18</v>
      </c>
      <c r="H1268">
        <v>195.65</v>
      </c>
      <c r="I1268">
        <v>42.44</v>
      </c>
      <c r="J1268">
        <v>140.32</v>
      </c>
      <c r="K1268">
        <v>2</v>
      </c>
      <c r="T1268">
        <v>4</v>
      </c>
      <c r="U1268">
        <v>3</v>
      </c>
      <c r="V1268" t="s">
        <v>93</v>
      </c>
      <c r="W1268">
        <v>195</v>
      </c>
      <c r="X1268">
        <v>44</v>
      </c>
      <c r="Y1268">
        <v>42</v>
      </c>
      <c r="Z1268" t="s">
        <v>1848</v>
      </c>
      <c r="AA1268" t="s">
        <v>1849</v>
      </c>
      <c r="AB1268" t="s">
        <v>96</v>
      </c>
      <c r="AC1268" t="s">
        <v>97</v>
      </c>
      <c r="AD1268" t="s">
        <v>1818</v>
      </c>
      <c r="AG1268" t="s">
        <v>285</v>
      </c>
      <c r="AH1268">
        <v>0</v>
      </c>
      <c r="AI1268">
        <v>799</v>
      </c>
      <c r="AJ1268">
        <v>69</v>
      </c>
      <c r="AK1268">
        <v>1044</v>
      </c>
      <c r="AL1268">
        <v>1.21</v>
      </c>
    </row>
    <row r="1269" spans="1:38" x14ac:dyDescent="0.3">
      <c r="A1269" t="s">
        <v>1813</v>
      </c>
      <c r="B1269">
        <v>124328</v>
      </c>
      <c r="C1269">
        <v>9</v>
      </c>
      <c r="D1269" t="s">
        <v>1846</v>
      </c>
      <c r="E1269" t="s">
        <v>1847</v>
      </c>
      <c r="F1269">
        <v>864</v>
      </c>
      <c r="G1269">
        <v>62.14</v>
      </c>
      <c r="H1269">
        <v>205.43</v>
      </c>
      <c r="I1269">
        <v>44.72</v>
      </c>
      <c r="J1269">
        <v>147.86000000000001</v>
      </c>
      <c r="K1269">
        <v>2</v>
      </c>
      <c r="T1269">
        <v>4</v>
      </c>
      <c r="U1269">
        <v>3</v>
      </c>
      <c r="V1269" t="s">
        <v>93</v>
      </c>
      <c r="W1269">
        <v>205</v>
      </c>
      <c r="X1269">
        <v>44</v>
      </c>
      <c r="Y1269">
        <v>42</v>
      </c>
      <c r="Z1269" t="s">
        <v>1848</v>
      </c>
      <c r="AA1269" t="s">
        <v>1849</v>
      </c>
      <c r="AB1269" t="s">
        <v>96</v>
      </c>
      <c r="AC1269" t="s">
        <v>97</v>
      </c>
      <c r="AD1269" t="s">
        <v>1818</v>
      </c>
      <c r="AG1269" t="s">
        <v>285</v>
      </c>
      <c r="AH1269">
        <v>0</v>
      </c>
      <c r="AI1269">
        <v>799</v>
      </c>
      <c r="AJ1269">
        <v>69</v>
      </c>
      <c r="AK1269">
        <v>1044</v>
      </c>
      <c r="AL1269">
        <v>1.21</v>
      </c>
    </row>
    <row r="1270" spans="1:38" x14ac:dyDescent="0.3">
      <c r="A1270" t="s">
        <v>1813</v>
      </c>
      <c r="B1270">
        <v>124678</v>
      </c>
      <c r="C1270">
        <v>1</v>
      </c>
      <c r="D1270" t="s">
        <v>1851</v>
      </c>
      <c r="E1270" t="s">
        <v>1668</v>
      </c>
      <c r="F1270">
        <v>12</v>
      </c>
      <c r="G1270">
        <v>16.03</v>
      </c>
      <c r="H1270">
        <v>53</v>
      </c>
      <c r="I1270">
        <v>14.7</v>
      </c>
      <c r="J1270">
        <v>48.62</v>
      </c>
      <c r="K1270">
        <v>6</v>
      </c>
      <c r="T1270">
        <v>2</v>
      </c>
      <c r="U1270">
        <v>1</v>
      </c>
      <c r="V1270" t="s">
        <v>93</v>
      </c>
      <c r="W1270" t="s">
        <v>1269</v>
      </c>
      <c r="X1270">
        <v>14</v>
      </c>
      <c r="Y1270">
        <v>14</v>
      </c>
      <c r="Z1270" t="s">
        <v>1852</v>
      </c>
      <c r="AA1270" t="s">
        <v>1853</v>
      </c>
      <c r="AB1270" t="s">
        <v>96</v>
      </c>
      <c r="AC1270" t="s">
        <v>97</v>
      </c>
      <c r="AD1270" t="s">
        <v>1818</v>
      </c>
      <c r="AG1270" t="s">
        <v>1854</v>
      </c>
      <c r="AH1270">
        <v>0</v>
      </c>
      <c r="AI1270">
        <v>479</v>
      </c>
      <c r="AJ1270">
        <v>44</v>
      </c>
      <c r="AK1270">
        <v>12</v>
      </c>
      <c r="AL1270">
        <v>1</v>
      </c>
    </row>
    <row r="1271" spans="1:38" x14ac:dyDescent="0.3">
      <c r="A1271" t="s">
        <v>1813</v>
      </c>
      <c r="B1271">
        <v>124678</v>
      </c>
      <c r="C1271">
        <v>2</v>
      </c>
      <c r="D1271" t="s">
        <v>1851</v>
      </c>
      <c r="E1271" t="s">
        <v>1668</v>
      </c>
      <c r="F1271">
        <v>12</v>
      </c>
      <c r="G1271">
        <v>16.170000000000002</v>
      </c>
      <c r="H1271">
        <v>53.48</v>
      </c>
      <c r="I1271">
        <v>14.84</v>
      </c>
      <c r="J1271">
        <v>49.06</v>
      </c>
      <c r="K1271">
        <v>6</v>
      </c>
      <c r="T1271">
        <v>2</v>
      </c>
      <c r="U1271">
        <v>1</v>
      </c>
      <c r="V1271" t="s">
        <v>93</v>
      </c>
      <c r="W1271" t="s">
        <v>1273</v>
      </c>
      <c r="X1271">
        <v>14</v>
      </c>
      <c r="Y1271">
        <v>14</v>
      </c>
      <c r="Z1271" t="s">
        <v>1852</v>
      </c>
      <c r="AA1271" t="s">
        <v>1853</v>
      </c>
      <c r="AB1271" t="s">
        <v>96</v>
      </c>
      <c r="AC1271" t="s">
        <v>97</v>
      </c>
      <c r="AD1271" t="s">
        <v>1818</v>
      </c>
      <c r="AG1271" t="s">
        <v>1854</v>
      </c>
      <c r="AH1271">
        <v>0</v>
      </c>
      <c r="AI1271">
        <v>479</v>
      </c>
      <c r="AJ1271">
        <v>44</v>
      </c>
      <c r="AK1271">
        <v>12</v>
      </c>
      <c r="AL1271">
        <v>1</v>
      </c>
    </row>
    <row r="1272" spans="1:38" x14ac:dyDescent="0.3">
      <c r="A1272" t="s">
        <v>1813</v>
      </c>
      <c r="B1272">
        <v>130035</v>
      </c>
      <c r="C1272">
        <v>1</v>
      </c>
      <c r="D1272" t="s">
        <v>1855</v>
      </c>
      <c r="E1272" t="s">
        <v>1668</v>
      </c>
      <c r="F1272">
        <v>52</v>
      </c>
      <c r="G1272">
        <v>18.88</v>
      </c>
      <c r="H1272">
        <v>62.44</v>
      </c>
      <c r="I1272">
        <v>14.85</v>
      </c>
      <c r="J1272">
        <v>49.11</v>
      </c>
      <c r="K1272">
        <v>13</v>
      </c>
      <c r="T1272">
        <v>3</v>
      </c>
      <c r="U1272">
        <v>1</v>
      </c>
      <c r="V1272" t="s">
        <v>93</v>
      </c>
      <c r="W1272" t="s">
        <v>463</v>
      </c>
      <c r="X1272">
        <v>14</v>
      </c>
      <c r="Y1272">
        <v>14</v>
      </c>
      <c r="Z1272" t="s">
        <v>1856</v>
      </c>
      <c r="AA1272" t="s">
        <v>1857</v>
      </c>
      <c r="AB1272" t="s">
        <v>96</v>
      </c>
      <c r="AC1272" t="s">
        <v>97</v>
      </c>
      <c r="AD1272" t="s">
        <v>1818</v>
      </c>
      <c r="AG1272" t="s">
        <v>1858</v>
      </c>
      <c r="AH1272">
        <v>0</v>
      </c>
      <c r="AI1272">
        <v>686</v>
      </c>
      <c r="AJ1272">
        <v>63</v>
      </c>
      <c r="AK1272">
        <v>39</v>
      </c>
      <c r="AL1272">
        <v>0.75</v>
      </c>
    </row>
    <row r="1273" spans="1:38" x14ac:dyDescent="0.3">
      <c r="A1273" t="s">
        <v>1813</v>
      </c>
      <c r="B1273">
        <v>130035</v>
      </c>
      <c r="C1273">
        <v>2</v>
      </c>
      <c r="D1273" t="s">
        <v>1855</v>
      </c>
      <c r="E1273" t="s">
        <v>1668</v>
      </c>
      <c r="F1273">
        <v>52</v>
      </c>
      <c r="G1273">
        <v>18.96</v>
      </c>
      <c r="H1273">
        <v>62.71</v>
      </c>
      <c r="I1273">
        <v>14.91</v>
      </c>
      <c r="J1273">
        <v>49.31</v>
      </c>
      <c r="K1273">
        <v>13</v>
      </c>
      <c r="T1273">
        <v>3</v>
      </c>
      <c r="U1273">
        <v>1</v>
      </c>
      <c r="V1273" t="s">
        <v>93</v>
      </c>
      <c r="W1273" t="s">
        <v>255</v>
      </c>
      <c r="X1273">
        <v>14</v>
      </c>
      <c r="Y1273">
        <v>14</v>
      </c>
      <c r="Z1273" t="s">
        <v>1856</v>
      </c>
      <c r="AA1273" t="s">
        <v>1857</v>
      </c>
      <c r="AB1273" t="s">
        <v>96</v>
      </c>
      <c r="AC1273" t="s">
        <v>97</v>
      </c>
      <c r="AD1273" t="s">
        <v>1818</v>
      </c>
      <c r="AG1273" t="s">
        <v>1858</v>
      </c>
      <c r="AH1273">
        <v>0</v>
      </c>
      <c r="AI1273">
        <v>686</v>
      </c>
      <c r="AJ1273">
        <v>63</v>
      </c>
      <c r="AK1273">
        <v>39</v>
      </c>
      <c r="AL1273">
        <v>0.75</v>
      </c>
    </row>
    <row r="1274" spans="1:38" x14ac:dyDescent="0.3">
      <c r="A1274" t="s">
        <v>1813</v>
      </c>
      <c r="B1274">
        <v>130035</v>
      </c>
      <c r="C1274">
        <v>3</v>
      </c>
      <c r="D1274" t="s">
        <v>1855</v>
      </c>
      <c r="E1274" t="s">
        <v>1668</v>
      </c>
      <c r="F1274">
        <v>52</v>
      </c>
      <c r="G1274">
        <v>19.18</v>
      </c>
      <c r="H1274">
        <v>63.43</v>
      </c>
      <c r="I1274">
        <v>15.1</v>
      </c>
      <c r="J1274">
        <v>49.95</v>
      </c>
      <c r="K1274">
        <v>13</v>
      </c>
      <c r="T1274">
        <v>3</v>
      </c>
      <c r="U1274">
        <v>1</v>
      </c>
      <c r="V1274" t="s">
        <v>93</v>
      </c>
      <c r="W1274" t="s">
        <v>721</v>
      </c>
      <c r="X1274">
        <v>14</v>
      </c>
      <c r="Y1274">
        <v>14</v>
      </c>
      <c r="Z1274" t="s">
        <v>1856</v>
      </c>
      <c r="AA1274" t="s">
        <v>1857</v>
      </c>
      <c r="AB1274" t="s">
        <v>96</v>
      </c>
      <c r="AC1274" t="s">
        <v>97</v>
      </c>
      <c r="AD1274" t="s">
        <v>1818</v>
      </c>
      <c r="AG1274" t="s">
        <v>1858</v>
      </c>
      <c r="AH1274">
        <v>0</v>
      </c>
      <c r="AI1274">
        <v>686</v>
      </c>
      <c r="AJ1274">
        <v>63</v>
      </c>
      <c r="AK1274">
        <v>39</v>
      </c>
      <c r="AL1274">
        <v>0.75</v>
      </c>
    </row>
    <row r="1275" spans="1:38" x14ac:dyDescent="0.3">
      <c r="A1275" t="s">
        <v>1813</v>
      </c>
      <c r="B1275">
        <v>130035</v>
      </c>
      <c r="C1275">
        <v>4</v>
      </c>
      <c r="D1275" t="s">
        <v>1855</v>
      </c>
      <c r="E1275" t="s">
        <v>1668</v>
      </c>
      <c r="F1275">
        <v>52</v>
      </c>
      <c r="G1275">
        <v>19.190000000000001</v>
      </c>
      <c r="H1275">
        <v>63.45</v>
      </c>
      <c r="I1275">
        <v>15.11</v>
      </c>
      <c r="J1275">
        <v>49.97</v>
      </c>
      <c r="K1275">
        <v>13</v>
      </c>
      <c r="T1275">
        <v>3</v>
      </c>
      <c r="U1275">
        <v>1</v>
      </c>
      <c r="V1275" t="s">
        <v>93</v>
      </c>
      <c r="W1275" t="s">
        <v>722</v>
      </c>
      <c r="X1275">
        <v>14</v>
      </c>
      <c r="Y1275">
        <v>14</v>
      </c>
      <c r="Z1275" t="s">
        <v>1856</v>
      </c>
      <c r="AA1275" t="s">
        <v>1857</v>
      </c>
      <c r="AB1275" t="s">
        <v>96</v>
      </c>
      <c r="AC1275" t="s">
        <v>97</v>
      </c>
      <c r="AD1275" t="s">
        <v>1818</v>
      </c>
      <c r="AG1275" t="s">
        <v>1858</v>
      </c>
      <c r="AH1275">
        <v>0</v>
      </c>
      <c r="AI1275">
        <v>686</v>
      </c>
      <c r="AJ1275">
        <v>63</v>
      </c>
      <c r="AK1275">
        <v>39</v>
      </c>
      <c r="AL1275">
        <v>0.75</v>
      </c>
    </row>
    <row r="1276" spans="1:38" x14ac:dyDescent="0.3">
      <c r="A1276" t="s">
        <v>1813</v>
      </c>
      <c r="B1276">
        <v>9671</v>
      </c>
      <c r="C1276">
        <v>1</v>
      </c>
      <c r="D1276" t="s">
        <v>1859</v>
      </c>
      <c r="E1276" t="s">
        <v>1860</v>
      </c>
      <c r="F1276">
        <v>90</v>
      </c>
      <c r="G1276">
        <v>16.190000000000001</v>
      </c>
      <c r="H1276">
        <v>53.55</v>
      </c>
      <c r="I1276">
        <v>11.95</v>
      </c>
      <c r="J1276">
        <v>39.51</v>
      </c>
      <c r="K1276">
        <v>90</v>
      </c>
      <c r="T1276">
        <v>2</v>
      </c>
      <c r="U1276">
        <v>1</v>
      </c>
      <c r="V1276" t="s">
        <v>93</v>
      </c>
      <c r="W1276">
        <v>53</v>
      </c>
      <c r="X1276">
        <v>5</v>
      </c>
      <c r="Y1276">
        <v>5</v>
      </c>
      <c r="Z1276" t="s">
        <v>1861</v>
      </c>
      <c r="AA1276" t="s">
        <v>1862</v>
      </c>
      <c r="AB1276" t="s">
        <v>96</v>
      </c>
      <c r="AC1276" t="s">
        <v>97</v>
      </c>
      <c r="AD1276" t="s">
        <v>1818</v>
      </c>
      <c r="AG1276" t="s">
        <v>1863</v>
      </c>
      <c r="AH1276">
        <v>0</v>
      </c>
      <c r="AI1276">
        <v>0</v>
      </c>
      <c r="AJ1276">
        <v>0</v>
      </c>
      <c r="AK1276">
        <v>0</v>
      </c>
      <c r="AL1276">
        <v>0</v>
      </c>
    </row>
    <row r="1277" spans="1:38" x14ac:dyDescent="0.3">
      <c r="A1277" t="s">
        <v>1813</v>
      </c>
      <c r="B1277">
        <v>120661</v>
      </c>
      <c r="C1277">
        <v>1</v>
      </c>
      <c r="D1277" t="s">
        <v>1864</v>
      </c>
      <c r="E1277" t="s">
        <v>981</v>
      </c>
      <c r="F1277">
        <v>32</v>
      </c>
      <c r="G1277">
        <v>15.62</v>
      </c>
      <c r="H1277">
        <v>51.64</v>
      </c>
      <c r="I1277">
        <v>10.28</v>
      </c>
      <c r="J1277">
        <v>34.01</v>
      </c>
      <c r="K1277">
        <v>8</v>
      </c>
      <c r="T1277">
        <v>2</v>
      </c>
      <c r="U1277">
        <v>1</v>
      </c>
      <c r="V1277" t="s">
        <v>93</v>
      </c>
      <c r="W1277">
        <v>51</v>
      </c>
      <c r="X1277">
        <v>15</v>
      </c>
      <c r="Y1277">
        <v>15</v>
      </c>
      <c r="Z1277" t="s">
        <v>1865</v>
      </c>
      <c r="AA1277" t="s">
        <v>1866</v>
      </c>
      <c r="AB1277" t="s">
        <v>96</v>
      </c>
      <c r="AC1277" t="s">
        <v>97</v>
      </c>
      <c r="AD1277" t="s">
        <v>1818</v>
      </c>
      <c r="AG1277" t="s">
        <v>1867</v>
      </c>
      <c r="AH1277">
        <v>0</v>
      </c>
      <c r="AI1277">
        <v>791</v>
      </c>
      <c r="AJ1277">
        <v>74</v>
      </c>
      <c r="AK1277">
        <v>24</v>
      </c>
      <c r="AL1277">
        <v>0.75</v>
      </c>
    </row>
    <row r="1278" spans="1:38" x14ac:dyDescent="0.3">
      <c r="A1278" t="s">
        <v>1813</v>
      </c>
      <c r="B1278">
        <v>120661</v>
      </c>
      <c r="C1278">
        <v>2</v>
      </c>
      <c r="D1278" t="s">
        <v>1864</v>
      </c>
      <c r="E1278" t="s">
        <v>981</v>
      </c>
      <c r="F1278">
        <v>32</v>
      </c>
      <c r="G1278">
        <v>17.14</v>
      </c>
      <c r="H1278">
        <v>56.69</v>
      </c>
      <c r="I1278">
        <v>11.41</v>
      </c>
      <c r="J1278">
        <v>37.75</v>
      </c>
      <c r="K1278">
        <v>3</v>
      </c>
      <c r="T1278">
        <v>2</v>
      </c>
      <c r="U1278">
        <v>1</v>
      </c>
      <c r="V1278" t="s">
        <v>93</v>
      </c>
      <c r="W1278">
        <v>56</v>
      </c>
      <c r="X1278">
        <v>15</v>
      </c>
      <c r="Y1278">
        <v>15</v>
      </c>
      <c r="Z1278" t="s">
        <v>1865</v>
      </c>
      <c r="AA1278" t="s">
        <v>1866</v>
      </c>
      <c r="AB1278" t="s">
        <v>96</v>
      </c>
      <c r="AC1278" t="s">
        <v>97</v>
      </c>
      <c r="AD1278" t="s">
        <v>1818</v>
      </c>
      <c r="AG1278" t="s">
        <v>1867</v>
      </c>
      <c r="AH1278">
        <v>0</v>
      </c>
      <c r="AI1278">
        <v>791</v>
      </c>
      <c r="AJ1278">
        <v>74</v>
      </c>
      <c r="AK1278">
        <v>24</v>
      </c>
      <c r="AL1278">
        <v>0.75</v>
      </c>
    </row>
    <row r="1279" spans="1:38" x14ac:dyDescent="0.3">
      <c r="A1279" t="s">
        <v>1813</v>
      </c>
      <c r="B1279">
        <v>120661</v>
      </c>
      <c r="C1279">
        <v>3</v>
      </c>
      <c r="D1279" t="s">
        <v>1864</v>
      </c>
      <c r="E1279" t="s">
        <v>981</v>
      </c>
      <c r="F1279">
        <v>32</v>
      </c>
      <c r="G1279">
        <v>18.5</v>
      </c>
      <c r="H1279">
        <v>61.18</v>
      </c>
      <c r="I1279">
        <v>12.39</v>
      </c>
      <c r="J1279">
        <v>40.98</v>
      </c>
      <c r="K1279">
        <v>5</v>
      </c>
      <c r="T1279">
        <v>2</v>
      </c>
      <c r="U1279">
        <v>1</v>
      </c>
      <c r="V1279" t="s">
        <v>93</v>
      </c>
      <c r="W1279">
        <v>61</v>
      </c>
      <c r="X1279">
        <v>15</v>
      </c>
      <c r="Y1279">
        <v>15</v>
      </c>
      <c r="Z1279" t="s">
        <v>1865</v>
      </c>
      <c r="AA1279" t="s">
        <v>1866</v>
      </c>
      <c r="AB1279" t="s">
        <v>96</v>
      </c>
      <c r="AC1279" t="s">
        <v>97</v>
      </c>
      <c r="AD1279" t="s">
        <v>1818</v>
      </c>
      <c r="AG1279" t="s">
        <v>1867</v>
      </c>
      <c r="AH1279">
        <v>0</v>
      </c>
      <c r="AI1279">
        <v>791</v>
      </c>
      <c r="AJ1279">
        <v>74</v>
      </c>
      <c r="AK1279">
        <v>24</v>
      </c>
      <c r="AL1279">
        <v>0.75</v>
      </c>
    </row>
    <row r="1280" spans="1:38" x14ac:dyDescent="0.3">
      <c r="A1280" t="s">
        <v>1813</v>
      </c>
      <c r="B1280">
        <v>120661</v>
      </c>
      <c r="C1280">
        <v>4</v>
      </c>
      <c r="D1280" t="s">
        <v>1864</v>
      </c>
      <c r="E1280" t="s">
        <v>981</v>
      </c>
      <c r="F1280">
        <v>32</v>
      </c>
      <c r="G1280">
        <v>19.940000000000001</v>
      </c>
      <c r="H1280">
        <v>65.92</v>
      </c>
      <c r="I1280">
        <v>13.28</v>
      </c>
      <c r="J1280">
        <v>43.93</v>
      </c>
      <c r="K1280">
        <v>8</v>
      </c>
      <c r="T1280">
        <v>3</v>
      </c>
      <c r="U1280">
        <v>1</v>
      </c>
      <c r="V1280" t="s">
        <v>93</v>
      </c>
      <c r="W1280">
        <v>65</v>
      </c>
      <c r="X1280">
        <v>15</v>
      </c>
      <c r="Y1280">
        <v>15</v>
      </c>
      <c r="Z1280" t="s">
        <v>1865</v>
      </c>
      <c r="AA1280" t="s">
        <v>1866</v>
      </c>
      <c r="AB1280" t="s">
        <v>96</v>
      </c>
      <c r="AC1280" t="s">
        <v>97</v>
      </c>
      <c r="AD1280" t="s">
        <v>1818</v>
      </c>
      <c r="AG1280" t="s">
        <v>1867</v>
      </c>
      <c r="AH1280">
        <v>0</v>
      </c>
      <c r="AI1280">
        <v>791</v>
      </c>
      <c r="AJ1280">
        <v>74</v>
      </c>
      <c r="AK1280">
        <v>24</v>
      </c>
      <c r="AL1280">
        <v>0.75</v>
      </c>
    </row>
    <row r="1281" spans="1:38" x14ac:dyDescent="0.3">
      <c r="A1281" t="s">
        <v>1813</v>
      </c>
      <c r="B1281">
        <v>120661</v>
      </c>
      <c r="C1281">
        <v>5</v>
      </c>
      <c r="D1281" t="s">
        <v>1864</v>
      </c>
      <c r="E1281" t="s">
        <v>981</v>
      </c>
      <c r="F1281">
        <v>32</v>
      </c>
      <c r="G1281">
        <v>21.29</v>
      </c>
      <c r="H1281">
        <v>70.400000000000006</v>
      </c>
      <c r="I1281">
        <v>14.39</v>
      </c>
      <c r="J1281">
        <v>47.58</v>
      </c>
      <c r="K1281">
        <v>8</v>
      </c>
      <c r="T1281">
        <v>3</v>
      </c>
      <c r="U1281">
        <v>1</v>
      </c>
      <c r="V1281" t="s">
        <v>93</v>
      </c>
      <c r="W1281">
        <v>70</v>
      </c>
      <c r="X1281">
        <v>15</v>
      </c>
      <c r="Y1281">
        <v>15</v>
      </c>
      <c r="Z1281" t="s">
        <v>1865</v>
      </c>
      <c r="AA1281" t="s">
        <v>1866</v>
      </c>
      <c r="AB1281" t="s">
        <v>96</v>
      </c>
      <c r="AC1281" t="s">
        <v>97</v>
      </c>
      <c r="AD1281" t="s">
        <v>1818</v>
      </c>
      <c r="AG1281" t="s">
        <v>1867</v>
      </c>
      <c r="AH1281">
        <v>0</v>
      </c>
      <c r="AI1281">
        <v>791</v>
      </c>
      <c r="AJ1281">
        <v>74</v>
      </c>
      <c r="AK1281">
        <v>24</v>
      </c>
      <c r="AL1281">
        <v>0.75</v>
      </c>
    </row>
    <row r="1282" spans="1:38" x14ac:dyDescent="0.3">
      <c r="A1282" t="s">
        <v>1813</v>
      </c>
      <c r="B1282">
        <v>14804</v>
      </c>
      <c r="C1282">
        <v>1</v>
      </c>
      <c r="D1282" t="s">
        <v>1868</v>
      </c>
      <c r="E1282" t="s">
        <v>492</v>
      </c>
      <c r="F1282">
        <v>45</v>
      </c>
      <c r="G1282">
        <v>18.38</v>
      </c>
      <c r="H1282">
        <v>60.78</v>
      </c>
      <c r="I1282">
        <v>16.22</v>
      </c>
      <c r="J1282">
        <v>53.64</v>
      </c>
      <c r="K1282">
        <v>20</v>
      </c>
      <c r="T1282">
        <v>2</v>
      </c>
      <c r="U1282">
        <v>1</v>
      </c>
      <c r="V1282" t="s">
        <v>93</v>
      </c>
      <c r="W1282">
        <v>60</v>
      </c>
      <c r="X1282">
        <v>5</v>
      </c>
      <c r="Y1282">
        <v>5</v>
      </c>
      <c r="Z1282" t="s">
        <v>1869</v>
      </c>
      <c r="AA1282" t="s">
        <v>1870</v>
      </c>
      <c r="AB1282" t="s">
        <v>96</v>
      </c>
      <c r="AC1282" t="s">
        <v>97</v>
      </c>
      <c r="AD1282" t="s">
        <v>1818</v>
      </c>
      <c r="AG1282" t="s">
        <v>1871</v>
      </c>
      <c r="AH1282">
        <v>0</v>
      </c>
      <c r="AI1282">
        <v>0</v>
      </c>
      <c r="AJ1282">
        <v>0</v>
      </c>
      <c r="AK1282">
        <v>0</v>
      </c>
      <c r="AL1282">
        <v>0</v>
      </c>
    </row>
    <row r="1283" spans="1:38" x14ac:dyDescent="0.3">
      <c r="A1283" t="s">
        <v>1813</v>
      </c>
      <c r="B1283">
        <v>14804</v>
      </c>
      <c r="C1283">
        <v>2</v>
      </c>
      <c r="D1283" t="s">
        <v>1868</v>
      </c>
      <c r="E1283" t="s">
        <v>492</v>
      </c>
      <c r="F1283">
        <v>45</v>
      </c>
      <c r="G1283">
        <v>18.82</v>
      </c>
      <c r="H1283">
        <v>62.22</v>
      </c>
      <c r="I1283">
        <v>16.55</v>
      </c>
      <c r="J1283">
        <v>54.72</v>
      </c>
      <c r="K1283">
        <v>15</v>
      </c>
      <c r="T1283">
        <v>2</v>
      </c>
      <c r="U1283">
        <v>1</v>
      </c>
      <c r="V1283" t="s">
        <v>93</v>
      </c>
      <c r="W1283" t="s">
        <v>463</v>
      </c>
      <c r="X1283">
        <v>5</v>
      </c>
      <c r="Y1283">
        <v>5</v>
      </c>
      <c r="Z1283" t="s">
        <v>1869</v>
      </c>
      <c r="AA1283" t="s">
        <v>1870</v>
      </c>
      <c r="AB1283" t="s">
        <v>96</v>
      </c>
      <c r="AC1283" t="s">
        <v>97</v>
      </c>
      <c r="AD1283" t="s">
        <v>1818</v>
      </c>
      <c r="AG1283" t="s">
        <v>1871</v>
      </c>
      <c r="AH1283">
        <v>0</v>
      </c>
      <c r="AI1283">
        <v>0</v>
      </c>
      <c r="AJ1283">
        <v>0</v>
      </c>
      <c r="AK1283">
        <v>0</v>
      </c>
      <c r="AL1283">
        <v>0</v>
      </c>
    </row>
    <row r="1284" spans="1:38" x14ac:dyDescent="0.3">
      <c r="A1284" t="s">
        <v>1813</v>
      </c>
      <c r="B1284">
        <v>14804</v>
      </c>
      <c r="C1284">
        <v>3</v>
      </c>
      <c r="D1284" t="s">
        <v>1868</v>
      </c>
      <c r="E1284" t="s">
        <v>492</v>
      </c>
      <c r="F1284">
        <v>45</v>
      </c>
      <c r="G1284">
        <v>19</v>
      </c>
      <c r="H1284">
        <v>62.82</v>
      </c>
      <c r="I1284">
        <v>16.73</v>
      </c>
      <c r="J1284">
        <v>55.32</v>
      </c>
      <c r="K1284">
        <v>5</v>
      </c>
      <c r="T1284">
        <v>2</v>
      </c>
      <c r="U1284">
        <v>1</v>
      </c>
      <c r="V1284" t="s">
        <v>93</v>
      </c>
      <c r="W1284" t="s">
        <v>255</v>
      </c>
      <c r="X1284">
        <v>5</v>
      </c>
      <c r="Y1284">
        <v>5</v>
      </c>
      <c r="Z1284" t="s">
        <v>1869</v>
      </c>
      <c r="AA1284" t="s">
        <v>1870</v>
      </c>
      <c r="AB1284" t="s">
        <v>96</v>
      </c>
      <c r="AC1284" t="s">
        <v>97</v>
      </c>
      <c r="AD1284" t="s">
        <v>1818</v>
      </c>
      <c r="AG1284" t="s">
        <v>1871</v>
      </c>
      <c r="AH1284">
        <v>0</v>
      </c>
      <c r="AI1284">
        <v>0</v>
      </c>
      <c r="AJ1284">
        <v>0</v>
      </c>
      <c r="AK1284">
        <v>0</v>
      </c>
      <c r="AL1284">
        <v>0</v>
      </c>
    </row>
    <row r="1285" spans="1:38" x14ac:dyDescent="0.3">
      <c r="A1285" t="s">
        <v>1813</v>
      </c>
      <c r="B1285">
        <v>14804</v>
      </c>
      <c r="C1285">
        <v>4</v>
      </c>
      <c r="D1285" t="s">
        <v>1868</v>
      </c>
      <c r="E1285" t="s">
        <v>492</v>
      </c>
      <c r="F1285">
        <v>45</v>
      </c>
      <c r="G1285">
        <v>20.43</v>
      </c>
      <c r="H1285">
        <v>67.56</v>
      </c>
      <c r="I1285">
        <v>17.75</v>
      </c>
      <c r="J1285">
        <v>58.68</v>
      </c>
      <c r="K1285">
        <v>5</v>
      </c>
      <c r="T1285">
        <v>2</v>
      </c>
      <c r="U1285">
        <v>1</v>
      </c>
      <c r="V1285" t="s">
        <v>93</v>
      </c>
      <c r="W1285">
        <v>67</v>
      </c>
      <c r="X1285">
        <v>5</v>
      </c>
      <c r="Y1285">
        <v>5</v>
      </c>
      <c r="Z1285" t="s">
        <v>1869</v>
      </c>
      <c r="AA1285" t="s">
        <v>1870</v>
      </c>
      <c r="AB1285" t="s">
        <v>96</v>
      </c>
      <c r="AC1285" t="s">
        <v>97</v>
      </c>
      <c r="AD1285" t="s">
        <v>1818</v>
      </c>
      <c r="AG1285" t="s">
        <v>1871</v>
      </c>
      <c r="AH1285">
        <v>0</v>
      </c>
      <c r="AI1285">
        <v>0</v>
      </c>
      <c r="AJ1285">
        <v>0</v>
      </c>
      <c r="AK1285">
        <v>0</v>
      </c>
      <c r="AL1285">
        <v>0</v>
      </c>
    </row>
    <row r="1286" spans="1:38" x14ac:dyDescent="0.3">
      <c r="A1286" t="s">
        <v>1813</v>
      </c>
      <c r="B1286">
        <v>111720</v>
      </c>
      <c r="C1286">
        <v>1</v>
      </c>
      <c r="D1286" t="s">
        <v>1872</v>
      </c>
      <c r="E1286" t="s">
        <v>397</v>
      </c>
      <c r="F1286">
        <v>100</v>
      </c>
      <c r="G1286">
        <v>9.43</v>
      </c>
      <c r="H1286">
        <v>31.2</v>
      </c>
      <c r="I1286">
        <v>5.13</v>
      </c>
      <c r="J1286">
        <v>16.98</v>
      </c>
      <c r="K1286">
        <v>15</v>
      </c>
      <c r="T1286">
        <v>1</v>
      </c>
      <c r="U1286">
        <v>1</v>
      </c>
      <c r="V1286" t="s">
        <v>132</v>
      </c>
      <c r="W1286">
        <v>31</v>
      </c>
      <c r="X1286">
        <v>15</v>
      </c>
      <c r="Y1286">
        <v>15</v>
      </c>
      <c r="Z1286" t="s">
        <v>1873</v>
      </c>
      <c r="AA1286" t="s">
        <v>1874</v>
      </c>
      <c r="AB1286" t="s">
        <v>96</v>
      </c>
      <c r="AC1286" t="s">
        <v>97</v>
      </c>
      <c r="AD1286" t="s">
        <v>1818</v>
      </c>
      <c r="AG1286" t="s">
        <v>1875</v>
      </c>
      <c r="AH1286">
        <v>0</v>
      </c>
      <c r="AI1286">
        <v>884</v>
      </c>
      <c r="AJ1286">
        <v>74</v>
      </c>
      <c r="AK1286">
        <v>68</v>
      </c>
      <c r="AL1286">
        <v>0.68</v>
      </c>
    </row>
    <row r="1287" spans="1:38" x14ac:dyDescent="0.3">
      <c r="A1287" t="s">
        <v>1813</v>
      </c>
      <c r="B1287">
        <v>111720</v>
      </c>
      <c r="C1287">
        <v>2</v>
      </c>
      <c r="D1287" t="s">
        <v>1872</v>
      </c>
      <c r="E1287" t="s">
        <v>397</v>
      </c>
      <c r="F1287">
        <v>100</v>
      </c>
      <c r="G1287">
        <v>9.3699999999999992</v>
      </c>
      <c r="H1287">
        <v>31</v>
      </c>
      <c r="I1287">
        <v>5.05</v>
      </c>
      <c r="J1287">
        <v>16.71</v>
      </c>
      <c r="K1287">
        <v>10</v>
      </c>
      <c r="T1287">
        <v>1</v>
      </c>
      <c r="U1287">
        <v>1</v>
      </c>
      <c r="V1287" t="s">
        <v>132</v>
      </c>
      <c r="W1287" t="s">
        <v>1876</v>
      </c>
      <c r="X1287">
        <v>15</v>
      </c>
      <c r="Y1287">
        <v>15</v>
      </c>
      <c r="Z1287" t="s">
        <v>1873</v>
      </c>
      <c r="AA1287" t="s">
        <v>1874</v>
      </c>
      <c r="AB1287" t="s">
        <v>96</v>
      </c>
      <c r="AC1287" t="s">
        <v>97</v>
      </c>
      <c r="AD1287" t="s">
        <v>1818</v>
      </c>
      <c r="AG1287" t="s">
        <v>1875</v>
      </c>
      <c r="AH1287">
        <v>0</v>
      </c>
      <c r="AI1287">
        <v>884</v>
      </c>
      <c r="AJ1287">
        <v>74</v>
      </c>
      <c r="AK1287">
        <v>68</v>
      </c>
      <c r="AL1287">
        <v>0.68</v>
      </c>
    </row>
    <row r="1288" spans="1:38" x14ac:dyDescent="0.3">
      <c r="A1288" t="s">
        <v>1813</v>
      </c>
      <c r="B1288">
        <v>111720</v>
      </c>
      <c r="C1288">
        <v>3</v>
      </c>
      <c r="D1288" t="s">
        <v>1872</v>
      </c>
      <c r="E1288" t="s">
        <v>397</v>
      </c>
      <c r="F1288">
        <v>100</v>
      </c>
      <c r="G1288">
        <v>10.130000000000001</v>
      </c>
      <c r="H1288">
        <v>33.51</v>
      </c>
      <c r="I1288">
        <v>5.48</v>
      </c>
      <c r="J1288">
        <v>18.14</v>
      </c>
      <c r="K1288">
        <v>5</v>
      </c>
      <c r="T1288">
        <v>1</v>
      </c>
      <c r="U1288">
        <v>1</v>
      </c>
      <c r="V1288" t="s">
        <v>132</v>
      </c>
      <c r="W1288">
        <v>33</v>
      </c>
      <c r="X1288">
        <v>15</v>
      </c>
      <c r="Y1288">
        <v>15</v>
      </c>
      <c r="Z1288" t="s">
        <v>1873</v>
      </c>
      <c r="AA1288" t="s">
        <v>1874</v>
      </c>
      <c r="AB1288" t="s">
        <v>96</v>
      </c>
      <c r="AC1288" t="s">
        <v>97</v>
      </c>
      <c r="AD1288" t="s">
        <v>1818</v>
      </c>
      <c r="AG1288" t="s">
        <v>1875</v>
      </c>
      <c r="AH1288">
        <v>0</v>
      </c>
      <c r="AI1288">
        <v>884</v>
      </c>
      <c r="AJ1288">
        <v>74</v>
      </c>
      <c r="AK1288">
        <v>68</v>
      </c>
      <c r="AL1288">
        <v>0.68</v>
      </c>
    </row>
    <row r="1289" spans="1:38" x14ac:dyDescent="0.3">
      <c r="A1289" t="s">
        <v>1813</v>
      </c>
      <c r="B1289">
        <v>111720</v>
      </c>
      <c r="C1289">
        <v>4</v>
      </c>
      <c r="D1289" t="s">
        <v>1872</v>
      </c>
      <c r="E1289" t="s">
        <v>397</v>
      </c>
      <c r="F1289">
        <v>100</v>
      </c>
      <c r="G1289">
        <v>11.41</v>
      </c>
      <c r="H1289">
        <v>37.729999999999997</v>
      </c>
      <c r="I1289">
        <v>6.24</v>
      </c>
      <c r="J1289">
        <v>20.64</v>
      </c>
      <c r="K1289">
        <v>5</v>
      </c>
      <c r="T1289">
        <v>1</v>
      </c>
      <c r="U1289">
        <v>1</v>
      </c>
      <c r="V1289" t="s">
        <v>132</v>
      </c>
      <c r="W1289">
        <v>37</v>
      </c>
      <c r="X1289">
        <v>15</v>
      </c>
      <c r="Y1289">
        <v>15</v>
      </c>
      <c r="Z1289" t="s">
        <v>1873</v>
      </c>
      <c r="AA1289" t="s">
        <v>1874</v>
      </c>
      <c r="AB1289" t="s">
        <v>96</v>
      </c>
      <c r="AC1289" t="s">
        <v>97</v>
      </c>
      <c r="AD1289" t="s">
        <v>1818</v>
      </c>
      <c r="AG1289" t="s">
        <v>1875</v>
      </c>
      <c r="AH1289">
        <v>0</v>
      </c>
      <c r="AI1289">
        <v>884</v>
      </c>
      <c r="AJ1289">
        <v>74</v>
      </c>
      <c r="AK1289">
        <v>68</v>
      </c>
      <c r="AL1289">
        <v>0.68</v>
      </c>
    </row>
    <row r="1290" spans="1:38" x14ac:dyDescent="0.3">
      <c r="A1290" t="s">
        <v>1813</v>
      </c>
      <c r="B1290">
        <v>111720</v>
      </c>
      <c r="C1290">
        <v>5</v>
      </c>
      <c r="D1290" t="s">
        <v>1872</v>
      </c>
      <c r="E1290" t="s">
        <v>397</v>
      </c>
      <c r="F1290">
        <v>100</v>
      </c>
      <c r="G1290">
        <v>12.8</v>
      </c>
      <c r="H1290">
        <v>42.33</v>
      </c>
      <c r="I1290">
        <v>7.02</v>
      </c>
      <c r="J1290">
        <v>23.22</v>
      </c>
      <c r="K1290">
        <v>40</v>
      </c>
      <c r="T1290">
        <v>1</v>
      </c>
      <c r="U1290">
        <v>1</v>
      </c>
      <c r="V1290" t="s">
        <v>132</v>
      </c>
      <c r="W1290" t="s">
        <v>1877</v>
      </c>
      <c r="X1290">
        <v>15</v>
      </c>
      <c r="Y1290">
        <v>15</v>
      </c>
      <c r="Z1290" t="s">
        <v>1873</v>
      </c>
      <c r="AA1290" t="s">
        <v>1874</v>
      </c>
      <c r="AB1290" t="s">
        <v>96</v>
      </c>
      <c r="AC1290" t="s">
        <v>97</v>
      </c>
      <c r="AD1290" t="s">
        <v>1818</v>
      </c>
      <c r="AG1290" t="s">
        <v>1875</v>
      </c>
      <c r="AH1290">
        <v>0</v>
      </c>
      <c r="AI1290">
        <v>884</v>
      </c>
      <c r="AJ1290">
        <v>74</v>
      </c>
      <c r="AK1290">
        <v>68</v>
      </c>
      <c r="AL1290">
        <v>0.68</v>
      </c>
    </row>
    <row r="1291" spans="1:38" x14ac:dyDescent="0.3">
      <c r="A1291" t="s">
        <v>1813</v>
      </c>
      <c r="B1291">
        <v>111720</v>
      </c>
      <c r="C1291">
        <v>6</v>
      </c>
      <c r="D1291" t="s">
        <v>1872</v>
      </c>
      <c r="E1291" t="s">
        <v>397</v>
      </c>
      <c r="F1291">
        <v>100</v>
      </c>
      <c r="G1291">
        <v>12.98</v>
      </c>
      <c r="H1291">
        <v>42.93</v>
      </c>
      <c r="I1291">
        <v>7.14</v>
      </c>
      <c r="J1291">
        <v>23.63</v>
      </c>
      <c r="K1291">
        <v>5</v>
      </c>
      <c r="T1291">
        <v>1</v>
      </c>
      <c r="U1291">
        <v>1</v>
      </c>
      <c r="V1291" t="s">
        <v>132</v>
      </c>
      <c r="W1291" t="s">
        <v>1878</v>
      </c>
      <c r="X1291">
        <v>15</v>
      </c>
      <c r="Y1291">
        <v>15</v>
      </c>
      <c r="Z1291" t="s">
        <v>1873</v>
      </c>
      <c r="AA1291" t="s">
        <v>1874</v>
      </c>
      <c r="AB1291" t="s">
        <v>96</v>
      </c>
      <c r="AC1291" t="s">
        <v>97</v>
      </c>
      <c r="AD1291" t="s">
        <v>1818</v>
      </c>
      <c r="AG1291" t="s">
        <v>1875</v>
      </c>
      <c r="AH1291">
        <v>0</v>
      </c>
      <c r="AI1291">
        <v>884</v>
      </c>
      <c r="AJ1291">
        <v>74</v>
      </c>
      <c r="AK1291">
        <v>68</v>
      </c>
      <c r="AL1291">
        <v>0.68</v>
      </c>
    </row>
    <row r="1292" spans="1:38" x14ac:dyDescent="0.3">
      <c r="A1292" t="s">
        <v>1813</v>
      </c>
      <c r="B1292">
        <v>111720</v>
      </c>
      <c r="C1292">
        <v>7</v>
      </c>
      <c r="D1292" t="s">
        <v>1872</v>
      </c>
      <c r="E1292" t="s">
        <v>397</v>
      </c>
      <c r="F1292">
        <v>100</v>
      </c>
      <c r="G1292">
        <v>13.14</v>
      </c>
      <c r="H1292">
        <v>43.47</v>
      </c>
      <c r="I1292">
        <v>7.23</v>
      </c>
      <c r="J1292">
        <v>23.91</v>
      </c>
      <c r="K1292">
        <v>5</v>
      </c>
      <c r="T1292">
        <v>1</v>
      </c>
      <c r="U1292">
        <v>1</v>
      </c>
      <c r="V1292" t="s">
        <v>132</v>
      </c>
      <c r="W1292" t="s">
        <v>1879</v>
      </c>
      <c r="X1292">
        <v>15</v>
      </c>
      <c r="Y1292">
        <v>15</v>
      </c>
      <c r="Z1292" t="s">
        <v>1873</v>
      </c>
      <c r="AA1292" t="s">
        <v>1874</v>
      </c>
      <c r="AB1292" t="s">
        <v>96</v>
      </c>
      <c r="AC1292" t="s">
        <v>97</v>
      </c>
      <c r="AD1292" t="s">
        <v>1818</v>
      </c>
      <c r="AG1292" t="s">
        <v>1875</v>
      </c>
      <c r="AH1292">
        <v>0</v>
      </c>
      <c r="AI1292">
        <v>884</v>
      </c>
      <c r="AJ1292">
        <v>74</v>
      </c>
      <c r="AK1292">
        <v>68</v>
      </c>
      <c r="AL1292">
        <v>0.68</v>
      </c>
    </row>
    <row r="1293" spans="1:38" x14ac:dyDescent="0.3">
      <c r="A1293" t="s">
        <v>1813</v>
      </c>
      <c r="B1293">
        <v>111720</v>
      </c>
      <c r="C1293">
        <v>8</v>
      </c>
      <c r="D1293" t="s">
        <v>1872</v>
      </c>
      <c r="E1293" t="s">
        <v>397</v>
      </c>
      <c r="F1293">
        <v>100</v>
      </c>
      <c r="G1293">
        <v>14.22</v>
      </c>
      <c r="H1293">
        <v>47.04</v>
      </c>
      <c r="I1293">
        <v>7.79</v>
      </c>
      <c r="J1293">
        <v>25.77</v>
      </c>
      <c r="K1293">
        <v>5</v>
      </c>
      <c r="T1293">
        <v>1</v>
      </c>
      <c r="U1293">
        <v>1</v>
      </c>
      <c r="V1293" t="s">
        <v>132</v>
      </c>
      <c r="W1293">
        <v>47</v>
      </c>
      <c r="X1293">
        <v>15</v>
      </c>
      <c r="Y1293">
        <v>15</v>
      </c>
      <c r="Z1293" t="s">
        <v>1873</v>
      </c>
      <c r="AA1293" t="s">
        <v>1874</v>
      </c>
      <c r="AB1293" t="s">
        <v>96</v>
      </c>
      <c r="AC1293" t="s">
        <v>97</v>
      </c>
      <c r="AD1293" t="s">
        <v>1818</v>
      </c>
      <c r="AG1293" t="s">
        <v>1875</v>
      </c>
      <c r="AH1293">
        <v>0</v>
      </c>
      <c r="AI1293">
        <v>884</v>
      </c>
      <c r="AJ1293">
        <v>74</v>
      </c>
      <c r="AK1293">
        <v>68</v>
      </c>
      <c r="AL1293">
        <v>0.68</v>
      </c>
    </row>
    <row r="1294" spans="1:38" x14ac:dyDescent="0.3">
      <c r="A1294" t="s">
        <v>1813</v>
      </c>
      <c r="B1294">
        <v>111720</v>
      </c>
      <c r="C1294">
        <v>9</v>
      </c>
      <c r="D1294" t="s">
        <v>1872</v>
      </c>
      <c r="E1294" t="s">
        <v>397</v>
      </c>
      <c r="F1294">
        <v>100</v>
      </c>
      <c r="G1294">
        <v>15.03</v>
      </c>
      <c r="H1294">
        <v>49.69</v>
      </c>
      <c r="I1294">
        <v>8.2799999999999994</v>
      </c>
      <c r="J1294">
        <v>27.38</v>
      </c>
      <c r="K1294">
        <v>5</v>
      </c>
      <c r="T1294">
        <v>1</v>
      </c>
      <c r="U1294">
        <v>1</v>
      </c>
      <c r="V1294" t="s">
        <v>132</v>
      </c>
      <c r="W1294">
        <v>49</v>
      </c>
      <c r="X1294">
        <v>15</v>
      </c>
      <c r="Y1294">
        <v>15</v>
      </c>
      <c r="Z1294" t="s">
        <v>1873</v>
      </c>
      <c r="AA1294" t="s">
        <v>1874</v>
      </c>
      <c r="AB1294" t="s">
        <v>96</v>
      </c>
      <c r="AC1294" t="s">
        <v>97</v>
      </c>
      <c r="AD1294" t="s">
        <v>1818</v>
      </c>
      <c r="AG1294" t="s">
        <v>1875</v>
      </c>
      <c r="AH1294">
        <v>0</v>
      </c>
      <c r="AI1294">
        <v>884</v>
      </c>
      <c r="AJ1294">
        <v>74</v>
      </c>
      <c r="AK1294">
        <v>68</v>
      </c>
      <c r="AL1294">
        <v>0.68</v>
      </c>
    </row>
    <row r="1295" spans="1:38" x14ac:dyDescent="0.3">
      <c r="A1295" t="s">
        <v>1813</v>
      </c>
      <c r="B1295">
        <v>111720</v>
      </c>
      <c r="C1295">
        <v>10</v>
      </c>
      <c r="D1295" t="s">
        <v>1872</v>
      </c>
      <c r="E1295" t="s">
        <v>397</v>
      </c>
      <c r="F1295">
        <v>100</v>
      </c>
      <c r="G1295">
        <v>24.76</v>
      </c>
      <c r="H1295">
        <v>81.86</v>
      </c>
      <c r="I1295">
        <v>13.79</v>
      </c>
      <c r="J1295">
        <v>45.59</v>
      </c>
      <c r="K1295">
        <v>5</v>
      </c>
      <c r="T1295">
        <v>1</v>
      </c>
      <c r="U1295">
        <v>1</v>
      </c>
      <c r="V1295" t="s">
        <v>132</v>
      </c>
      <c r="W1295">
        <v>81</v>
      </c>
      <c r="X1295">
        <v>15</v>
      </c>
      <c r="Y1295">
        <v>15</v>
      </c>
      <c r="Z1295" t="s">
        <v>1873</v>
      </c>
      <c r="AA1295" t="s">
        <v>1874</v>
      </c>
      <c r="AB1295" t="s">
        <v>96</v>
      </c>
      <c r="AC1295" t="s">
        <v>97</v>
      </c>
      <c r="AD1295" t="s">
        <v>1818</v>
      </c>
      <c r="AG1295" t="s">
        <v>1875</v>
      </c>
      <c r="AH1295">
        <v>0</v>
      </c>
      <c r="AI1295">
        <v>884</v>
      </c>
      <c r="AJ1295">
        <v>74</v>
      </c>
      <c r="AK1295">
        <v>68</v>
      </c>
      <c r="AL1295">
        <v>0.68</v>
      </c>
    </row>
    <row r="1296" spans="1:38" x14ac:dyDescent="0.3">
      <c r="A1296" t="s">
        <v>1813</v>
      </c>
      <c r="B1296">
        <v>108091</v>
      </c>
      <c r="C1296">
        <v>1</v>
      </c>
      <c r="D1296" t="s">
        <v>1880</v>
      </c>
      <c r="E1296" t="s">
        <v>1881</v>
      </c>
      <c r="F1296">
        <v>7</v>
      </c>
      <c r="G1296">
        <v>21</v>
      </c>
      <c r="H1296">
        <v>69.430000000000007</v>
      </c>
      <c r="I1296">
        <v>18.47</v>
      </c>
      <c r="J1296">
        <v>61.09</v>
      </c>
      <c r="K1296">
        <v>1</v>
      </c>
      <c r="T1296">
        <v>2</v>
      </c>
      <c r="U1296">
        <v>1</v>
      </c>
      <c r="V1296" t="s">
        <v>211</v>
      </c>
      <c r="W1296">
        <v>69</v>
      </c>
      <c r="X1296">
        <v>11</v>
      </c>
      <c r="Y1296">
        <v>9</v>
      </c>
      <c r="Z1296" t="s">
        <v>1882</v>
      </c>
      <c r="AA1296" t="s">
        <v>1883</v>
      </c>
      <c r="AB1296" t="s">
        <v>96</v>
      </c>
      <c r="AC1296" t="s">
        <v>97</v>
      </c>
      <c r="AD1296" t="s">
        <v>1818</v>
      </c>
      <c r="AG1296" t="s">
        <v>1884</v>
      </c>
      <c r="AH1296">
        <v>0</v>
      </c>
      <c r="AI1296">
        <v>527</v>
      </c>
      <c r="AJ1296">
        <v>62</v>
      </c>
      <c r="AK1296">
        <v>6</v>
      </c>
      <c r="AL1296">
        <v>0.86</v>
      </c>
    </row>
    <row r="1297" spans="1:38" x14ac:dyDescent="0.3">
      <c r="A1297" t="s">
        <v>1813</v>
      </c>
      <c r="B1297">
        <v>108091</v>
      </c>
      <c r="C1297">
        <v>2</v>
      </c>
      <c r="D1297" t="s">
        <v>1880</v>
      </c>
      <c r="E1297" t="s">
        <v>1881</v>
      </c>
      <c r="F1297">
        <v>7</v>
      </c>
      <c r="G1297">
        <v>22.62</v>
      </c>
      <c r="H1297">
        <v>74.78</v>
      </c>
      <c r="I1297">
        <v>19.899999999999999</v>
      </c>
      <c r="J1297">
        <v>65.81</v>
      </c>
      <c r="K1297">
        <v>1</v>
      </c>
      <c r="T1297">
        <v>3</v>
      </c>
      <c r="U1297">
        <v>2</v>
      </c>
      <c r="V1297" t="s">
        <v>211</v>
      </c>
      <c r="W1297">
        <v>74</v>
      </c>
      <c r="X1297">
        <v>11</v>
      </c>
      <c r="Y1297">
        <v>9</v>
      </c>
      <c r="Z1297" t="s">
        <v>1882</v>
      </c>
      <c r="AA1297" t="s">
        <v>1883</v>
      </c>
      <c r="AB1297" t="s">
        <v>96</v>
      </c>
      <c r="AC1297" t="s">
        <v>97</v>
      </c>
      <c r="AD1297" t="s">
        <v>1818</v>
      </c>
      <c r="AG1297" t="s">
        <v>1884</v>
      </c>
      <c r="AH1297">
        <v>0</v>
      </c>
      <c r="AI1297">
        <v>527</v>
      </c>
      <c r="AJ1297">
        <v>62</v>
      </c>
      <c r="AK1297">
        <v>6</v>
      </c>
      <c r="AL1297">
        <v>0.86</v>
      </c>
    </row>
    <row r="1298" spans="1:38" x14ac:dyDescent="0.3">
      <c r="A1298" t="s">
        <v>1813</v>
      </c>
      <c r="B1298">
        <v>108091</v>
      </c>
      <c r="C1298">
        <v>3</v>
      </c>
      <c r="D1298" t="s">
        <v>1880</v>
      </c>
      <c r="E1298" t="s">
        <v>1881</v>
      </c>
      <c r="F1298">
        <v>7</v>
      </c>
      <c r="G1298">
        <v>23.72</v>
      </c>
      <c r="H1298">
        <v>78.42</v>
      </c>
      <c r="I1298">
        <v>20.87</v>
      </c>
      <c r="J1298">
        <v>69.010000000000005</v>
      </c>
      <c r="K1298">
        <v>2</v>
      </c>
      <c r="T1298">
        <v>3</v>
      </c>
      <c r="U1298">
        <v>2</v>
      </c>
      <c r="V1298" t="s">
        <v>211</v>
      </c>
      <c r="W1298">
        <v>78</v>
      </c>
      <c r="X1298">
        <v>11</v>
      </c>
      <c r="Y1298">
        <v>9</v>
      </c>
      <c r="Z1298" t="s">
        <v>1882</v>
      </c>
      <c r="AA1298" t="s">
        <v>1883</v>
      </c>
      <c r="AB1298" t="s">
        <v>96</v>
      </c>
      <c r="AC1298" t="s">
        <v>97</v>
      </c>
      <c r="AD1298" t="s">
        <v>1818</v>
      </c>
      <c r="AG1298" t="s">
        <v>1884</v>
      </c>
      <c r="AH1298">
        <v>0</v>
      </c>
      <c r="AI1298">
        <v>527</v>
      </c>
      <c r="AJ1298">
        <v>62</v>
      </c>
      <c r="AK1298">
        <v>6</v>
      </c>
      <c r="AL1298">
        <v>0.86</v>
      </c>
    </row>
    <row r="1299" spans="1:38" x14ac:dyDescent="0.3">
      <c r="A1299" t="s">
        <v>1813</v>
      </c>
      <c r="B1299">
        <v>108091</v>
      </c>
      <c r="C1299">
        <v>4</v>
      </c>
      <c r="D1299" t="s">
        <v>1880</v>
      </c>
      <c r="E1299" t="s">
        <v>1881</v>
      </c>
      <c r="F1299">
        <v>7</v>
      </c>
      <c r="G1299">
        <v>27.47</v>
      </c>
      <c r="H1299">
        <v>90.84</v>
      </c>
      <c r="I1299">
        <v>24.18</v>
      </c>
      <c r="J1299">
        <v>79.94</v>
      </c>
      <c r="K1299">
        <v>2</v>
      </c>
      <c r="T1299">
        <v>3</v>
      </c>
      <c r="U1299">
        <v>2</v>
      </c>
      <c r="V1299" t="s">
        <v>211</v>
      </c>
      <c r="W1299">
        <v>90</v>
      </c>
      <c r="X1299">
        <v>11</v>
      </c>
      <c r="Y1299">
        <v>9</v>
      </c>
      <c r="Z1299" t="s">
        <v>1882</v>
      </c>
      <c r="AA1299" t="s">
        <v>1883</v>
      </c>
      <c r="AB1299" t="s">
        <v>96</v>
      </c>
      <c r="AC1299" t="s">
        <v>97</v>
      </c>
      <c r="AD1299" t="s">
        <v>1818</v>
      </c>
      <c r="AG1299" t="s">
        <v>1884</v>
      </c>
      <c r="AH1299">
        <v>0</v>
      </c>
      <c r="AI1299">
        <v>527</v>
      </c>
      <c r="AJ1299">
        <v>62</v>
      </c>
      <c r="AK1299">
        <v>6</v>
      </c>
      <c r="AL1299">
        <v>0.86</v>
      </c>
    </row>
    <row r="1300" spans="1:38" x14ac:dyDescent="0.3">
      <c r="A1300" t="s">
        <v>1813</v>
      </c>
      <c r="B1300">
        <v>108091</v>
      </c>
      <c r="C1300">
        <v>5</v>
      </c>
      <c r="D1300" t="s">
        <v>1880</v>
      </c>
      <c r="E1300" t="s">
        <v>1881</v>
      </c>
      <c r="F1300">
        <v>7</v>
      </c>
      <c r="G1300">
        <v>29.11</v>
      </c>
      <c r="H1300">
        <v>96.26</v>
      </c>
      <c r="I1300">
        <v>25.62</v>
      </c>
      <c r="J1300">
        <v>84.71</v>
      </c>
      <c r="K1300">
        <v>1</v>
      </c>
      <c r="T1300">
        <v>3</v>
      </c>
      <c r="U1300">
        <v>2</v>
      </c>
      <c r="V1300" t="s">
        <v>211</v>
      </c>
      <c r="W1300">
        <v>96</v>
      </c>
      <c r="X1300">
        <v>11</v>
      </c>
      <c r="Y1300">
        <v>9</v>
      </c>
      <c r="Z1300" t="s">
        <v>1882</v>
      </c>
      <c r="AA1300" t="s">
        <v>1883</v>
      </c>
      <c r="AB1300" t="s">
        <v>96</v>
      </c>
      <c r="AC1300" t="s">
        <v>97</v>
      </c>
      <c r="AD1300" t="s">
        <v>1818</v>
      </c>
      <c r="AG1300" t="s">
        <v>1884</v>
      </c>
      <c r="AH1300">
        <v>0</v>
      </c>
      <c r="AI1300">
        <v>527</v>
      </c>
      <c r="AJ1300">
        <v>62</v>
      </c>
      <c r="AK1300">
        <v>6</v>
      </c>
      <c r="AL1300">
        <v>0.86</v>
      </c>
    </row>
    <row r="1301" spans="1:38" x14ac:dyDescent="0.3">
      <c r="A1301" t="s">
        <v>1813</v>
      </c>
      <c r="B1301">
        <v>13464</v>
      </c>
      <c r="C1301">
        <v>1</v>
      </c>
      <c r="D1301" t="s">
        <v>1885</v>
      </c>
      <c r="E1301" t="s">
        <v>1886</v>
      </c>
      <c r="F1301">
        <v>30</v>
      </c>
      <c r="G1301">
        <v>6.97</v>
      </c>
      <c r="H1301">
        <v>23.07</v>
      </c>
      <c r="I1301">
        <v>6.14</v>
      </c>
      <c r="J1301">
        <v>20.3</v>
      </c>
      <c r="K1301">
        <v>1</v>
      </c>
      <c r="T1301">
        <v>1</v>
      </c>
      <c r="U1301">
        <v>1</v>
      </c>
      <c r="V1301" t="s">
        <v>93</v>
      </c>
      <c r="W1301">
        <v>23</v>
      </c>
      <c r="X1301">
        <v>6</v>
      </c>
      <c r="Y1301">
        <v>6</v>
      </c>
      <c r="Z1301" t="s">
        <v>1887</v>
      </c>
      <c r="AA1301" t="s">
        <v>1888</v>
      </c>
      <c r="AB1301" t="s">
        <v>96</v>
      </c>
      <c r="AC1301" t="s">
        <v>97</v>
      </c>
      <c r="AD1301" t="s">
        <v>1818</v>
      </c>
      <c r="AG1301" t="s">
        <v>1889</v>
      </c>
      <c r="AH1301">
        <v>0</v>
      </c>
      <c r="AI1301">
        <v>0</v>
      </c>
      <c r="AJ1301">
        <v>0</v>
      </c>
      <c r="AK1301">
        <v>12</v>
      </c>
      <c r="AL1301">
        <v>0.4</v>
      </c>
    </row>
    <row r="1302" spans="1:38" x14ac:dyDescent="0.3">
      <c r="A1302" t="s">
        <v>1813</v>
      </c>
      <c r="B1302">
        <v>13464</v>
      </c>
      <c r="C1302">
        <v>2</v>
      </c>
      <c r="D1302" t="s">
        <v>1885</v>
      </c>
      <c r="E1302" t="s">
        <v>1886</v>
      </c>
      <c r="F1302">
        <v>30</v>
      </c>
      <c r="G1302">
        <v>11.86</v>
      </c>
      <c r="H1302">
        <v>39.22</v>
      </c>
      <c r="I1302">
        <v>10.51</v>
      </c>
      <c r="J1302">
        <v>34.76</v>
      </c>
      <c r="K1302">
        <v>2</v>
      </c>
      <c r="T1302">
        <v>1</v>
      </c>
      <c r="U1302">
        <v>1</v>
      </c>
      <c r="V1302" t="s">
        <v>93</v>
      </c>
      <c r="W1302" t="s">
        <v>1329</v>
      </c>
      <c r="X1302">
        <v>6</v>
      </c>
      <c r="Y1302">
        <v>6</v>
      </c>
      <c r="Z1302" t="s">
        <v>1887</v>
      </c>
      <c r="AA1302" t="s">
        <v>1888</v>
      </c>
      <c r="AB1302" t="s">
        <v>96</v>
      </c>
      <c r="AC1302" t="s">
        <v>97</v>
      </c>
      <c r="AD1302" t="s">
        <v>1818</v>
      </c>
      <c r="AG1302" t="s">
        <v>1889</v>
      </c>
      <c r="AH1302">
        <v>0</v>
      </c>
      <c r="AI1302">
        <v>0</v>
      </c>
      <c r="AJ1302">
        <v>0</v>
      </c>
      <c r="AK1302">
        <v>12</v>
      </c>
      <c r="AL1302">
        <v>0.4</v>
      </c>
    </row>
    <row r="1303" spans="1:38" x14ac:dyDescent="0.3">
      <c r="A1303" t="s">
        <v>1813</v>
      </c>
      <c r="B1303">
        <v>13464</v>
      </c>
      <c r="C1303">
        <v>3</v>
      </c>
      <c r="D1303" t="s">
        <v>1885</v>
      </c>
      <c r="E1303" t="s">
        <v>1886</v>
      </c>
      <c r="F1303">
        <v>30</v>
      </c>
      <c r="G1303">
        <v>11.94</v>
      </c>
      <c r="H1303">
        <v>39.479999999999997</v>
      </c>
      <c r="I1303">
        <v>10.51</v>
      </c>
      <c r="J1303">
        <v>34.76</v>
      </c>
      <c r="K1303">
        <v>1</v>
      </c>
      <c r="T1303">
        <v>1</v>
      </c>
      <c r="U1303">
        <v>1</v>
      </c>
      <c r="V1303" t="s">
        <v>93</v>
      </c>
      <c r="W1303" t="s">
        <v>1890</v>
      </c>
      <c r="X1303">
        <v>6</v>
      </c>
      <c r="Y1303">
        <v>6</v>
      </c>
      <c r="Z1303" t="s">
        <v>1887</v>
      </c>
      <c r="AA1303" t="s">
        <v>1888</v>
      </c>
      <c r="AB1303" t="s">
        <v>96</v>
      </c>
      <c r="AC1303" t="s">
        <v>97</v>
      </c>
      <c r="AD1303" t="s">
        <v>1818</v>
      </c>
      <c r="AG1303" t="s">
        <v>1889</v>
      </c>
      <c r="AH1303">
        <v>0</v>
      </c>
      <c r="AI1303">
        <v>0</v>
      </c>
      <c r="AJ1303">
        <v>0</v>
      </c>
      <c r="AK1303">
        <v>12</v>
      </c>
      <c r="AL1303">
        <v>0.4</v>
      </c>
    </row>
    <row r="1304" spans="1:38" x14ac:dyDescent="0.3">
      <c r="A1304" t="s">
        <v>1813</v>
      </c>
      <c r="B1304">
        <v>13464</v>
      </c>
      <c r="C1304">
        <v>4</v>
      </c>
      <c r="D1304" t="s">
        <v>1885</v>
      </c>
      <c r="E1304" t="s">
        <v>1886</v>
      </c>
      <c r="F1304">
        <v>30</v>
      </c>
      <c r="G1304">
        <v>12.31</v>
      </c>
      <c r="H1304">
        <v>40.700000000000003</v>
      </c>
      <c r="I1304">
        <v>10.94</v>
      </c>
      <c r="J1304">
        <v>36.18</v>
      </c>
      <c r="K1304">
        <v>2</v>
      </c>
      <c r="T1304">
        <v>1</v>
      </c>
      <c r="U1304">
        <v>1</v>
      </c>
      <c r="V1304" t="s">
        <v>93</v>
      </c>
      <c r="W1304" t="s">
        <v>1891</v>
      </c>
      <c r="X1304">
        <v>6</v>
      </c>
      <c r="Y1304">
        <v>6</v>
      </c>
      <c r="Z1304" t="s">
        <v>1887</v>
      </c>
      <c r="AA1304" t="s">
        <v>1888</v>
      </c>
      <c r="AB1304" t="s">
        <v>96</v>
      </c>
      <c r="AC1304" t="s">
        <v>97</v>
      </c>
      <c r="AD1304" t="s">
        <v>1818</v>
      </c>
      <c r="AG1304" t="s">
        <v>1889</v>
      </c>
      <c r="AH1304">
        <v>0</v>
      </c>
      <c r="AI1304">
        <v>0</v>
      </c>
      <c r="AJ1304">
        <v>0</v>
      </c>
      <c r="AK1304">
        <v>12</v>
      </c>
      <c r="AL1304">
        <v>0.4</v>
      </c>
    </row>
    <row r="1305" spans="1:38" x14ac:dyDescent="0.3">
      <c r="A1305" t="s">
        <v>1813</v>
      </c>
      <c r="B1305">
        <v>13464</v>
      </c>
      <c r="C1305">
        <v>5</v>
      </c>
      <c r="D1305" t="s">
        <v>1885</v>
      </c>
      <c r="E1305" t="s">
        <v>1886</v>
      </c>
      <c r="F1305">
        <v>30</v>
      </c>
      <c r="G1305">
        <v>16.09</v>
      </c>
      <c r="H1305">
        <v>53.21</v>
      </c>
      <c r="I1305">
        <v>14.17</v>
      </c>
      <c r="J1305">
        <v>46.85</v>
      </c>
      <c r="K1305">
        <v>1</v>
      </c>
      <c r="T1305">
        <v>2</v>
      </c>
      <c r="U1305">
        <v>1</v>
      </c>
      <c r="V1305" t="s">
        <v>93</v>
      </c>
      <c r="W1305">
        <v>53</v>
      </c>
      <c r="X1305">
        <v>6</v>
      </c>
      <c r="Y1305">
        <v>6</v>
      </c>
      <c r="Z1305" t="s">
        <v>1887</v>
      </c>
      <c r="AA1305" t="s">
        <v>1888</v>
      </c>
      <c r="AB1305" t="s">
        <v>96</v>
      </c>
      <c r="AC1305" t="s">
        <v>97</v>
      </c>
      <c r="AD1305" t="s">
        <v>1818</v>
      </c>
      <c r="AG1305" t="s">
        <v>1889</v>
      </c>
      <c r="AH1305">
        <v>0</v>
      </c>
      <c r="AI1305">
        <v>0</v>
      </c>
      <c r="AJ1305">
        <v>0</v>
      </c>
      <c r="AK1305">
        <v>12</v>
      </c>
      <c r="AL1305">
        <v>0.4</v>
      </c>
    </row>
    <row r="1306" spans="1:38" x14ac:dyDescent="0.3">
      <c r="A1306" t="s">
        <v>1813</v>
      </c>
      <c r="B1306">
        <v>13464</v>
      </c>
      <c r="C1306">
        <v>6</v>
      </c>
      <c r="D1306" t="s">
        <v>1885</v>
      </c>
      <c r="E1306" t="s">
        <v>1886</v>
      </c>
      <c r="F1306">
        <v>30</v>
      </c>
      <c r="G1306">
        <v>19.93</v>
      </c>
      <c r="H1306">
        <v>65.89</v>
      </c>
      <c r="I1306">
        <v>17.71</v>
      </c>
      <c r="J1306">
        <v>58.57</v>
      </c>
      <c r="K1306">
        <v>8</v>
      </c>
      <c r="T1306">
        <v>3</v>
      </c>
      <c r="U1306">
        <v>1</v>
      </c>
      <c r="V1306" t="s">
        <v>93</v>
      </c>
      <c r="W1306" t="s">
        <v>197</v>
      </c>
      <c r="X1306">
        <v>6</v>
      </c>
      <c r="Y1306">
        <v>6</v>
      </c>
      <c r="Z1306" t="s">
        <v>1887</v>
      </c>
      <c r="AA1306" t="s">
        <v>1888</v>
      </c>
      <c r="AB1306" t="s">
        <v>96</v>
      </c>
      <c r="AC1306" t="s">
        <v>97</v>
      </c>
      <c r="AD1306" t="s">
        <v>1818</v>
      </c>
      <c r="AG1306" t="s">
        <v>1889</v>
      </c>
      <c r="AH1306">
        <v>0</v>
      </c>
      <c r="AI1306">
        <v>0</v>
      </c>
      <c r="AJ1306">
        <v>0</v>
      </c>
      <c r="AK1306">
        <v>12</v>
      </c>
      <c r="AL1306">
        <v>0.4</v>
      </c>
    </row>
    <row r="1307" spans="1:38" x14ac:dyDescent="0.3">
      <c r="A1307" t="s">
        <v>1813</v>
      </c>
      <c r="B1307">
        <v>13464</v>
      </c>
      <c r="C1307">
        <v>7</v>
      </c>
      <c r="D1307" t="s">
        <v>1885</v>
      </c>
      <c r="E1307" t="s">
        <v>1886</v>
      </c>
      <c r="F1307">
        <v>30</v>
      </c>
      <c r="G1307">
        <v>20.260000000000002</v>
      </c>
      <c r="H1307">
        <v>66.989999999999995</v>
      </c>
      <c r="I1307">
        <v>17.940000000000001</v>
      </c>
      <c r="J1307">
        <v>59.33</v>
      </c>
      <c r="K1307">
        <v>8</v>
      </c>
      <c r="T1307">
        <v>3</v>
      </c>
      <c r="U1307">
        <v>1</v>
      </c>
      <c r="V1307" t="s">
        <v>93</v>
      </c>
      <c r="W1307" t="s">
        <v>256</v>
      </c>
      <c r="X1307">
        <v>6</v>
      </c>
      <c r="Y1307">
        <v>6</v>
      </c>
      <c r="Z1307" t="s">
        <v>1887</v>
      </c>
      <c r="AA1307" t="s">
        <v>1888</v>
      </c>
      <c r="AB1307" t="s">
        <v>96</v>
      </c>
      <c r="AC1307" t="s">
        <v>97</v>
      </c>
      <c r="AD1307" t="s">
        <v>1818</v>
      </c>
      <c r="AG1307" t="s">
        <v>1889</v>
      </c>
      <c r="AH1307">
        <v>0</v>
      </c>
      <c r="AI1307">
        <v>0</v>
      </c>
      <c r="AJ1307">
        <v>0</v>
      </c>
      <c r="AK1307">
        <v>12</v>
      </c>
      <c r="AL1307">
        <v>0.4</v>
      </c>
    </row>
    <row r="1308" spans="1:38" x14ac:dyDescent="0.3">
      <c r="A1308" t="s">
        <v>1813</v>
      </c>
      <c r="B1308">
        <v>13464</v>
      </c>
      <c r="C1308">
        <v>8</v>
      </c>
      <c r="D1308" t="s">
        <v>1885</v>
      </c>
      <c r="E1308" t="s">
        <v>1886</v>
      </c>
      <c r="F1308">
        <v>30</v>
      </c>
      <c r="G1308">
        <v>20.38</v>
      </c>
      <c r="H1308">
        <v>67.38</v>
      </c>
      <c r="I1308">
        <v>17.940000000000001</v>
      </c>
      <c r="J1308">
        <v>59.33</v>
      </c>
      <c r="K1308">
        <v>7</v>
      </c>
      <c r="T1308">
        <v>3</v>
      </c>
      <c r="U1308">
        <v>1</v>
      </c>
      <c r="V1308" t="s">
        <v>93</v>
      </c>
      <c r="W1308" t="s">
        <v>902</v>
      </c>
      <c r="X1308">
        <v>6</v>
      </c>
      <c r="Y1308">
        <v>6</v>
      </c>
      <c r="Z1308" t="s">
        <v>1887</v>
      </c>
      <c r="AA1308" t="s">
        <v>1888</v>
      </c>
      <c r="AB1308" t="s">
        <v>96</v>
      </c>
      <c r="AC1308" t="s">
        <v>97</v>
      </c>
      <c r="AD1308" t="s">
        <v>1818</v>
      </c>
      <c r="AG1308" t="s">
        <v>1889</v>
      </c>
      <c r="AH1308">
        <v>0</v>
      </c>
      <c r="AI1308">
        <v>0</v>
      </c>
      <c r="AJ1308">
        <v>0</v>
      </c>
      <c r="AK1308">
        <v>12</v>
      </c>
      <c r="AL1308">
        <v>0.4</v>
      </c>
    </row>
    <row r="1309" spans="1:38" x14ac:dyDescent="0.3">
      <c r="A1309" t="s">
        <v>1813</v>
      </c>
      <c r="B1309">
        <v>110316</v>
      </c>
      <c r="C1309">
        <v>1</v>
      </c>
      <c r="D1309" t="s">
        <v>1892</v>
      </c>
      <c r="E1309" t="s">
        <v>1893</v>
      </c>
      <c r="F1309">
        <v>264</v>
      </c>
      <c r="G1309">
        <v>7.25</v>
      </c>
      <c r="H1309">
        <v>23.97</v>
      </c>
      <c r="I1309">
        <v>4.71</v>
      </c>
      <c r="J1309">
        <v>15.6</v>
      </c>
      <c r="K1309">
        <v>176</v>
      </c>
      <c r="T1309">
        <v>1</v>
      </c>
      <c r="U1309">
        <v>1</v>
      </c>
      <c r="V1309" t="s">
        <v>132</v>
      </c>
      <c r="W1309">
        <v>23</v>
      </c>
      <c r="X1309">
        <v>15</v>
      </c>
      <c r="Y1309">
        <v>15</v>
      </c>
      <c r="Z1309" t="s">
        <v>1894</v>
      </c>
      <c r="AA1309" t="s">
        <v>1895</v>
      </c>
      <c r="AB1309" t="s">
        <v>96</v>
      </c>
      <c r="AC1309" t="s">
        <v>97</v>
      </c>
      <c r="AD1309" t="s">
        <v>1818</v>
      </c>
      <c r="AG1309" t="s">
        <v>1896</v>
      </c>
      <c r="AH1309">
        <v>0</v>
      </c>
      <c r="AI1309">
        <v>539</v>
      </c>
      <c r="AJ1309">
        <v>50</v>
      </c>
      <c r="AK1309">
        <v>140</v>
      </c>
      <c r="AL1309">
        <v>0.53</v>
      </c>
    </row>
    <row r="1310" spans="1:38" x14ac:dyDescent="0.3">
      <c r="A1310" t="s">
        <v>1813</v>
      </c>
      <c r="B1310">
        <v>110316</v>
      </c>
      <c r="C1310">
        <v>2</v>
      </c>
      <c r="D1310" t="s">
        <v>1892</v>
      </c>
      <c r="E1310" t="s">
        <v>1893</v>
      </c>
      <c r="F1310">
        <v>264</v>
      </c>
      <c r="G1310">
        <v>13.99</v>
      </c>
      <c r="H1310">
        <v>46.25</v>
      </c>
      <c r="I1310">
        <v>9.16</v>
      </c>
      <c r="J1310">
        <v>30.3</v>
      </c>
      <c r="K1310">
        <v>22</v>
      </c>
      <c r="T1310">
        <v>1</v>
      </c>
      <c r="U1310">
        <v>1</v>
      </c>
      <c r="V1310" t="s">
        <v>132</v>
      </c>
      <c r="W1310">
        <v>46</v>
      </c>
      <c r="X1310">
        <v>15</v>
      </c>
      <c r="Y1310">
        <v>15</v>
      </c>
      <c r="Z1310" t="s">
        <v>1894</v>
      </c>
      <c r="AA1310" t="s">
        <v>1895</v>
      </c>
      <c r="AB1310" t="s">
        <v>96</v>
      </c>
      <c r="AC1310" t="s">
        <v>97</v>
      </c>
      <c r="AD1310" t="s">
        <v>1818</v>
      </c>
      <c r="AG1310" t="s">
        <v>1896</v>
      </c>
      <c r="AH1310">
        <v>0</v>
      </c>
      <c r="AI1310">
        <v>539</v>
      </c>
      <c r="AJ1310">
        <v>50</v>
      </c>
      <c r="AK1310">
        <v>140</v>
      </c>
      <c r="AL1310">
        <v>0.53</v>
      </c>
    </row>
    <row r="1311" spans="1:38" x14ac:dyDescent="0.3">
      <c r="A1311" t="s">
        <v>1813</v>
      </c>
      <c r="B1311">
        <v>110316</v>
      </c>
      <c r="C1311">
        <v>3</v>
      </c>
      <c r="D1311" t="s">
        <v>1892</v>
      </c>
      <c r="E1311" t="s">
        <v>1893</v>
      </c>
      <c r="F1311">
        <v>264</v>
      </c>
      <c r="G1311">
        <v>14.71</v>
      </c>
      <c r="H1311">
        <v>48.66</v>
      </c>
      <c r="I1311">
        <v>9.6300000000000008</v>
      </c>
      <c r="J1311">
        <v>31.86</v>
      </c>
      <c r="K1311">
        <v>44</v>
      </c>
      <c r="T1311">
        <v>1</v>
      </c>
      <c r="U1311">
        <v>1</v>
      </c>
      <c r="V1311" t="s">
        <v>132</v>
      </c>
      <c r="W1311">
        <v>48</v>
      </c>
      <c r="X1311">
        <v>15</v>
      </c>
      <c r="Y1311">
        <v>15</v>
      </c>
      <c r="Z1311" t="s">
        <v>1894</v>
      </c>
      <c r="AA1311" t="s">
        <v>1895</v>
      </c>
      <c r="AB1311" t="s">
        <v>96</v>
      </c>
      <c r="AC1311" t="s">
        <v>97</v>
      </c>
      <c r="AD1311" t="s">
        <v>1818</v>
      </c>
      <c r="AG1311" t="s">
        <v>1896</v>
      </c>
      <c r="AH1311">
        <v>0</v>
      </c>
      <c r="AI1311">
        <v>539</v>
      </c>
      <c r="AJ1311">
        <v>50</v>
      </c>
      <c r="AK1311">
        <v>140</v>
      </c>
      <c r="AL1311">
        <v>0.53</v>
      </c>
    </row>
    <row r="1312" spans="1:38" x14ac:dyDescent="0.3">
      <c r="A1312" t="s">
        <v>1813</v>
      </c>
      <c r="B1312">
        <v>110316</v>
      </c>
      <c r="C1312">
        <v>4</v>
      </c>
      <c r="D1312" t="s">
        <v>1892</v>
      </c>
      <c r="E1312" t="s">
        <v>1893</v>
      </c>
      <c r="F1312">
        <v>264</v>
      </c>
      <c r="G1312">
        <v>21.11</v>
      </c>
      <c r="H1312">
        <v>69.81</v>
      </c>
      <c r="I1312">
        <v>13.96</v>
      </c>
      <c r="J1312">
        <v>46.16</v>
      </c>
      <c r="K1312">
        <v>22</v>
      </c>
      <c r="T1312">
        <v>1</v>
      </c>
      <c r="U1312">
        <v>1</v>
      </c>
      <c r="V1312" t="s">
        <v>132</v>
      </c>
      <c r="W1312">
        <v>69</v>
      </c>
      <c r="X1312">
        <v>15</v>
      </c>
      <c r="Y1312">
        <v>15</v>
      </c>
      <c r="Z1312" t="s">
        <v>1894</v>
      </c>
      <c r="AA1312" t="s">
        <v>1895</v>
      </c>
      <c r="AB1312" t="s">
        <v>96</v>
      </c>
      <c r="AC1312" t="s">
        <v>97</v>
      </c>
      <c r="AD1312" t="s">
        <v>1818</v>
      </c>
      <c r="AG1312" t="s">
        <v>1896</v>
      </c>
      <c r="AH1312">
        <v>0</v>
      </c>
      <c r="AI1312">
        <v>539</v>
      </c>
      <c r="AJ1312">
        <v>50</v>
      </c>
      <c r="AK1312">
        <v>140</v>
      </c>
      <c r="AL1312">
        <v>0.53</v>
      </c>
    </row>
    <row r="1313" spans="1:38" x14ac:dyDescent="0.3">
      <c r="A1313" t="s">
        <v>1813</v>
      </c>
      <c r="B1313">
        <v>113320</v>
      </c>
      <c r="C1313">
        <v>1</v>
      </c>
      <c r="D1313" t="s">
        <v>1897</v>
      </c>
      <c r="E1313" t="s">
        <v>1898</v>
      </c>
      <c r="F1313">
        <v>186</v>
      </c>
      <c r="G1313">
        <v>27.63</v>
      </c>
      <c r="H1313">
        <v>91.34</v>
      </c>
      <c r="I1313">
        <v>18.059999999999999</v>
      </c>
      <c r="J1313">
        <v>59.71</v>
      </c>
      <c r="K1313">
        <v>93</v>
      </c>
      <c r="T1313">
        <v>3</v>
      </c>
      <c r="U1313">
        <v>2</v>
      </c>
      <c r="V1313" t="s">
        <v>93</v>
      </c>
      <c r="W1313" t="s">
        <v>476</v>
      </c>
      <c r="X1313">
        <v>35</v>
      </c>
      <c r="Y1313">
        <v>34</v>
      </c>
      <c r="Z1313" t="s">
        <v>1899</v>
      </c>
      <c r="AA1313" t="s">
        <v>1900</v>
      </c>
      <c r="AB1313" t="s">
        <v>96</v>
      </c>
      <c r="AC1313" t="s">
        <v>97</v>
      </c>
      <c r="AD1313" t="s">
        <v>1818</v>
      </c>
      <c r="AG1313" t="s">
        <v>1901</v>
      </c>
      <c r="AH1313">
        <v>0</v>
      </c>
      <c r="AI1313">
        <v>779</v>
      </c>
      <c r="AJ1313">
        <v>63</v>
      </c>
      <c r="AK1313">
        <v>186</v>
      </c>
      <c r="AL1313">
        <v>1</v>
      </c>
    </row>
    <row r="1314" spans="1:38" x14ac:dyDescent="0.3">
      <c r="A1314" t="s">
        <v>1813</v>
      </c>
      <c r="B1314">
        <v>113320</v>
      </c>
      <c r="C1314">
        <v>2</v>
      </c>
      <c r="D1314" t="s">
        <v>1897</v>
      </c>
      <c r="E1314" t="s">
        <v>1898</v>
      </c>
      <c r="F1314">
        <v>186</v>
      </c>
      <c r="G1314">
        <v>27.86</v>
      </c>
      <c r="H1314">
        <v>92.11</v>
      </c>
      <c r="I1314">
        <v>18.07</v>
      </c>
      <c r="J1314">
        <v>59.74</v>
      </c>
      <c r="K1314">
        <v>62</v>
      </c>
      <c r="T1314">
        <v>3</v>
      </c>
      <c r="U1314">
        <v>2</v>
      </c>
      <c r="V1314" t="s">
        <v>93</v>
      </c>
      <c r="W1314" t="s">
        <v>170</v>
      </c>
      <c r="X1314">
        <v>35</v>
      </c>
      <c r="Y1314">
        <v>34</v>
      </c>
      <c r="Z1314" t="s">
        <v>1899</v>
      </c>
      <c r="AA1314" t="s">
        <v>1900</v>
      </c>
      <c r="AB1314" t="s">
        <v>96</v>
      </c>
      <c r="AC1314" t="s">
        <v>97</v>
      </c>
      <c r="AD1314" t="s">
        <v>1818</v>
      </c>
      <c r="AG1314" t="s">
        <v>1901</v>
      </c>
      <c r="AH1314">
        <v>0</v>
      </c>
      <c r="AI1314">
        <v>779</v>
      </c>
      <c r="AJ1314">
        <v>63</v>
      </c>
      <c r="AK1314">
        <v>186</v>
      </c>
      <c r="AL1314">
        <v>1</v>
      </c>
    </row>
    <row r="1315" spans="1:38" x14ac:dyDescent="0.3">
      <c r="A1315" t="s">
        <v>1813</v>
      </c>
      <c r="B1315">
        <v>113320</v>
      </c>
      <c r="C1315">
        <v>3</v>
      </c>
      <c r="D1315" t="s">
        <v>1897</v>
      </c>
      <c r="E1315" t="s">
        <v>1898</v>
      </c>
      <c r="F1315">
        <v>186</v>
      </c>
      <c r="G1315">
        <v>27.88</v>
      </c>
      <c r="H1315">
        <v>92.19</v>
      </c>
      <c r="I1315">
        <v>17.96</v>
      </c>
      <c r="J1315">
        <v>59.39</v>
      </c>
      <c r="K1315">
        <v>31</v>
      </c>
      <c r="T1315">
        <v>3</v>
      </c>
      <c r="U1315">
        <v>2</v>
      </c>
      <c r="V1315" t="s">
        <v>93</v>
      </c>
      <c r="W1315" t="s">
        <v>1902</v>
      </c>
      <c r="X1315">
        <v>35</v>
      </c>
      <c r="Y1315">
        <v>34</v>
      </c>
      <c r="Z1315" t="s">
        <v>1899</v>
      </c>
      <c r="AA1315" t="s">
        <v>1900</v>
      </c>
      <c r="AB1315" t="s">
        <v>96</v>
      </c>
      <c r="AC1315" t="s">
        <v>97</v>
      </c>
      <c r="AD1315" t="s">
        <v>1818</v>
      </c>
      <c r="AG1315" t="s">
        <v>1901</v>
      </c>
      <c r="AH1315">
        <v>0</v>
      </c>
      <c r="AI1315">
        <v>779</v>
      </c>
      <c r="AJ1315">
        <v>63</v>
      </c>
      <c r="AK1315">
        <v>186</v>
      </c>
      <c r="AL1315">
        <v>1</v>
      </c>
    </row>
    <row r="1316" spans="1:38" x14ac:dyDescent="0.3">
      <c r="A1316" t="s">
        <v>1813</v>
      </c>
      <c r="B1316">
        <v>10473</v>
      </c>
      <c r="C1316">
        <v>1</v>
      </c>
      <c r="D1316" t="s">
        <v>1903</v>
      </c>
      <c r="E1316" t="s">
        <v>281</v>
      </c>
      <c r="F1316">
        <v>55</v>
      </c>
      <c r="G1316">
        <v>20.85</v>
      </c>
      <c r="H1316">
        <v>68.95</v>
      </c>
      <c r="I1316">
        <v>17.82</v>
      </c>
      <c r="J1316">
        <v>58.91</v>
      </c>
      <c r="K1316">
        <v>20</v>
      </c>
      <c r="T1316">
        <v>3</v>
      </c>
      <c r="U1316">
        <v>1</v>
      </c>
      <c r="V1316" t="s">
        <v>93</v>
      </c>
      <c r="W1316">
        <v>68</v>
      </c>
      <c r="X1316">
        <v>5</v>
      </c>
      <c r="Y1316">
        <v>5</v>
      </c>
      <c r="Z1316" t="s">
        <v>1904</v>
      </c>
      <c r="AA1316" t="s">
        <v>1905</v>
      </c>
      <c r="AB1316" t="s">
        <v>96</v>
      </c>
      <c r="AC1316" t="s">
        <v>97</v>
      </c>
      <c r="AD1316" t="s">
        <v>1818</v>
      </c>
      <c r="AG1316" t="s">
        <v>1906</v>
      </c>
      <c r="AH1316">
        <v>0</v>
      </c>
      <c r="AI1316">
        <v>0</v>
      </c>
      <c r="AJ1316">
        <v>0</v>
      </c>
      <c r="AK1316">
        <v>0</v>
      </c>
      <c r="AL1316">
        <v>0</v>
      </c>
    </row>
    <row r="1317" spans="1:38" x14ac:dyDescent="0.3">
      <c r="A1317" t="s">
        <v>1813</v>
      </c>
      <c r="B1317">
        <v>10473</v>
      </c>
      <c r="C1317">
        <v>2</v>
      </c>
      <c r="D1317" t="s">
        <v>1903</v>
      </c>
      <c r="E1317" t="s">
        <v>281</v>
      </c>
      <c r="F1317">
        <v>55</v>
      </c>
      <c r="G1317">
        <v>23.73</v>
      </c>
      <c r="H1317">
        <v>78.45</v>
      </c>
      <c r="I1317">
        <v>20.350000000000001</v>
      </c>
      <c r="J1317">
        <v>67.290000000000006</v>
      </c>
      <c r="K1317">
        <v>30</v>
      </c>
      <c r="T1317">
        <v>3</v>
      </c>
      <c r="U1317">
        <v>1</v>
      </c>
      <c r="V1317" t="s">
        <v>93</v>
      </c>
      <c r="W1317">
        <v>78</v>
      </c>
      <c r="X1317">
        <v>5</v>
      </c>
      <c r="Y1317">
        <v>5</v>
      </c>
      <c r="Z1317" t="s">
        <v>1904</v>
      </c>
      <c r="AA1317" t="s">
        <v>1905</v>
      </c>
      <c r="AB1317" t="s">
        <v>96</v>
      </c>
      <c r="AC1317" t="s">
        <v>97</v>
      </c>
      <c r="AD1317" t="s">
        <v>1818</v>
      </c>
      <c r="AG1317" t="s">
        <v>1906</v>
      </c>
      <c r="AH1317">
        <v>0</v>
      </c>
      <c r="AI1317">
        <v>0</v>
      </c>
      <c r="AJ1317">
        <v>0</v>
      </c>
      <c r="AK1317">
        <v>0</v>
      </c>
      <c r="AL1317">
        <v>0</v>
      </c>
    </row>
    <row r="1318" spans="1:38" x14ac:dyDescent="0.3">
      <c r="A1318" t="s">
        <v>1813</v>
      </c>
      <c r="B1318">
        <v>10473</v>
      </c>
      <c r="C1318">
        <v>3</v>
      </c>
      <c r="D1318" t="s">
        <v>1903</v>
      </c>
      <c r="E1318" t="s">
        <v>281</v>
      </c>
      <c r="F1318">
        <v>55</v>
      </c>
      <c r="G1318">
        <v>24.86</v>
      </c>
      <c r="H1318">
        <v>82.21</v>
      </c>
      <c r="I1318">
        <v>21.78</v>
      </c>
      <c r="J1318">
        <v>72</v>
      </c>
      <c r="K1318">
        <v>5</v>
      </c>
      <c r="T1318">
        <v>3</v>
      </c>
      <c r="U1318">
        <v>1</v>
      </c>
      <c r="V1318" t="s">
        <v>93</v>
      </c>
      <c r="W1318">
        <v>82</v>
      </c>
      <c r="X1318">
        <v>5</v>
      </c>
      <c r="Y1318">
        <v>5</v>
      </c>
      <c r="Z1318" t="s">
        <v>1904</v>
      </c>
      <c r="AA1318" t="s">
        <v>1905</v>
      </c>
      <c r="AB1318" t="s">
        <v>96</v>
      </c>
      <c r="AC1318" t="s">
        <v>97</v>
      </c>
      <c r="AD1318" t="s">
        <v>1818</v>
      </c>
      <c r="AG1318" t="s">
        <v>1906</v>
      </c>
      <c r="AH1318">
        <v>0</v>
      </c>
      <c r="AI1318">
        <v>0</v>
      </c>
      <c r="AJ1318">
        <v>0</v>
      </c>
      <c r="AK1318">
        <v>0</v>
      </c>
      <c r="AL1318">
        <v>0</v>
      </c>
    </row>
    <row r="1319" spans="1:38" x14ac:dyDescent="0.3">
      <c r="A1319" t="s">
        <v>1813</v>
      </c>
      <c r="B1319">
        <v>23072</v>
      </c>
      <c r="C1319">
        <v>1</v>
      </c>
      <c r="D1319" t="s">
        <v>1907</v>
      </c>
      <c r="E1319" t="s">
        <v>1908</v>
      </c>
      <c r="F1319">
        <v>108</v>
      </c>
      <c r="G1319">
        <v>23.11</v>
      </c>
      <c r="H1319">
        <v>76.42</v>
      </c>
      <c r="I1319">
        <v>17.989999999999998</v>
      </c>
      <c r="J1319">
        <v>59.49</v>
      </c>
      <c r="K1319">
        <v>26</v>
      </c>
      <c r="T1319">
        <v>3</v>
      </c>
      <c r="U1319">
        <v>2</v>
      </c>
      <c r="V1319" t="s">
        <v>93</v>
      </c>
      <c r="W1319" t="s">
        <v>1413</v>
      </c>
      <c r="X1319">
        <v>13</v>
      </c>
      <c r="Y1319">
        <v>11</v>
      </c>
      <c r="Z1319" t="s">
        <v>1909</v>
      </c>
      <c r="AA1319" t="s">
        <v>1910</v>
      </c>
      <c r="AB1319" t="s">
        <v>96</v>
      </c>
      <c r="AC1319" t="s">
        <v>97</v>
      </c>
      <c r="AD1319" t="s">
        <v>1818</v>
      </c>
      <c r="AG1319" t="s">
        <v>1911</v>
      </c>
      <c r="AH1319">
        <v>0</v>
      </c>
      <c r="AI1319">
        <v>248</v>
      </c>
      <c r="AJ1319">
        <v>27</v>
      </c>
      <c r="AK1319">
        <v>139</v>
      </c>
      <c r="AL1319">
        <v>1.29</v>
      </c>
    </row>
    <row r="1320" spans="1:38" x14ac:dyDescent="0.3">
      <c r="A1320" t="s">
        <v>1813</v>
      </c>
      <c r="B1320">
        <v>23072</v>
      </c>
      <c r="C1320">
        <v>2</v>
      </c>
      <c r="D1320" t="s">
        <v>1907</v>
      </c>
      <c r="E1320" t="s">
        <v>1908</v>
      </c>
      <c r="F1320">
        <v>108</v>
      </c>
      <c r="G1320">
        <v>23.15</v>
      </c>
      <c r="H1320">
        <v>76.56</v>
      </c>
      <c r="I1320">
        <v>18.05</v>
      </c>
      <c r="J1320">
        <v>59.67</v>
      </c>
      <c r="K1320">
        <v>10</v>
      </c>
      <c r="T1320">
        <v>3</v>
      </c>
      <c r="U1320">
        <v>2</v>
      </c>
      <c r="V1320" t="s">
        <v>93</v>
      </c>
      <c r="W1320" t="s">
        <v>1126</v>
      </c>
      <c r="X1320">
        <v>13</v>
      </c>
      <c r="Y1320">
        <v>11</v>
      </c>
      <c r="Z1320" t="s">
        <v>1909</v>
      </c>
      <c r="AA1320" t="s">
        <v>1910</v>
      </c>
      <c r="AB1320" t="s">
        <v>96</v>
      </c>
      <c r="AC1320" t="s">
        <v>97</v>
      </c>
      <c r="AD1320" t="s">
        <v>1818</v>
      </c>
      <c r="AG1320" t="s">
        <v>1911</v>
      </c>
      <c r="AH1320">
        <v>0</v>
      </c>
      <c r="AI1320">
        <v>248</v>
      </c>
      <c r="AJ1320">
        <v>27</v>
      </c>
      <c r="AK1320">
        <v>139</v>
      </c>
      <c r="AL1320">
        <v>1.29</v>
      </c>
    </row>
    <row r="1321" spans="1:38" x14ac:dyDescent="0.3">
      <c r="A1321" t="s">
        <v>1813</v>
      </c>
      <c r="B1321">
        <v>23072</v>
      </c>
      <c r="C1321">
        <v>3</v>
      </c>
      <c r="D1321" t="s">
        <v>1907</v>
      </c>
      <c r="E1321" t="s">
        <v>1908</v>
      </c>
      <c r="F1321">
        <v>108</v>
      </c>
      <c r="G1321">
        <v>28.37</v>
      </c>
      <c r="H1321">
        <v>93.81</v>
      </c>
      <c r="I1321">
        <v>22.77</v>
      </c>
      <c r="J1321">
        <v>75.28</v>
      </c>
      <c r="K1321">
        <v>49</v>
      </c>
      <c r="T1321">
        <v>3</v>
      </c>
      <c r="U1321">
        <v>2</v>
      </c>
      <c r="V1321" t="s">
        <v>93</v>
      </c>
      <c r="W1321">
        <v>93</v>
      </c>
      <c r="X1321">
        <v>13</v>
      </c>
      <c r="Y1321">
        <v>11</v>
      </c>
      <c r="Z1321" t="s">
        <v>1909</v>
      </c>
      <c r="AA1321" t="s">
        <v>1910</v>
      </c>
      <c r="AB1321" t="s">
        <v>96</v>
      </c>
      <c r="AC1321" t="s">
        <v>97</v>
      </c>
      <c r="AD1321" t="s">
        <v>1818</v>
      </c>
      <c r="AG1321" t="s">
        <v>1911</v>
      </c>
      <c r="AH1321">
        <v>0</v>
      </c>
      <c r="AI1321">
        <v>248</v>
      </c>
      <c r="AJ1321">
        <v>27</v>
      </c>
      <c r="AK1321">
        <v>139</v>
      </c>
      <c r="AL1321">
        <v>1.29</v>
      </c>
    </row>
    <row r="1322" spans="1:38" x14ac:dyDescent="0.3">
      <c r="A1322" t="s">
        <v>1813</v>
      </c>
      <c r="B1322">
        <v>23072</v>
      </c>
      <c r="C1322">
        <v>4</v>
      </c>
      <c r="D1322" t="s">
        <v>1907</v>
      </c>
      <c r="E1322" t="s">
        <v>1908</v>
      </c>
      <c r="F1322">
        <v>108</v>
      </c>
      <c r="G1322">
        <v>32.270000000000003</v>
      </c>
      <c r="H1322">
        <v>106.71</v>
      </c>
      <c r="I1322">
        <v>25.65</v>
      </c>
      <c r="J1322">
        <v>84.82</v>
      </c>
      <c r="K1322">
        <v>23</v>
      </c>
      <c r="T1322">
        <v>3</v>
      </c>
      <c r="U1322">
        <v>2</v>
      </c>
      <c r="V1322" t="s">
        <v>93</v>
      </c>
      <c r="W1322">
        <v>106</v>
      </c>
      <c r="X1322">
        <v>13</v>
      </c>
      <c r="Y1322">
        <v>11</v>
      </c>
      <c r="Z1322" t="s">
        <v>1909</v>
      </c>
      <c r="AA1322" t="s">
        <v>1910</v>
      </c>
      <c r="AB1322" t="s">
        <v>96</v>
      </c>
      <c r="AC1322" t="s">
        <v>97</v>
      </c>
      <c r="AD1322" t="s">
        <v>1818</v>
      </c>
      <c r="AG1322" t="s">
        <v>1911</v>
      </c>
      <c r="AH1322">
        <v>0</v>
      </c>
      <c r="AI1322">
        <v>248</v>
      </c>
      <c r="AJ1322">
        <v>27</v>
      </c>
      <c r="AK1322">
        <v>139</v>
      </c>
      <c r="AL1322">
        <v>1.29</v>
      </c>
    </row>
    <row r="1323" spans="1:38" x14ac:dyDescent="0.3">
      <c r="A1323" t="s">
        <v>1813</v>
      </c>
      <c r="B1323">
        <v>9724</v>
      </c>
      <c r="C1323">
        <v>1</v>
      </c>
      <c r="D1323" t="s">
        <v>1912</v>
      </c>
      <c r="E1323" t="s">
        <v>993</v>
      </c>
      <c r="F1323">
        <v>100</v>
      </c>
      <c r="G1323">
        <v>20.13</v>
      </c>
      <c r="H1323">
        <v>66.55</v>
      </c>
      <c r="I1323">
        <v>20.13</v>
      </c>
      <c r="J1323">
        <v>66.55</v>
      </c>
      <c r="K1323">
        <v>50</v>
      </c>
      <c r="T1323">
        <v>3</v>
      </c>
      <c r="U1323">
        <v>1</v>
      </c>
      <c r="V1323" t="s">
        <v>93</v>
      </c>
      <c r="W1323" t="s">
        <v>257</v>
      </c>
      <c r="X1323">
        <v>5</v>
      </c>
      <c r="Y1323">
        <v>5</v>
      </c>
      <c r="Z1323" t="s">
        <v>1913</v>
      </c>
      <c r="AA1323" t="s">
        <v>1914</v>
      </c>
      <c r="AB1323" t="s">
        <v>96</v>
      </c>
      <c r="AC1323" t="s">
        <v>97</v>
      </c>
      <c r="AD1323" t="s">
        <v>1818</v>
      </c>
      <c r="AG1323" t="s">
        <v>1915</v>
      </c>
      <c r="AH1323">
        <v>0</v>
      </c>
      <c r="AI1323">
        <v>0</v>
      </c>
      <c r="AJ1323">
        <v>0</v>
      </c>
      <c r="AK1323">
        <v>0</v>
      </c>
      <c r="AL1323">
        <v>0</v>
      </c>
    </row>
    <row r="1324" spans="1:38" x14ac:dyDescent="0.3">
      <c r="A1324" t="s">
        <v>1813</v>
      </c>
      <c r="B1324">
        <v>9724</v>
      </c>
      <c r="C1324">
        <v>2</v>
      </c>
      <c r="D1324" t="s">
        <v>1912</v>
      </c>
      <c r="E1324" t="s">
        <v>993</v>
      </c>
      <c r="F1324">
        <v>100</v>
      </c>
      <c r="G1324">
        <v>20.16</v>
      </c>
      <c r="H1324">
        <v>66.67</v>
      </c>
      <c r="I1324">
        <v>20.16</v>
      </c>
      <c r="J1324">
        <v>66.67</v>
      </c>
      <c r="K1324">
        <v>50</v>
      </c>
      <c r="T1324">
        <v>2</v>
      </c>
      <c r="U1324">
        <v>1</v>
      </c>
      <c r="V1324" t="s">
        <v>93</v>
      </c>
      <c r="W1324" t="s">
        <v>256</v>
      </c>
      <c r="X1324">
        <v>5</v>
      </c>
      <c r="Y1324">
        <v>5</v>
      </c>
      <c r="Z1324" t="s">
        <v>1913</v>
      </c>
      <c r="AA1324" t="s">
        <v>1914</v>
      </c>
      <c r="AB1324" t="s">
        <v>96</v>
      </c>
      <c r="AC1324" t="s">
        <v>97</v>
      </c>
      <c r="AD1324" t="s">
        <v>1818</v>
      </c>
      <c r="AG1324" t="s">
        <v>1915</v>
      </c>
      <c r="AH1324">
        <v>0</v>
      </c>
      <c r="AI1324">
        <v>0</v>
      </c>
      <c r="AJ1324">
        <v>0</v>
      </c>
      <c r="AK1324">
        <v>0</v>
      </c>
      <c r="AL1324">
        <v>0</v>
      </c>
    </row>
    <row r="1325" spans="1:38" x14ac:dyDescent="0.3">
      <c r="A1325" t="s">
        <v>1813</v>
      </c>
      <c r="B1325">
        <v>14793</v>
      </c>
      <c r="C1325">
        <v>1</v>
      </c>
      <c r="D1325" t="s">
        <v>1916</v>
      </c>
      <c r="E1325" t="s">
        <v>1917</v>
      </c>
      <c r="F1325">
        <v>90</v>
      </c>
      <c r="G1325">
        <v>16.2</v>
      </c>
      <c r="H1325">
        <v>53.56</v>
      </c>
      <c r="I1325">
        <v>12.29</v>
      </c>
      <c r="J1325">
        <v>40.65</v>
      </c>
      <c r="K1325">
        <v>40</v>
      </c>
      <c r="T1325">
        <v>2</v>
      </c>
      <c r="U1325">
        <v>1</v>
      </c>
      <c r="V1325" t="s">
        <v>93</v>
      </c>
      <c r="W1325">
        <v>53</v>
      </c>
      <c r="X1325">
        <v>5</v>
      </c>
      <c r="Y1325">
        <v>5</v>
      </c>
      <c r="Z1325" t="s">
        <v>1918</v>
      </c>
      <c r="AA1325" t="s">
        <v>1919</v>
      </c>
      <c r="AB1325" t="s">
        <v>96</v>
      </c>
      <c r="AC1325" t="s">
        <v>97</v>
      </c>
      <c r="AD1325" t="s">
        <v>1818</v>
      </c>
      <c r="AG1325" t="s">
        <v>1920</v>
      </c>
      <c r="AH1325">
        <v>0</v>
      </c>
      <c r="AI1325">
        <v>0</v>
      </c>
      <c r="AJ1325">
        <v>0</v>
      </c>
      <c r="AK1325">
        <v>0</v>
      </c>
      <c r="AL1325">
        <v>0</v>
      </c>
    </row>
    <row r="1326" spans="1:38" x14ac:dyDescent="0.3">
      <c r="A1326" t="s">
        <v>1813</v>
      </c>
      <c r="B1326">
        <v>14793</v>
      </c>
      <c r="C1326">
        <v>2</v>
      </c>
      <c r="D1326" t="s">
        <v>1916</v>
      </c>
      <c r="E1326" t="s">
        <v>1917</v>
      </c>
      <c r="F1326">
        <v>90</v>
      </c>
      <c r="G1326">
        <v>19.48</v>
      </c>
      <c r="H1326">
        <v>64.42</v>
      </c>
      <c r="I1326">
        <v>15.05</v>
      </c>
      <c r="J1326">
        <v>49.77</v>
      </c>
      <c r="K1326">
        <v>50</v>
      </c>
      <c r="T1326">
        <v>2</v>
      </c>
      <c r="U1326">
        <v>1</v>
      </c>
      <c r="V1326" t="s">
        <v>93</v>
      </c>
      <c r="W1326">
        <v>64</v>
      </c>
      <c r="X1326">
        <v>5</v>
      </c>
      <c r="Y1326">
        <v>5</v>
      </c>
      <c r="Z1326" t="s">
        <v>1918</v>
      </c>
      <c r="AA1326" t="s">
        <v>1919</v>
      </c>
      <c r="AB1326" t="s">
        <v>96</v>
      </c>
      <c r="AC1326" t="s">
        <v>97</v>
      </c>
      <c r="AD1326" t="s">
        <v>1818</v>
      </c>
      <c r="AG1326" t="s">
        <v>1920</v>
      </c>
      <c r="AH1326">
        <v>0</v>
      </c>
      <c r="AI1326">
        <v>0</v>
      </c>
      <c r="AJ1326">
        <v>0</v>
      </c>
      <c r="AK1326">
        <v>0</v>
      </c>
      <c r="AL1326">
        <v>0</v>
      </c>
    </row>
    <row r="1327" spans="1:38" x14ac:dyDescent="0.3">
      <c r="A1327" t="s">
        <v>1813</v>
      </c>
      <c r="B1327">
        <v>14801</v>
      </c>
      <c r="C1327">
        <v>1</v>
      </c>
      <c r="D1327" t="s">
        <v>130</v>
      </c>
      <c r="E1327" t="s">
        <v>131</v>
      </c>
      <c r="F1327">
        <v>720</v>
      </c>
      <c r="G1327">
        <v>21.11</v>
      </c>
      <c r="H1327">
        <v>69.81</v>
      </c>
      <c r="I1327">
        <v>14.92</v>
      </c>
      <c r="J1327">
        <v>49.35</v>
      </c>
      <c r="K1327">
        <v>430</v>
      </c>
      <c r="T1327">
        <v>3</v>
      </c>
      <c r="U1327">
        <v>1</v>
      </c>
      <c r="V1327" t="s">
        <v>132</v>
      </c>
      <c r="W1327">
        <v>69</v>
      </c>
      <c r="X1327">
        <v>10</v>
      </c>
      <c r="Y1327">
        <v>10</v>
      </c>
      <c r="Z1327" t="s">
        <v>1921</v>
      </c>
      <c r="AA1327" t="s">
        <v>1922</v>
      </c>
      <c r="AB1327" t="s">
        <v>96</v>
      </c>
      <c r="AC1327" t="s">
        <v>97</v>
      </c>
      <c r="AD1327" t="s">
        <v>1818</v>
      </c>
      <c r="AG1327" t="s">
        <v>1923</v>
      </c>
      <c r="AH1327">
        <v>0</v>
      </c>
      <c r="AI1327">
        <v>164</v>
      </c>
      <c r="AJ1327">
        <v>18</v>
      </c>
      <c r="AK1327">
        <v>291</v>
      </c>
      <c r="AL1327">
        <v>0.4</v>
      </c>
    </row>
    <row r="1328" spans="1:38" x14ac:dyDescent="0.3">
      <c r="A1328" t="s">
        <v>1813</v>
      </c>
      <c r="B1328">
        <v>14801</v>
      </c>
      <c r="C1328">
        <v>2</v>
      </c>
      <c r="D1328" t="s">
        <v>130</v>
      </c>
      <c r="E1328" t="s">
        <v>131</v>
      </c>
      <c r="F1328">
        <v>720</v>
      </c>
      <c r="G1328">
        <v>25.66</v>
      </c>
      <c r="H1328">
        <v>84.83</v>
      </c>
      <c r="I1328">
        <v>18.13</v>
      </c>
      <c r="J1328">
        <v>59.96</v>
      </c>
      <c r="K1328">
        <v>290</v>
      </c>
      <c r="T1328">
        <v>3</v>
      </c>
      <c r="U1328">
        <v>1</v>
      </c>
      <c r="V1328" t="s">
        <v>132</v>
      </c>
      <c r="W1328">
        <v>84</v>
      </c>
      <c r="X1328">
        <v>10</v>
      </c>
      <c r="Y1328">
        <v>10</v>
      </c>
      <c r="Z1328" t="s">
        <v>1921</v>
      </c>
      <c r="AA1328" t="s">
        <v>1922</v>
      </c>
      <c r="AB1328" t="s">
        <v>96</v>
      </c>
      <c r="AC1328" t="s">
        <v>97</v>
      </c>
      <c r="AD1328" t="s">
        <v>1818</v>
      </c>
      <c r="AG1328" t="s">
        <v>1923</v>
      </c>
      <c r="AH1328">
        <v>0</v>
      </c>
      <c r="AI1328">
        <v>164</v>
      </c>
      <c r="AJ1328">
        <v>18</v>
      </c>
      <c r="AK1328">
        <v>291</v>
      </c>
      <c r="AL1328">
        <v>0.4</v>
      </c>
    </row>
    <row r="1329" spans="1:38" x14ac:dyDescent="0.3">
      <c r="A1329" t="s">
        <v>1813</v>
      </c>
      <c r="B1329">
        <v>8418</v>
      </c>
      <c r="C1329">
        <v>1</v>
      </c>
      <c r="D1329" t="s">
        <v>1924</v>
      </c>
      <c r="E1329" t="s">
        <v>1925</v>
      </c>
      <c r="F1329">
        <v>187</v>
      </c>
      <c r="G1329">
        <v>25.93</v>
      </c>
      <c r="H1329">
        <v>85.74</v>
      </c>
      <c r="I1329">
        <v>18.13</v>
      </c>
      <c r="J1329">
        <v>59.95</v>
      </c>
      <c r="K1329">
        <v>187</v>
      </c>
      <c r="T1329">
        <v>3</v>
      </c>
      <c r="U1329">
        <v>1</v>
      </c>
      <c r="V1329" t="s">
        <v>132</v>
      </c>
      <c r="W1329">
        <v>85</v>
      </c>
      <c r="X1329">
        <v>19</v>
      </c>
      <c r="Y1329">
        <v>19</v>
      </c>
      <c r="Z1329" t="s">
        <v>1926</v>
      </c>
      <c r="AA1329" t="s">
        <v>1927</v>
      </c>
      <c r="AB1329" t="s">
        <v>96</v>
      </c>
      <c r="AC1329" t="s">
        <v>97</v>
      </c>
      <c r="AD1329" t="s">
        <v>1818</v>
      </c>
      <c r="AG1329" t="s">
        <v>1928</v>
      </c>
      <c r="AH1329">
        <v>0</v>
      </c>
      <c r="AI1329">
        <v>400</v>
      </c>
      <c r="AJ1329">
        <v>40</v>
      </c>
      <c r="AK1329">
        <v>182</v>
      </c>
      <c r="AL1329">
        <v>0.97</v>
      </c>
    </row>
    <row r="1330" spans="1:38" x14ac:dyDescent="0.3">
      <c r="A1330" t="s">
        <v>1813</v>
      </c>
      <c r="B1330">
        <v>123370</v>
      </c>
      <c r="C1330">
        <v>1</v>
      </c>
      <c r="D1330" t="s">
        <v>1929</v>
      </c>
      <c r="E1330" t="s">
        <v>1930</v>
      </c>
      <c r="F1330">
        <v>8</v>
      </c>
      <c r="G1330">
        <v>24.87</v>
      </c>
      <c r="H1330">
        <v>82.24</v>
      </c>
      <c r="I1330">
        <v>21.53</v>
      </c>
      <c r="J1330">
        <v>71.2</v>
      </c>
      <c r="K1330">
        <v>4</v>
      </c>
      <c r="T1330">
        <v>3</v>
      </c>
      <c r="U1330">
        <v>2</v>
      </c>
      <c r="V1330" t="s">
        <v>93</v>
      </c>
      <c r="W1330" t="s">
        <v>152</v>
      </c>
      <c r="X1330">
        <v>9</v>
      </c>
      <c r="Y1330">
        <v>9</v>
      </c>
      <c r="Z1330" t="s">
        <v>1931</v>
      </c>
      <c r="AA1330" t="s">
        <v>1932</v>
      </c>
      <c r="AB1330" t="s">
        <v>96</v>
      </c>
      <c r="AC1330" t="s">
        <v>97</v>
      </c>
      <c r="AD1330" t="s">
        <v>1818</v>
      </c>
      <c r="AG1330" t="s">
        <v>1933</v>
      </c>
      <c r="AH1330">
        <v>0</v>
      </c>
      <c r="AI1330">
        <v>466</v>
      </c>
      <c r="AJ1330">
        <v>73</v>
      </c>
      <c r="AK1330">
        <v>8</v>
      </c>
      <c r="AL1330">
        <v>1</v>
      </c>
    </row>
    <row r="1331" spans="1:38" x14ac:dyDescent="0.3">
      <c r="A1331" t="s">
        <v>1813</v>
      </c>
      <c r="B1331">
        <v>123370</v>
      </c>
      <c r="C1331">
        <v>2</v>
      </c>
      <c r="D1331" t="s">
        <v>1929</v>
      </c>
      <c r="E1331" t="s">
        <v>1930</v>
      </c>
      <c r="F1331">
        <v>8</v>
      </c>
      <c r="G1331">
        <v>24.88</v>
      </c>
      <c r="H1331">
        <v>82.27</v>
      </c>
      <c r="I1331">
        <v>21.54</v>
      </c>
      <c r="J1331">
        <v>71.22</v>
      </c>
      <c r="K1331">
        <v>4</v>
      </c>
      <c r="T1331">
        <v>3</v>
      </c>
      <c r="U1331">
        <v>2</v>
      </c>
      <c r="V1331" t="s">
        <v>93</v>
      </c>
      <c r="W1331" t="s">
        <v>503</v>
      </c>
      <c r="X1331">
        <v>9</v>
      </c>
      <c r="Y1331">
        <v>9</v>
      </c>
      <c r="Z1331" t="s">
        <v>1931</v>
      </c>
      <c r="AA1331" t="s">
        <v>1932</v>
      </c>
      <c r="AB1331" t="s">
        <v>96</v>
      </c>
      <c r="AC1331" t="s">
        <v>97</v>
      </c>
      <c r="AD1331" t="s">
        <v>1818</v>
      </c>
      <c r="AG1331" t="s">
        <v>1933</v>
      </c>
      <c r="AH1331">
        <v>0</v>
      </c>
      <c r="AI1331">
        <v>466</v>
      </c>
      <c r="AJ1331">
        <v>73</v>
      </c>
      <c r="AK1331">
        <v>8</v>
      </c>
      <c r="AL1331">
        <v>1</v>
      </c>
    </row>
    <row r="1332" spans="1:38" x14ac:dyDescent="0.3">
      <c r="A1332" t="s">
        <v>1813</v>
      </c>
      <c r="B1332">
        <v>123253</v>
      </c>
      <c r="C1332">
        <v>1</v>
      </c>
      <c r="D1332" t="s">
        <v>1934</v>
      </c>
      <c r="E1332" t="s">
        <v>160</v>
      </c>
      <c r="F1332">
        <v>17</v>
      </c>
      <c r="G1332">
        <v>12.01</v>
      </c>
      <c r="H1332">
        <v>39.71</v>
      </c>
      <c r="I1332">
        <v>9.36</v>
      </c>
      <c r="J1332">
        <v>30.96</v>
      </c>
      <c r="K1332">
        <v>1</v>
      </c>
      <c r="T1332">
        <v>1</v>
      </c>
      <c r="U1332">
        <v>1</v>
      </c>
      <c r="V1332" t="s">
        <v>93</v>
      </c>
      <c r="W1332">
        <v>39</v>
      </c>
      <c r="X1332">
        <v>10</v>
      </c>
      <c r="Y1332">
        <v>9</v>
      </c>
      <c r="Z1332" t="s">
        <v>1935</v>
      </c>
      <c r="AA1332" t="s">
        <v>1936</v>
      </c>
      <c r="AB1332" t="s">
        <v>96</v>
      </c>
      <c r="AC1332" t="s">
        <v>97</v>
      </c>
      <c r="AD1332" t="s">
        <v>1818</v>
      </c>
      <c r="AG1332" t="s">
        <v>1937</v>
      </c>
      <c r="AH1332">
        <v>0</v>
      </c>
      <c r="AI1332">
        <v>546</v>
      </c>
      <c r="AJ1332">
        <v>75</v>
      </c>
      <c r="AK1332">
        <v>13</v>
      </c>
      <c r="AL1332">
        <v>0.76</v>
      </c>
    </row>
    <row r="1333" spans="1:38" x14ac:dyDescent="0.3">
      <c r="A1333" t="s">
        <v>1813</v>
      </c>
      <c r="B1333">
        <v>123253</v>
      </c>
      <c r="C1333">
        <v>2</v>
      </c>
      <c r="D1333" t="s">
        <v>1934</v>
      </c>
      <c r="E1333" t="s">
        <v>160</v>
      </c>
      <c r="F1333">
        <v>17</v>
      </c>
      <c r="G1333">
        <v>15.93</v>
      </c>
      <c r="H1333">
        <v>52.68</v>
      </c>
      <c r="I1333">
        <v>12.39</v>
      </c>
      <c r="J1333">
        <v>40.99</v>
      </c>
      <c r="K1333">
        <v>1</v>
      </c>
      <c r="T1333">
        <v>2</v>
      </c>
      <c r="U1333">
        <v>1</v>
      </c>
      <c r="V1333" t="s">
        <v>93</v>
      </c>
      <c r="W1333" t="s">
        <v>583</v>
      </c>
      <c r="X1333">
        <v>10</v>
      </c>
      <c r="Y1333">
        <v>9</v>
      </c>
      <c r="Z1333" t="s">
        <v>1935</v>
      </c>
      <c r="AA1333" t="s">
        <v>1936</v>
      </c>
      <c r="AB1333" t="s">
        <v>96</v>
      </c>
      <c r="AC1333" t="s">
        <v>97</v>
      </c>
      <c r="AD1333" t="s">
        <v>1818</v>
      </c>
      <c r="AG1333" t="s">
        <v>1937</v>
      </c>
      <c r="AH1333">
        <v>0</v>
      </c>
      <c r="AI1333">
        <v>546</v>
      </c>
      <c r="AJ1333">
        <v>75</v>
      </c>
      <c r="AK1333">
        <v>13</v>
      </c>
      <c r="AL1333">
        <v>0.76</v>
      </c>
    </row>
    <row r="1334" spans="1:38" x14ac:dyDescent="0.3">
      <c r="A1334" t="s">
        <v>1813</v>
      </c>
      <c r="B1334">
        <v>123253</v>
      </c>
      <c r="C1334">
        <v>3</v>
      </c>
      <c r="D1334" t="s">
        <v>1934</v>
      </c>
      <c r="E1334" t="s">
        <v>160</v>
      </c>
      <c r="F1334">
        <v>17</v>
      </c>
      <c r="G1334">
        <v>16.21</v>
      </c>
      <c r="H1334">
        <v>53.6</v>
      </c>
      <c r="I1334">
        <v>12.65</v>
      </c>
      <c r="J1334">
        <v>41.82</v>
      </c>
      <c r="K1334">
        <v>1</v>
      </c>
      <c r="T1334">
        <v>2</v>
      </c>
      <c r="U1334">
        <v>1</v>
      </c>
      <c r="V1334" t="s">
        <v>93</v>
      </c>
      <c r="W1334" t="s">
        <v>1273</v>
      </c>
      <c r="X1334">
        <v>10</v>
      </c>
      <c r="Y1334">
        <v>9</v>
      </c>
      <c r="Z1334" t="s">
        <v>1935</v>
      </c>
      <c r="AA1334" t="s">
        <v>1936</v>
      </c>
      <c r="AB1334" t="s">
        <v>96</v>
      </c>
      <c r="AC1334" t="s">
        <v>97</v>
      </c>
      <c r="AD1334" t="s">
        <v>1818</v>
      </c>
      <c r="AG1334" t="s">
        <v>1937</v>
      </c>
      <c r="AH1334">
        <v>0</v>
      </c>
      <c r="AI1334">
        <v>546</v>
      </c>
      <c r="AJ1334">
        <v>75</v>
      </c>
      <c r="AK1334">
        <v>13</v>
      </c>
      <c r="AL1334">
        <v>0.76</v>
      </c>
    </row>
    <row r="1335" spans="1:38" x14ac:dyDescent="0.3">
      <c r="A1335" t="s">
        <v>1813</v>
      </c>
      <c r="B1335">
        <v>123253</v>
      </c>
      <c r="C1335">
        <v>4</v>
      </c>
      <c r="D1335" t="s">
        <v>1934</v>
      </c>
      <c r="E1335" t="s">
        <v>160</v>
      </c>
      <c r="F1335">
        <v>17</v>
      </c>
      <c r="G1335">
        <v>18.989999999999998</v>
      </c>
      <c r="H1335">
        <v>62.78</v>
      </c>
      <c r="I1335">
        <v>15.05</v>
      </c>
      <c r="J1335">
        <v>49.77</v>
      </c>
      <c r="K1335">
        <v>1</v>
      </c>
      <c r="T1335">
        <v>2</v>
      </c>
      <c r="U1335">
        <v>1</v>
      </c>
      <c r="V1335" t="s">
        <v>93</v>
      </c>
      <c r="W1335" t="s">
        <v>848</v>
      </c>
      <c r="X1335">
        <v>10</v>
      </c>
      <c r="Y1335">
        <v>9</v>
      </c>
      <c r="Z1335" t="s">
        <v>1935</v>
      </c>
      <c r="AA1335" t="s">
        <v>1936</v>
      </c>
      <c r="AB1335" t="s">
        <v>96</v>
      </c>
      <c r="AC1335" t="s">
        <v>97</v>
      </c>
      <c r="AD1335" t="s">
        <v>1818</v>
      </c>
      <c r="AG1335" t="s">
        <v>1937</v>
      </c>
      <c r="AH1335">
        <v>0</v>
      </c>
      <c r="AI1335">
        <v>546</v>
      </c>
      <c r="AJ1335">
        <v>75</v>
      </c>
      <c r="AK1335">
        <v>13</v>
      </c>
      <c r="AL1335">
        <v>0.76</v>
      </c>
    </row>
    <row r="1336" spans="1:38" x14ac:dyDescent="0.3">
      <c r="A1336" t="s">
        <v>1813</v>
      </c>
      <c r="B1336">
        <v>123253</v>
      </c>
      <c r="C1336">
        <v>5</v>
      </c>
      <c r="D1336" t="s">
        <v>1934</v>
      </c>
      <c r="E1336" t="s">
        <v>160</v>
      </c>
      <c r="F1336">
        <v>17</v>
      </c>
      <c r="G1336">
        <v>19.07</v>
      </c>
      <c r="H1336">
        <v>63.07</v>
      </c>
      <c r="I1336">
        <v>15</v>
      </c>
      <c r="J1336">
        <v>49.59</v>
      </c>
      <c r="K1336">
        <v>6</v>
      </c>
      <c r="T1336">
        <v>2</v>
      </c>
      <c r="U1336">
        <v>1</v>
      </c>
      <c r="V1336" t="s">
        <v>93</v>
      </c>
      <c r="W1336" t="s">
        <v>194</v>
      </c>
      <c r="X1336">
        <v>10</v>
      </c>
      <c r="Y1336">
        <v>9</v>
      </c>
      <c r="Z1336" t="s">
        <v>1935</v>
      </c>
      <c r="AA1336" t="s">
        <v>1936</v>
      </c>
      <c r="AB1336" t="s">
        <v>96</v>
      </c>
      <c r="AC1336" t="s">
        <v>97</v>
      </c>
      <c r="AD1336" t="s">
        <v>1818</v>
      </c>
      <c r="AG1336" t="s">
        <v>1937</v>
      </c>
      <c r="AH1336">
        <v>0</v>
      </c>
      <c r="AI1336">
        <v>546</v>
      </c>
      <c r="AJ1336">
        <v>75</v>
      </c>
      <c r="AK1336">
        <v>13</v>
      </c>
      <c r="AL1336">
        <v>0.76</v>
      </c>
    </row>
    <row r="1337" spans="1:38" x14ac:dyDescent="0.3">
      <c r="A1337" t="s">
        <v>1813</v>
      </c>
      <c r="B1337">
        <v>123253</v>
      </c>
      <c r="C1337">
        <v>6</v>
      </c>
      <c r="D1337" t="s">
        <v>1934</v>
      </c>
      <c r="E1337" t="s">
        <v>160</v>
      </c>
      <c r="F1337">
        <v>17</v>
      </c>
      <c r="G1337">
        <v>19.16</v>
      </c>
      <c r="H1337">
        <v>63.37</v>
      </c>
      <c r="I1337">
        <v>15.01</v>
      </c>
      <c r="J1337">
        <v>49.63</v>
      </c>
      <c r="K1337">
        <v>3</v>
      </c>
      <c r="T1337">
        <v>2</v>
      </c>
      <c r="U1337">
        <v>1</v>
      </c>
      <c r="V1337" t="s">
        <v>93</v>
      </c>
      <c r="W1337" t="s">
        <v>195</v>
      </c>
      <c r="X1337">
        <v>10</v>
      </c>
      <c r="Y1337">
        <v>9</v>
      </c>
      <c r="Z1337" t="s">
        <v>1935</v>
      </c>
      <c r="AA1337" t="s">
        <v>1936</v>
      </c>
      <c r="AB1337" t="s">
        <v>96</v>
      </c>
      <c r="AC1337" t="s">
        <v>97</v>
      </c>
      <c r="AD1337" t="s">
        <v>1818</v>
      </c>
      <c r="AG1337" t="s">
        <v>1937</v>
      </c>
      <c r="AH1337">
        <v>0</v>
      </c>
      <c r="AI1337">
        <v>546</v>
      </c>
      <c r="AJ1337">
        <v>75</v>
      </c>
      <c r="AK1337">
        <v>13</v>
      </c>
      <c r="AL1337">
        <v>0.76</v>
      </c>
    </row>
    <row r="1338" spans="1:38" x14ac:dyDescent="0.3">
      <c r="A1338" t="s">
        <v>1813</v>
      </c>
      <c r="B1338">
        <v>123253</v>
      </c>
      <c r="C1338">
        <v>7</v>
      </c>
      <c r="D1338" t="s">
        <v>1934</v>
      </c>
      <c r="E1338" t="s">
        <v>160</v>
      </c>
      <c r="F1338">
        <v>17</v>
      </c>
      <c r="G1338">
        <v>19.28</v>
      </c>
      <c r="H1338">
        <v>63.74</v>
      </c>
      <c r="I1338">
        <v>15.05</v>
      </c>
      <c r="J1338">
        <v>49.76</v>
      </c>
      <c r="K1338">
        <v>3</v>
      </c>
      <c r="T1338">
        <v>2</v>
      </c>
      <c r="U1338">
        <v>1</v>
      </c>
      <c r="V1338" t="s">
        <v>93</v>
      </c>
      <c r="W1338" t="s">
        <v>721</v>
      </c>
      <c r="X1338">
        <v>10</v>
      </c>
      <c r="Y1338">
        <v>9</v>
      </c>
      <c r="Z1338" t="s">
        <v>1935</v>
      </c>
      <c r="AA1338" t="s">
        <v>1936</v>
      </c>
      <c r="AB1338" t="s">
        <v>96</v>
      </c>
      <c r="AC1338" t="s">
        <v>97</v>
      </c>
      <c r="AD1338" t="s">
        <v>1818</v>
      </c>
      <c r="AG1338" t="s">
        <v>1937</v>
      </c>
      <c r="AH1338">
        <v>0</v>
      </c>
      <c r="AI1338">
        <v>546</v>
      </c>
      <c r="AJ1338">
        <v>75</v>
      </c>
      <c r="AK1338">
        <v>13</v>
      </c>
      <c r="AL1338">
        <v>0.76</v>
      </c>
    </row>
    <row r="1339" spans="1:38" x14ac:dyDescent="0.3">
      <c r="A1339" t="s">
        <v>1813</v>
      </c>
      <c r="B1339">
        <v>123253</v>
      </c>
      <c r="C1339">
        <v>8</v>
      </c>
      <c r="D1339" t="s">
        <v>1934</v>
      </c>
      <c r="E1339" t="s">
        <v>160</v>
      </c>
      <c r="F1339">
        <v>17</v>
      </c>
      <c r="G1339">
        <v>19.149999999999999</v>
      </c>
      <c r="H1339">
        <v>63.31</v>
      </c>
      <c r="I1339">
        <v>15.12</v>
      </c>
      <c r="J1339">
        <v>49.99</v>
      </c>
      <c r="K1339">
        <v>1</v>
      </c>
      <c r="T1339">
        <v>2</v>
      </c>
      <c r="U1339">
        <v>1</v>
      </c>
      <c r="V1339" t="s">
        <v>93</v>
      </c>
      <c r="W1339" t="s">
        <v>1938</v>
      </c>
      <c r="X1339">
        <v>10</v>
      </c>
      <c r="Y1339">
        <v>9</v>
      </c>
      <c r="Z1339" t="s">
        <v>1935</v>
      </c>
      <c r="AA1339" t="s">
        <v>1936</v>
      </c>
      <c r="AB1339" t="s">
        <v>96</v>
      </c>
      <c r="AC1339" t="s">
        <v>97</v>
      </c>
      <c r="AD1339" t="s">
        <v>1818</v>
      </c>
      <c r="AG1339" t="s">
        <v>1937</v>
      </c>
      <c r="AH1339">
        <v>0</v>
      </c>
      <c r="AI1339">
        <v>546</v>
      </c>
      <c r="AJ1339">
        <v>75</v>
      </c>
      <c r="AK1339">
        <v>13</v>
      </c>
      <c r="AL1339">
        <v>0.76</v>
      </c>
    </row>
    <row r="1340" spans="1:38" x14ac:dyDescent="0.3">
      <c r="A1340" t="s">
        <v>1813</v>
      </c>
      <c r="B1340">
        <v>103752</v>
      </c>
      <c r="C1340">
        <v>1</v>
      </c>
      <c r="D1340" t="s">
        <v>1939</v>
      </c>
      <c r="E1340" t="s">
        <v>1466</v>
      </c>
      <c r="F1340">
        <v>15</v>
      </c>
      <c r="G1340">
        <v>24.42</v>
      </c>
      <c r="H1340">
        <v>80.73</v>
      </c>
      <c r="I1340">
        <v>17.43</v>
      </c>
      <c r="J1340">
        <v>57.63</v>
      </c>
      <c r="K1340">
        <v>5</v>
      </c>
      <c r="T1340">
        <v>3</v>
      </c>
      <c r="U1340">
        <v>2</v>
      </c>
      <c r="V1340" t="s">
        <v>93</v>
      </c>
      <c r="W1340">
        <v>80</v>
      </c>
      <c r="X1340">
        <v>9</v>
      </c>
      <c r="Y1340">
        <v>9</v>
      </c>
      <c r="Z1340" t="s">
        <v>1940</v>
      </c>
      <c r="AA1340" t="s">
        <v>1941</v>
      </c>
      <c r="AB1340" t="s">
        <v>96</v>
      </c>
      <c r="AC1340" t="s">
        <v>97</v>
      </c>
      <c r="AD1340" t="s">
        <v>1818</v>
      </c>
      <c r="AG1340" t="s">
        <v>1942</v>
      </c>
      <c r="AH1340">
        <v>0</v>
      </c>
      <c r="AI1340">
        <v>506</v>
      </c>
      <c r="AJ1340">
        <v>66</v>
      </c>
      <c r="AK1340">
        <v>12</v>
      </c>
      <c r="AL1340">
        <v>0.8</v>
      </c>
    </row>
    <row r="1341" spans="1:38" x14ac:dyDescent="0.3">
      <c r="A1341" t="s">
        <v>1813</v>
      </c>
      <c r="B1341">
        <v>103752</v>
      </c>
      <c r="C1341">
        <v>2</v>
      </c>
      <c r="D1341" t="s">
        <v>1939</v>
      </c>
      <c r="E1341" t="s">
        <v>1466</v>
      </c>
      <c r="F1341">
        <v>15</v>
      </c>
      <c r="G1341">
        <v>26.63</v>
      </c>
      <c r="H1341">
        <v>88.05</v>
      </c>
      <c r="I1341">
        <v>19.170000000000002</v>
      </c>
      <c r="J1341">
        <v>63.38</v>
      </c>
      <c r="K1341">
        <v>1</v>
      </c>
      <c r="T1341">
        <v>3</v>
      </c>
      <c r="U1341">
        <v>2</v>
      </c>
      <c r="V1341" t="s">
        <v>93</v>
      </c>
      <c r="W1341">
        <v>88</v>
      </c>
      <c r="X1341">
        <v>9</v>
      </c>
      <c r="Y1341">
        <v>9</v>
      </c>
      <c r="Z1341" t="s">
        <v>1940</v>
      </c>
      <c r="AA1341" t="s">
        <v>1941</v>
      </c>
      <c r="AB1341" t="s">
        <v>96</v>
      </c>
      <c r="AC1341" t="s">
        <v>97</v>
      </c>
      <c r="AD1341" t="s">
        <v>1818</v>
      </c>
      <c r="AG1341" t="s">
        <v>1942</v>
      </c>
      <c r="AH1341">
        <v>0</v>
      </c>
      <c r="AI1341">
        <v>506</v>
      </c>
      <c r="AJ1341">
        <v>66</v>
      </c>
      <c r="AK1341">
        <v>12</v>
      </c>
      <c r="AL1341">
        <v>0.8</v>
      </c>
    </row>
    <row r="1342" spans="1:38" x14ac:dyDescent="0.3">
      <c r="A1342" t="s">
        <v>1813</v>
      </c>
      <c r="B1342">
        <v>103752</v>
      </c>
      <c r="C1342">
        <v>3</v>
      </c>
      <c r="D1342" t="s">
        <v>1939</v>
      </c>
      <c r="E1342" t="s">
        <v>1466</v>
      </c>
      <c r="F1342">
        <v>15</v>
      </c>
      <c r="G1342">
        <v>29.29</v>
      </c>
      <c r="H1342">
        <v>96.83</v>
      </c>
      <c r="I1342">
        <v>20.88</v>
      </c>
      <c r="J1342">
        <v>69.03</v>
      </c>
      <c r="K1342">
        <v>9</v>
      </c>
      <c r="T1342">
        <v>3</v>
      </c>
      <c r="U1342">
        <v>2</v>
      </c>
      <c r="V1342" t="s">
        <v>93</v>
      </c>
      <c r="W1342">
        <v>96</v>
      </c>
      <c r="X1342">
        <v>9</v>
      </c>
      <c r="Y1342">
        <v>9</v>
      </c>
      <c r="Z1342" t="s">
        <v>1940</v>
      </c>
      <c r="AA1342" t="s">
        <v>1941</v>
      </c>
      <c r="AB1342" t="s">
        <v>96</v>
      </c>
      <c r="AC1342" t="s">
        <v>97</v>
      </c>
      <c r="AD1342" t="s">
        <v>1818</v>
      </c>
      <c r="AG1342" t="s">
        <v>1942</v>
      </c>
      <c r="AH1342">
        <v>0</v>
      </c>
      <c r="AI1342">
        <v>506</v>
      </c>
      <c r="AJ1342">
        <v>66</v>
      </c>
      <c r="AK1342">
        <v>12</v>
      </c>
      <c r="AL1342">
        <v>0.8</v>
      </c>
    </row>
    <row r="1343" spans="1:38" x14ac:dyDescent="0.3">
      <c r="A1343" t="s">
        <v>1813</v>
      </c>
      <c r="B1343">
        <v>102132</v>
      </c>
      <c r="C1343">
        <v>1</v>
      </c>
      <c r="D1343" t="s">
        <v>1943</v>
      </c>
      <c r="E1343" t="s">
        <v>1944</v>
      </c>
      <c r="F1343">
        <v>12</v>
      </c>
      <c r="G1343">
        <v>23.79</v>
      </c>
      <c r="H1343">
        <v>78.67</v>
      </c>
      <c r="I1343">
        <v>21.24</v>
      </c>
      <c r="J1343">
        <v>70.239999999999995</v>
      </c>
      <c r="K1343">
        <v>1</v>
      </c>
      <c r="T1343">
        <v>3</v>
      </c>
      <c r="U1343">
        <v>1</v>
      </c>
      <c r="V1343" t="s">
        <v>93</v>
      </c>
      <c r="W1343" t="s">
        <v>318</v>
      </c>
      <c r="X1343">
        <v>6</v>
      </c>
      <c r="Y1343">
        <v>6</v>
      </c>
      <c r="Z1343" t="s">
        <v>1945</v>
      </c>
      <c r="AA1343" t="s">
        <v>1946</v>
      </c>
      <c r="AB1343" t="s">
        <v>96</v>
      </c>
      <c r="AC1343" t="s">
        <v>97</v>
      </c>
      <c r="AD1343" t="s">
        <v>1818</v>
      </c>
      <c r="AG1343" t="s">
        <v>1947</v>
      </c>
      <c r="AH1343">
        <v>0</v>
      </c>
      <c r="AI1343">
        <v>331</v>
      </c>
      <c r="AJ1343">
        <v>74</v>
      </c>
      <c r="AK1343">
        <v>17</v>
      </c>
      <c r="AL1343">
        <v>1.42</v>
      </c>
    </row>
    <row r="1344" spans="1:38" x14ac:dyDescent="0.3">
      <c r="A1344" t="s">
        <v>1813</v>
      </c>
      <c r="B1344">
        <v>102132</v>
      </c>
      <c r="C1344">
        <v>2</v>
      </c>
      <c r="D1344" t="s">
        <v>1943</v>
      </c>
      <c r="E1344" t="s">
        <v>1944</v>
      </c>
      <c r="F1344">
        <v>12</v>
      </c>
      <c r="G1344">
        <v>23.82</v>
      </c>
      <c r="H1344">
        <v>78.75</v>
      </c>
      <c r="I1344">
        <v>21.26</v>
      </c>
      <c r="J1344">
        <v>70.31</v>
      </c>
      <c r="K1344">
        <v>1</v>
      </c>
      <c r="T1344">
        <v>3</v>
      </c>
      <c r="U1344">
        <v>1</v>
      </c>
      <c r="V1344" t="s">
        <v>93</v>
      </c>
      <c r="W1344" t="s">
        <v>354</v>
      </c>
      <c r="X1344">
        <v>6</v>
      </c>
      <c r="Y1344">
        <v>6</v>
      </c>
      <c r="Z1344" t="s">
        <v>1945</v>
      </c>
      <c r="AA1344" t="s">
        <v>1946</v>
      </c>
      <c r="AB1344" t="s">
        <v>96</v>
      </c>
      <c r="AC1344" t="s">
        <v>97</v>
      </c>
      <c r="AD1344" t="s">
        <v>1818</v>
      </c>
      <c r="AG1344" t="s">
        <v>1947</v>
      </c>
      <c r="AH1344">
        <v>0</v>
      </c>
      <c r="AI1344">
        <v>331</v>
      </c>
      <c r="AJ1344">
        <v>74</v>
      </c>
      <c r="AK1344">
        <v>17</v>
      </c>
      <c r="AL1344">
        <v>1.42</v>
      </c>
    </row>
    <row r="1345" spans="1:38" x14ac:dyDescent="0.3">
      <c r="A1345" t="s">
        <v>1813</v>
      </c>
      <c r="B1345">
        <v>102132</v>
      </c>
      <c r="C1345">
        <v>3</v>
      </c>
      <c r="D1345" t="s">
        <v>1943</v>
      </c>
      <c r="E1345" t="s">
        <v>1944</v>
      </c>
      <c r="F1345">
        <v>12</v>
      </c>
      <c r="G1345">
        <v>24.46</v>
      </c>
      <c r="H1345">
        <v>80.88</v>
      </c>
      <c r="I1345">
        <v>21.84</v>
      </c>
      <c r="J1345">
        <v>72.23</v>
      </c>
      <c r="K1345">
        <v>2</v>
      </c>
      <c r="T1345">
        <v>3</v>
      </c>
      <c r="U1345">
        <v>1</v>
      </c>
      <c r="V1345" t="s">
        <v>93</v>
      </c>
      <c r="W1345" t="s">
        <v>633</v>
      </c>
      <c r="X1345">
        <v>6</v>
      </c>
      <c r="Y1345">
        <v>6</v>
      </c>
      <c r="Z1345" t="s">
        <v>1945</v>
      </c>
      <c r="AA1345" t="s">
        <v>1946</v>
      </c>
      <c r="AB1345" t="s">
        <v>96</v>
      </c>
      <c r="AC1345" t="s">
        <v>97</v>
      </c>
      <c r="AD1345" t="s">
        <v>1818</v>
      </c>
      <c r="AG1345" t="s">
        <v>1947</v>
      </c>
      <c r="AH1345">
        <v>0</v>
      </c>
      <c r="AI1345">
        <v>331</v>
      </c>
      <c r="AJ1345">
        <v>74</v>
      </c>
      <c r="AK1345">
        <v>17</v>
      </c>
      <c r="AL1345">
        <v>1.42</v>
      </c>
    </row>
    <row r="1346" spans="1:38" x14ac:dyDescent="0.3">
      <c r="A1346" t="s">
        <v>1813</v>
      </c>
      <c r="B1346">
        <v>102132</v>
      </c>
      <c r="C1346">
        <v>4</v>
      </c>
      <c r="D1346" t="s">
        <v>1943</v>
      </c>
      <c r="E1346" t="s">
        <v>1944</v>
      </c>
      <c r="F1346">
        <v>12</v>
      </c>
      <c r="G1346">
        <v>26.21</v>
      </c>
      <c r="H1346">
        <v>86.67</v>
      </c>
      <c r="I1346">
        <v>23.4</v>
      </c>
      <c r="J1346">
        <v>77.38</v>
      </c>
      <c r="K1346">
        <v>4</v>
      </c>
      <c r="T1346">
        <v>3</v>
      </c>
      <c r="U1346">
        <v>1</v>
      </c>
      <c r="V1346" t="s">
        <v>93</v>
      </c>
      <c r="W1346">
        <v>86</v>
      </c>
      <c r="X1346">
        <v>6</v>
      </c>
      <c r="Y1346">
        <v>6</v>
      </c>
      <c r="Z1346" t="s">
        <v>1945</v>
      </c>
      <c r="AA1346" t="s">
        <v>1946</v>
      </c>
      <c r="AB1346" t="s">
        <v>96</v>
      </c>
      <c r="AC1346" t="s">
        <v>97</v>
      </c>
      <c r="AD1346" t="s">
        <v>1818</v>
      </c>
      <c r="AG1346" t="s">
        <v>1947</v>
      </c>
      <c r="AH1346">
        <v>0</v>
      </c>
      <c r="AI1346">
        <v>331</v>
      </c>
      <c r="AJ1346">
        <v>74</v>
      </c>
      <c r="AK1346">
        <v>17</v>
      </c>
      <c r="AL1346">
        <v>1.42</v>
      </c>
    </row>
    <row r="1347" spans="1:38" x14ac:dyDescent="0.3">
      <c r="A1347" t="s">
        <v>1813</v>
      </c>
      <c r="B1347">
        <v>102132</v>
      </c>
      <c r="C1347">
        <v>5</v>
      </c>
      <c r="D1347" t="s">
        <v>1943</v>
      </c>
      <c r="E1347" t="s">
        <v>1944</v>
      </c>
      <c r="F1347">
        <v>12</v>
      </c>
      <c r="G1347">
        <v>26.54</v>
      </c>
      <c r="H1347">
        <v>87.76</v>
      </c>
      <c r="I1347">
        <v>23.7</v>
      </c>
      <c r="J1347">
        <v>78.36</v>
      </c>
      <c r="K1347">
        <v>2</v>
      </c>
      <c r="T1347">
        <v>3</v>
      </c>
      <c r="U1347">
        <v>2</v>
      </c>
      <c r="V1347" t="s">
        <v>93</v>
      </c>
      <c r="W1347" t="s">
        <v>725</v>
      </c>
      <c r="X1347">
        <v>6</v>
      </c>
      <c r="Y1347">
        <v>6</v>
      </c>
      <c r="Z1347" t="s">
        <v>1945</v>
      </c>
      <c r="AA1347" t="s">
        <v>1946</v>
      </c>
      <c r="AB1347" t="s">
        <v>96</v>
      </c>
      <c r="AC1347" t="s">
        <v>97</v>
      </c>
      <c r="AD1347" t="s">
        <v>1818</v>
      </c>
      <c r="AG1347" t="s">
        <v>1947</v>
      </c>
      <c r="AH1347">
        <v>0</v>
      </c>
      <c r="AI1347">
        <v>331</v>
      </c>
      <c r="AJ1347">
        <v>74</v>
      </c>
      <c r="AK1347">
        <v>17</v>
      </c>
      <c r="AL1347">
        <v>1.42</v>
      </c>
    </row>
    <row r="1348" spans="1:38" x14ac:dyDescent="0.3">
      <c r="A1348" t="s">
        <v>1813</v>
      </c>
      <c r="B1348">
        <v>102132</v>
      </c>
      <c r="C1348">
        <v>6</v>
      </c>
      <c r="D1348" t="s">
        <v>1943</v>
      </c>
      <c r="E1348" t="s">
        <v>1944</v>
      </c>
      <c r="F1348">
        <v>12</v>
      </c>
      <c r="G1348">
        <v>26.57</v>
      </c>
      <c r="H1348">
        <v>87.84</v>
      </c>
      <c r="I1348">
        <v>23.72</v>
      </c>
      <c r="J1348">
        <v>78.430000000000007</v>
      </c>
      <c r="K1348">
        <v>2</v>
      </c>
      <c r="T1348">
        <v>3</v>
      </c>
      <c r="U1348">
        <v>2</v>
      </c>
      <c r="V1348" t="s">
        <v>93</v>
      </c>
      <c r="W1348" t="s">
        <v>223</v>
      </c>
      <c r="X1348">
        <v>6</v>
      </c>
      <c r="Y1348">
        <v>6</v>
      </c>
      <c r="Z1348" t="s">
        <v>1945</v>
      </c>
      <c r="AA1348" t="s">
        <v>1946</v>
      </c>
      <c r="AB1348" t="s">
        <v>96</v>
      </c>
      <c r="AC1348" t="s">
        <v>97</v>
      </c>
      <c r="AD1348" t="s">
        <v>1818</v>
      </c>
      <c r="AG1348" t="s">
        <v>1947</v>
      </c>
      <c r="AH1348">
        <v>0</v>
      </c>
      <c r="AI1348">
        <v>331</v>
      </c>
      <c r="AJ1348">
        <v>74</v>
      </c>
      <c r="AK1348">
        <v>17</v>
      </c>
      <c r="AL1348">
        <v>1.42</v>
      </c>
    </row>
    <row r="1349" spans="1:38" x14ac:dyDescent="0.3">
      <c r="A1349" t="s">
        <v>1813</v>
      </c>
      <c r="B1349">
        <v>118669</v>
      </c>
      <c r="C1349">
        <v>1</v>
      </c>
      <c r="D1349" t="s">
        <v>1948</v>
      </c>
      <c r="E1349" t="s">
        <v>1522</v>
      </c>
      <c r="F1349">
        <v>52</v>
      </c>
      <c r="G1349">
        <v>22.36</v>
      </c>
      <c r="H1349">
        <v>73.95</v>
      </c>
      <c r="I1349">
        <v>17.91</v>
      </c>
      <c r="J1349">
        <v>59.23</v>
      </c>
      <c r="K1349">
        <v>26</v>
      </c>
      <c r="T1349">
        <v>3</v>
      </c>
      <c r="U1349">
        <v>1</v>
      </c>
      <c r="V1349" t="s">
        <v>93</v>
      </c>
      <c r="W1349">
        <v>73</v>
      </c>
      <c r="X1349">
        <v>14</v>
      </c>
      <c r="Y1349">
        <v>14</v>
      </c>
      <c r="Z1349" t="s">
        <v>1949</v>
      </c>
      <c r="AA1349" t="s">
        <v>1950</v>
      </c>
      <c r="AB1349" t="s">
        <v>96</v>
      </c>
      <c r="AC1349" t="s">
        <v>97</v>
      </c>
      <c r="AD1349" t="s">
        <v>1818</v>
      </c>
      <c r="AG1349" t="s">
        <v>1951</v>
      </c>
      <c r="AH1349">
        <v>0</v>
      </c>
      <c r="AI1349">
        <v>786</v>
      </c>
      <c r="AJ1349">
        <v>78</v>
      </c>
      <c r="AK1349">
        <v>42</v>
      </c>
      <c r="AL1349">
        <v>0.81</v>
      </c>
    </row>
    <row r="1350" spans="1:38" x14ac:dyDescent="0.3">
      <c r="A1350" t="s">
        <v>1813</v>
      </c>
      <c r="B1350">
        <v>118669</v>
      </c>
      <c r="C1350">
        <v>2</v>
      </c>
      <c r="D1350" t="s">
        <v>1948</v>
      </c>
      <c r="E1350" t="s">
        <v>1522</v>
      </c>
      <c r="F1350">
        <v>52</v>
      </c>
      <c r="G1350">
        <v>22.64</v>
      </c>
      <c r="H1350">
        <v>74.86</v>
      </c>
      <c r="I1350">
        <v>18.13</v>
      </c>
      <c r="J1350">
        <v>59.95</v>
      </c>
      <c r="K1350">
        <v>26</v>
      </c>
      <c r="T1350">
        <v>3</v>
      </c>
      <c r="U1350">
        <v>2</v>
      </c>
      <c r="V1350" t="s">
        <v>93</v>
      </c>
      <c r="W1350">
        <v>74</v>
      </c>
      <c r="X1350">
        <v>14</v>
      </c>
      <c r="Y1350">
        <v>14</v>
      </c>
      <c r="Z1350" t="s">
        <v>1949</v>
      </c>
      <c r="AA1350" t="s">
        <v>1950</v>
      </c>
      <c r="AB1350" t="s">
        <v>96</v>
      </c>
      <c r="AC1350" t="s">
        <v>97</v>
      </c>
      <c r="AD1350" t="s">
        <v>1818</v>
      </c>
      <c r="AG1350" t="s">
        <v>1951</v>
      </c>
      <c r="AH1350">
        <v>0</v>
      </c>
      <c r="AI1350">
        <v>786</v>
      </c>
      <c r="AJ1350">
        <v>78</v>
      </c>
      <c r="AK1350">
        <v>42</v>
      </c>
      <c r="AL1350">
        <v>0.81</v>
      </c>
    </row>
    <row r="1351" spans="1:38" x14ac:dyDescent="0.3">
      <c r="A1351" t="s">
        <v>1813</v>
      </c>
      <c r="B1351">
        <v>105397</v>
      </c>
      <c r="C1351">
        <v>1</v>
      </c>
      <c r="D1351" t="s">
        <v>1952</v>
      </c>
      <c r="E1351" t="s">
        <v>1953</v>
      </c>
      <c r="F1351">
        <v>48</v>
      </c>
      <c r="G1351">
        <v>26.97</v>
      </c>
      <c r="H1351">
        <v>89.16</v>
      </c>
      <c r="I1351">
        <v>21.56</v>
      </c>
      <c r="J1351">
        <v>71.28</v>
      </c>
      <c r="K1351">
        <v>48</v>
      </c>
      <c r="T1351">
        <v>3</v>
      </c>
      <c r="U1351">
        <v>1</v>
      </c>
      <c r="V1351" t="s">
        <v>93</v>
      </c>
      <c r="W1351">
        <v>89</v>
      </c>
      <c r="X1351">
        <v>6</v>
      </c>
      <c r="Y1351">
        <v>6</v>
      </c>
      <c r="Z1351" t="s">
        <v>1954</v>
      </c>
      <c r="AA1351" t="s">
        <v>1955</v>
      </c>
      <c r="AB1351" t="s">
        <v>96</v>
      </c>
      <c r="AC1351" t="s">
        <v>97</v>
      </c>
      <c r="AD1351" t="s">
        <v>1818</v>
      </c>
      <c r="AG1351" t="s">
        <v>1956</v>
      </c>
      <c r="AH1351">
        <v>0</v>
      </c>
      <c r="AI1351">
        <v>0</v>
      </c>
      <c r="AJ1351">
        <v>0</v>
      </c>
      <c r="AK1351">
        <v>0</v>
      </c>
      <c r="AL1351">
        <v>0</v>
      </c>
    </row>
    <row r="1352" spans="1:38" x14ac:dyDescent="0.3">
      <c r="A1352" t="s">
        <v>1813</v>
      </c>
      <c r="B1352">
        <v>8417</v>
      </c>
      <c r="C1352">
        <v>1</v>
      </c>
      <c r="D1352" t="s">
        <v>1957</v>
      </c>
      <c r="E1352" t="s">
        <v>1490</v>
      </c>
      <c r="F1352">
        <v>252</v>
      </c>
      <c r="G1352">
        <v>16.63</v>
      </c>
      <c r="H1352">
        <v>54.99</v>
      </c>
      <c r="I1352">
        <v>12.76</v>
      </c>
      <c r="J1352">
        <v>42.21</v>
      </c>
      <c r="K1352">
        <v>108</v>
      </c>
      <c r="T1352">
        <v>2</v>
      </c>
      <c r="U1352">
        <v>1</v>
      </c>
      <c r="V1352" t="s">
        <v>93</v>
      </c>
      <c r="W1352">
        <v>54</v>
      </c>
      <c r="X1352">
        <v>6</v>
      </c>
      <c r="Y1352">
        <v>6</v>
      </c>
      <c r="Z1352" t="s">
        <v>1958</v>
      </c>
      <c r="AA1352" t="s">
        <v>1959</v>
      </c>
      <c r="AB1352" t="s">
        <v>96</v>
      </c>
      <c r="AC1352" t="s">
        <v>97</v>
      </c>
      <c r="AD1352" t="s">
        <v>1818</v>
      </c>
      <c r="AG1352" t="s">
        <v>1960</v>
      </c>
      <c r="AH1352">
        <v>0</v>
      </c>
      <c r="AI1352">
        <v>196</v>
      </c>
      <c r="AJ1352">
        <v>34</v>
      </c>
      <c r="AK1352">
        <v>0</v>
      </c>
      <c r="AL1352">
        <v>0</v>
      </c>
    </row>
    <row r="1353" spans="1:38" x14ac:dyDescent="0.3">
      <c r="A1353" t="s">
        <v>1813</v>
      </c>
      <c r="B1353">
        <v>8417</v>
      </c>
      <c r="C1353">
        <v>2</v>
      </c>
      <c r="D1353" t="s">
        <v>1957</v>
      </c>
      <c r="E1353" t="s">
        <v>1490</v>
      </c>
      <c r="F1353">
        <v>252</v>
      </c>
      <c r="G1353">
        <v>19.829999999999998</v>
      </c>
      <c r="H1353">
        <v>65.58</v>
      </c>
      <c r="I1353">
        <v>15.46</v>
      </c>
      <c r="J1353">
        <v>51.12</v>
      </c>
      <c r="K1353">
        <v>48</v>
      </c>
      <c r="T1353">
        <v>3</v>
      </c>
      <c r="U1353">
        <v>1</v>
      </c>
      <c r="V1353" t="s">
        <v>93</v>
      </c>
      <c r="W1353">
        <v>65</v>
      </c>
      <c r="X1353">
        <v>6</v>
      </c>
      <c r="Y1353">
        <v>6</v>
      </c>
      <c r="Z1353" t="s">
        <v>1958</v>
      </c>
      <c r="AA1353" t="s">
        <v>1959</v>
      </c>
      <c r="AB1353" t="s">
        <v>96</v>
      </c>
      <c r="AC1353" t="s">
        <v>97</v>
      </c>
      <c r="AD1353" t="s">
        <v>1818</v>
      </c>
      <c r="AG1353" t="s">
        <v>1960</v>
      </c>
      <c r="AH1353">
        <v>0</v>
      </c>
      <c r="AI1353">
        <v>196</v>
      </c>
      <c r="AJ1353">
        <v>34</v>
      </c>
      <c r="AK1353">
        <v>0</v>
      </c>
      <c r="AL1353">
        <v>0</v>
      </c>
    </row>
    <row r="1354" spans="1:38" x14ac:dyDescent="0.3">
      <c r="A1354" t="s">
        <v>1813</v>
      </c>
      <c r="B1354">
        <v>8417</v>
      </c>
      <c r="C1354">
        <v>3</v>
      </c>
      <c r="D1354" t="s">
        <v>1957</v>
      </c>
      <c r="E1354" t="s">
        <v>1490</v>
      </c>
      <c r="F1354">
        <v>252</v>
      </c>
      <c r="G1354">
        <v>21.84</v>
      </c>
      <c r="H1354">
        <v>72.2</v>
      </c>
      <c r="I1354">
        <v>15.36</v>
      </c>
      <c r="J1354">
        <v>50.79</v>
      </c>
      <c r="K1354">
        <v>6</v>
      </c>
      <c r="T1354">
        <v>3</v>
      </c>
      <c r="U1354">
        <v>1</v>
      </c>
      <c r="V1354" t="s">
        <v>93</v>
      </c>
      <c r="W1354" t="s">
        <v>282</v>
      </c>
      <c r="X1354">
        <v>6</v>
      </c>
      <c r="Y1354">
        <v>6</v>
      </c>
      <c r="Z1354" t="s">
        <v>1958</v>
      </c>
      <c r="AA1354" t="s">
        <v>1959</v>
      </c>
      <c r="AB1354" t="s">
        <v>96</v>
      </c>
      <c r="AC1354" t="s">
        <v>97</v>
      </c>
      <c r="AD1354" t="s">
        <v>1818</v>
      </c>
      <c r="AG1354" t="s">
        <v>1960</v>
      </c>
      <c r="AH1354">
        <v>0</v>
      </c>
      <c r="AI1354">
        <v>196</v>
      </c>
      <c r="AJ1354">
        <v>34</v>
      </c>
      <c r="AK1354">
        <v>0</v>
      </c>
      <c r="AL1354">
        <v>0</v>
      </c>
    </row>
    <row r="1355" spans="1:38" x14ac:dyDescent="0.3">
      <c r="A1355" t="s">
        <v>1813</v>
      </c>
      <c r="B1355">
        <v>8417</v>
      </c>
      <c r="C1355">
        <v>4</v>
      </c>
      <c r="D1355" t="s">
        <v>1957</v>
      </c>
      <c r="E1355" t="s">
        <v>1490</v>
      </c>
      <c r="F1355">
        <v>252</v>
      </c>
      <c r="G1355">
        <v>22.13</v>
      </c>
      <c r="H1355">
        <v>73.16</v>
      </c>
      <c r="I1355">
        <v>17.5</v>
      </c>
      <c r="J1355">
        <v>57.87</v>
      </c>
      <c r="K1355">
        <v>42</v>
      </c>
      <c r="T1355">
        <v>3</v>
      </c>
      <c r="U1355">
        <v>1</v>
      </c>
      <c r="V1355" t="s">
        <v>93</v>
      </c>
      <c r="W1355" t="s">
        <v>903</v>
      </c>
      <c r="X1355">
        <v>6</v>
      </c>
      <c r="Y1355">
        <v>6</v>
      </c>
      <c r="Z1355" t="s">
        <v>1958</v>
      </c>
      <c r="AA1355" t="s">
        <v>1959</v>
      </c>
      <c r="AB1355" t="s">
        <v>96</v>
      </c>
      <c r="AC1355" t="s">
        <v>97</v>
      </c>
      <c r="AD1355" t="s">
        <v>1818</v>
      </c>
      <c r="AG1355" t="s">
        <v>1960</v>
      </c>
      <c r="AH1355">
        <v>0</v>
      </c>
      <c r="AI1355">
        <v>196</v>
      </c>
      <c r="AJ1355">
        <v>34</v>
      </c>
      <c r="AK1355">
        <v>0</v>
      </c>
      <c r="AL1355">
        <v>0</v>
      </c>
    </row>
    <row r="1356" spans="1:38" x14ac:dyDescent="0.3">
      <c r="A1356" t="s">
        <v>1813</v>
      </c>
      <c r="B1356">
        <v>8417</v>
      </c>
      <c r="C1356">
        <v>5</v>
      </c>
      <c r="D1356" t="s">
        <v>1957</v>
      </c>
      <c r="E1356" t="s">
        <v>1490</v>
      </c>
      <c r="F1356">
        <v>252</v>
      </c>
      <c r="G1356">
        <v>22.36</v>
      </c>
      <c r="H1356">
        <v>73.94</v>
      </c>
      <c r="I1356">
        <v>17.440000000000001</v>
      </c>
      <c r="J1356">
        <v>57.66</v>
      </c>
      <c r="K1356">
        <v>6</v>
      </c>
      <c r="T1356">
        <v>3</v>
      </c>
      <c r="U1356">
        <v>1</v>
      </c>
      <c r="V1356" t="s">
        <v>93</v>
      </c>
      <c r="W1356" t="s">
        <v>286</v>
      </c>
      <c r="X1356">
        <v>6</v>
      </c>
      <c r="Y1356">
        <v>6</v>
      </c>
      <c r="Z1356" t="s">
        <v>1958</v>
      </c>
      <c r="AA1356" t="s">
        <v>1959</v>
      </c>
      <c r="AB1356" t="s">
        <v>96</v>
      </c>
      <c r="AC1356" t="s">
        <v>97</v>
      </c>
      <c r="AD1356" t="s">
        <v>1818</v>
      </c>
      <c r="AG1356" t="s">
        <v>1960</v>
      </c>
      <c r="AH1356">
        <v>0</v>
      </c>
      <c r="AI1356">
        <v>196</v>
      </c>
      <c r="AJ1356">
        <v>34</v>
      </c>
      <c r="AK1356">
        <v>0</v>
      </c>
      <c r="AL1356">
        <v>0</v>
      </c>
    </row>
    <row r="1357" spans="1:38" x14ac:dyDescent="0.3">
      <c r="A1357" t="s">
        <v>1813</v>
      </c>
      <c r="B1357">
        <v>8417</v>
      </c>
      <c r="C1357">
        <v>6</v>
      </c>
      <c r="D1357" t="s">
        <v>1957</v>
      </c>
      <c r="E1357" t="s">
        <v>1490</v>
      </c>
      <c r="F1357">
        <v>252</v>
      </c>
      <c r="G1357">
        <v>22.92</v>
      </c>
      <c r="H1357">
        <v>75.78</v>
      </c>
      <c r="I1357">
        <v>18.100000000000001</v>
      </c>
      <c r="J1357">
        <v>59.86</v>
      </c>
      <c r="K1357">
        <v>36</v>
      </c>
      <c r="T1357">
        <v>3</v>
      </c>
      <c r="U1357">
        <v>1</v>
      </c>
      <c r="V1357" t="s">
        <v>93</v>
      </c>
      <c r="W1357">
        <v>75</v>
      </c>
      <c r="X1357">
        <v>6</v>
      </c>
      <c r="Y1357">
        <v>6</v>
      </c>
      <c r="Z1357" t="s">
        <v>1958</v>
      </c>
      <c r="AA1357" t="s">
        <v>1959</v>
      </c>
      <c r="AB1357" t="s">
        <v>96</v>
      </c>
      <c r="AC1357" t="s">
        <v>97</v>
      </c>
      <c r="AD1357" t="s">
        <v>1818</v>
      </c>
      <c r="AG1357" t="s">
        <v>1960</v>
      </c>
      <c r="AH1357">
        <v>0</v>
      </c>
      <c r="AI1357">
        <v>196</v>
      </c>
      <c r="AJ1357">
        <v>34</v>
      </c>
      <c r="AK1357">
        <v>0</v>
      </c>
      <c r="AL1357">
        <v>0</v>
      </c>
    </row>
    <row r="1358" spans="1:38" x14ac:dyDescent="0.3">
      <c r="A1358" t="s">
        <v>1813</v>
      </c>
      <c r="B1358">
        <v>8417</v>
      </c>
      <c r="C1358">
        <v>7</v>
      </c>
      <c r="D1358" t="s">
        <v>1957</v>
      </c>
      <c r="E1358" t="s">
        <v>1490</v>
      </c>
      <c r="F1358">
        <v>252</v>
      </c>
      <c r="G1358">
        <v>30.81</v>
      </c>
      <c r="H1358">
        <v>101.86</v>
      </c>
      <c r="I1358">
        <v>24.82</v>
      </c>
      <c r="J1358">
        <v>82.05</v>
      </c>
      <c r="K1358">
        <v>6</v>
      </c>
      <c r="T1358">
        <v>3</v>
      </c>
      <c r="U1358">
        <v>1</v>
      </c>
      <c r="V1358" t="s">
        <v>93</v>
      </c>
      <c r="W1358">
        <v>101</v>
      </c>
      <c r="X1358">
        <v>6</v>
      </c>
      <c r="Y1358">
        <v>6</v>
      </c>
      <c r="Z1358" t="s">
        <v>1958</v>
      </c>
      <c r="AA1358" t="s">
        <v>1959</v>
      </c>
      <c r="AB1358" t="s">
        <v>96</v>
      </c>
      <c r="AC1358" t="s">
        <v>97</v>
      </c>
      <c r="AD1358" t="s">
        <v>1818</v>
      </c>
      <c r="AG1358" t="s">
        <v>1960</v>
      </c>
      <c r="AH1358">
        <v>0</v>
      </c>
      <c r="AI1358">
        <v>196</v>
      </c>
      <c r="AJ1358">
        <v>34</v>
      </c>
      <c r="AK1358">
        <v>0</v>
      </c>
      <c r="AL1358">
        <v>0</v>
      </c>
    </row>
    <row r="1359" spans="1:38" x14ac:dyDescent="0.3">
      <c r="A1359" t="s">
        <v>1813</v>
      </c>
      <c r="B1359">
        <v>120563</v>
      </c>
      <c r="C1359">
        <v>1</v>
      </c>
      <c r="D1359" t="s">
        <v>533</v>
      </c>
      <c r="E1359" t="s">
        <v>534</v>
      </c>
      <c r="F1359">
        <v>42</v>
      </c>
      <c r="G1359">
        <v>19.25</v>
      </c>
      <c r="H1359">
        <v>63.64</v>
      </c>
      <c r="I1359">
        <v>15.11</v>
      </c>
      <c r="J1359">
        <v>49.98</v>
      </c>
      <c r="K1359">
        <v>42</v>
      </c>
      <c r="T1359">
        <v>2</v>
      </c>
      <c r="U1359">
        <v>1</v>
      </c>
      <c r="V1359" t="s">
        <v>93</v>
      </c>
      <c r="W1359">
        <v>63</v>
      </c>
      <c r="X1359">
        <v>15</v>
      </c>
      <c r="Y1359">
        <v>15</v>
      </c>
      <c r="Z1359" t="s">
        <v>1961</v>
      </c>
      <c r="AA1359" t="s">
        <v>1962</v>
      </c>
      <c r="AB1359" t="s">
        <v>96</v>
      </c>
      <c r="AC1359" t="s">
        <v>97</v>
      </c>
      <c r="AD1359" t="s">
        <v>1818</v>
      </c>
      <c r="AG1359" t="s">
        <v>1963</v>
      </c>
      <c r="AH1359">
        <v>0</v>
      </c>
      <c r="AI1359">
        <v>639</v>
      </c>
      <c r="AJ1359">
        <v>64</v>
      </c>
      <c r="AK1359">
        <v>31</v>
      </c>
      <c r="AL1359">
        <v>0.74</v>
      </c>
    </row>
    <row r="1360" spans="1:38" x14ac:dyDescent="0.3">
      <c r="A1360" t="s">
        <v>1813</v>
      </c>
      <c r="B1360">
        <v>14800</v>
      </c>
      <c r="C1360">
        <v>1</v>
      </c>
      <c r="D1360" t="s">
        <v>1964</v>
      </c>
      <c r="E1360" t="s">
        <v>625</v>
      </c>
      <c r="F1360">
        <v>110</v>
      </c>
      <c r="G1360">
        <v>14.76</v>
      </c>
      <c r="H1360">
        <v>48.8</v>
      </c>
      <c r="I1360">
        <v>11.58</v>
      </c>
      <c r="J1360">
        <v>38.29</v>
      </c>
      <c r="K1360">
        <v>50</v>
      </c>
      <c r="T1360">
        <v>2</v>
      </c>
      <c r="U1360">
        <v>1</v>
      </c>
      <c r="V1360" t="s">
        <v>93</v>
      </c>
      <c r="W1360">
        <v>48</v>
      </c>
      <c r="X1360">
        <v>5</v>
      </c>
      <c r="Y1360">
        <v>5</v>
      </c>
      <c r="Z1360" t="s">
        <v>1965</v>
      </c>
      <c r="AA1360" t="s">
        <v>1966</v>
      </c>
      <c r="AB1360" t="s">
        <v>96</v>
      </c>
      <c r="AC1360" t="s">
        <v>97</v>
      </c>
      <c r="AD1360" t="s">
        <v>1818</v>
      </c>
      <c r="AG1360" t="s">
        <v>1967</v>
      </c>
      <c r="AH1360">
        <v>0</v>
      </c>
      <c r="AI1360">
        <v>72</v>
      </c>
      <c r="AJ1360">
        <v>15</v>
      </c>
      <c r="AK1360">
        <v>0</v>
      </c>
      <c r="AL1360">
        <v>0</v>
      </c>
    </row>
    <row r="1361" spans="1:38" x14ac:dyDescent="0.3">
      <c r="A1361" t="s">
        <v>1813</v>
      </c>
      <c r="B1361">
        <v>14800</v>
      </c>
      <c r="C1361">
        <v>2</v>
      </c>
      <c r="D1361" t="s">
        <v>1964</v>
      </c>
      <c r="E1361" t="s">
        <v>625</v>
      </c>
      <c r="F1361">
        <v>110</v>
      </c>
      <c r="G1361">
        <v>16.79</v>
      </c>
      <c r="H1361">
        <v>55.53</v>
      </c>
      <c r="I1361">
        <v>13.43</v>
      </c>
      <c r="J1361">
        <v>44.41</v>
      </c>
      <c r="K1361">
        <v>60</v>
      </c>
      <c r="T1361">
        <v>2</v>
      </c>
      <c r="U1361">
        <v>1</v>
      </c>
      <c r="V1361" t="s">
        <v>93</v>
      </c>
      <c r="W1361">
        <v>55</v>
      </c>
      <c r="X1361">
        <v>5</v>
      </c>
      <c r="Y1361">
        <v>5</v>
      </c>
      <c r="Z1361" t="s">
        <v>1965</v>
      </c>
      <c r="AA1361" t="s">
        <v>1966</v>
      </c>
      <c r="AB1361" t="s">
        <v>96</v>
      </c>
      <c r="AC1361" t="s">
        <v>97</v>
      </c>
      <c r="AD1361" t="s">
        <v>1818</v>
      </c>
      <c r="AG1361" t="s">
        <v>1967</v>
      </c>
      <c r="AH1361">
        <v>0</v>
      </c>
      <c r="AI1361">
        <v>72</v>
      </c>
      <c r="AJ1361">
        <v>15</v>
      </c>
      <c r="AK1361">
        <v>0</v>
      </c>
      <c r="AL1361">
        <v>0</v>
      </c>
    </row>
    <row r="1362" spans="1:38" x14ac:dyDescent="0.3">
      <c r="A1362" t="s">
        <v>1813</v>
      </c>
      <c r="B1362">
        <v>124146</v>
      </c>
      <c r="C1362">
        <v>1</v>
      </c>
      <c r="D1362" t="s">
        <v>1968</v>
      </c>
      <c r="E1362" t="s">
        <v>981</v>
      </c>
      <c r="F1362">
        <v>9</v>
      </c>
      <c r="G1362">
        <v>20.71</v>
      </c>
      <c r="H1362">
        <v>68.47</v>
      </c>
      <c r="I1362">
        <v>17.04</v>
      </c>
      <c r="J1362">
        <v>56.36</v>
      </c>
      <c r="K1362">
        <v>3</v>
      </c>
      <c r="T1362">
        <v>3</v>
      </c>
      <c r="U1362">
        <v>1</v>
      </c>
      <c r="V1362" t="s">
        <v>211</v>
      </c>
      <c r="W1362">
        <v>68</v>
      </c>
      <c r="X1362">
        <v>4</v>
      </c>
      <c r="Y1362">
        <v>4</v>
      </c>
      <c r="Z1362" t="s">
        <v>1969</v>
      </c>
      <c r="AA1362" t="s">
        <v>1970</v>
      </c>
      <c r="AB1362" t="s">
        <v>96</v>
      </c>
      <c r="AC1362" t="s">
        <v>97</v>
      </c>
      <c r="AD1362" t="s">
        <v>1818</v>
      </c>
      <c r="AG1362" t="s">
        <v>1971</v>
      </c>
      <c r="AH1362">
        <v>0</v>
      </c>
      <c r="AI1362">
        <v>867</v>
      </c>
      <c r="AJ1362">
        <v>77</v>
      </c>
      <c r="AK1362">
        <v>8</v>
      </c>
      <c r="AL1362">
        <v>0.89</v>
      </c>
    </row>
    <row r="1363" spans="1:38" x14ac:dyDescent="0.3">
      <c r="A1363" t="s">
        <v>1813</v>
      </c>
      <c r="B1363">
        <v>124146</v>
      </c>
      <c r="C1363">
        <v>2</v>
      </c>
      <c r="D1363" t="s">
        <v>1968</v>
      </c>
      <c r="E1363" t="s">
        <v>981</v>
      </c>
      <c r="F1363">
        <v>9</v>
      </c>
      <c r="G1363">
        <v>21.81</v>
      </c>
      <c r="H1363">
        <v>72.099999999999994</v>
      </c>
      <c r="I1363">
        <v>18.16</v>
      </c>
      <c r="J1363">
        <v>60.04</v>
      </c>
      <c r="K1363">
        <v>3</v>
      </c>
      <c r="T1363">
        <v>3</v>
      </c>
      <c r="U1363">
        <v>1</v>
      </c>
      <c r="V1363" t="s">
        <v>211</v>
      </c>
      <c r="W1363">
        <v>72</v>
      </c>
      <c r="X1363">
        <v>4</v>
      </c>
      <c r="Y1363">
        <v>4</v>
      </c>
      <c r="Z1363" t="s">
        <v>1969</v>
      </c>
      <c r="AA1363" t="s">
        <v>1970</v>
      </c>
      <c r="AB1363" t="s">
        <v>96</v>
      </c>
      <c r="AC1363" t="s">
        <v>97</v>
      </c>
      <c r="AD1363" t="s">
        <v>1818</v>
      </c>
      <c r="AG1363" t="s">
        <v>1971</v>
      </c>
      <c r="AH1363">
        <v>0</v>
      </c>
      <c r="AI1363">
        <v>867</v>
      </c>
      <c r="AJ1363">
        <v>77</v>
      </c>
      <c r="AK1363">
        <v>8</v>
      </c>
      <c r="AL1363">
        <v>0.89</v>
      </c>
    </row>
    <row r="1364" spans="1:38" x14ac:dyDescent="0.3">
      <c r="A1364" t="s">
        <v>1813</v>
      </c>
      <c r="B1364">
        <v>124146</v>
      </c>
      <c r="C1364">
        <v>3</v>
      </c>
      <c r="D1364" t="s">
        <v>1968</v>
      </c>
      <c r="E1364" t="s">
        <v>981</v>
      </c>
      <c r="F1364">
        <v>9</v>
      </c>
      <c r="G1364">
        <v>23.12</v>
      </c>
      <c r="H1364">
        <v>76.430000000000007</v>
      </c>
      <c r="I1364">
        <v>19.41</v>
      </c>
      <c r="J1364">
        <v>64.17</v>
      </c>
      <c r="K1364">
        <v>3</v>
      </c>
      <c r="T1364">
        <v>3</v>
      </c>
      <c r="U1364">
        <v>1</v>
      </c>
      <c r="V1364" t="s">
        <v>211</v>
      </c>
      <c r="W1364">
        <v>76</v>
      </c>
      <c r="X1364">
        <v>4</v>
      </c>
      <c r="Y1364">
        <v>4</v>
      </c>
      <c r="Z1364" t="s">
        <v>1969</v>
      </c>
      <c r="AA1364" t="s">
        <v>1970</v>
      </c>
      <c r="AB1364" t="s">
        <v>96</v>
      </c>
      <c r="AC1364" t="s">
        <v>97</v>
      </c>
      <c r="AD1364" t="s">
        <v>1818</v>
      </c>
      <c r="AG1364" t="s">
        <v>1971</v>
      </c>
      <c r="AH1364">
        <v>0</v>
      </c>
      <c r="AI1364">
        <v>867</v>
      </c>
      <c r="AJ1364">
        <v>77</v>
      </c>
      <c r="AK1364">
        <v>8</v>
      </c>
      <c r="AL1364">
        <v>0.89</v>
      </c>
    </row>
    <row r="1365" spans="1:38" x14ac:dyDescent="0.3">
      <c r="A1365" t="s">
        <v>1813</v>
      </c>
      <c r="B1365">
        <v>14798</v>
      </c>
      <c r="C1365">
        <v>1</v>
      </c>
      <c r="D1365" t="s">
        <v>1972</v>
      </c>
      <c r="E1365" t="s">
        <v>1973</v>
      </c>
      <c r="F1365">
        <v>76</v>
      </c>
      <c r="G1365">
        <v>24.2</v>
      </c>
      <c r="H1365">
        <v>80.03</v>
      </c>
      <c r="I1365">
        <v>18.079999999999998</v>
      </c>
      <c r="J1365">
        <v>59.77</v>
      </c>
      <c r="K1365">
        <v>38</v>
      </c>
      <c r="T1365">
        <v>2</v>
      </c>
      <c r="U1365">
        <v>1</v>
      </c>
      <c r="V1365" t="s">
        <v>132</v>
      </c>
      <c r="W1365">
        <v>80</v>
      </c>
      <c r="X1365">
        <v>21</v>
      </c>
      <c r="Y1365">
        <v>21</v>
      </c>
      <c r="Z1365" t="s">
        <v>1974</v>
      </c>
      <c r="AA1365" t="s">
        <v>1975</v>
      </c>
      <c r="AB1365" t="s">
        <v>96</v>
      </c>
      <c r="AC1365" t="s">
        <v>97</v>
      </c>
      <c r="AD1365" t="s">
        <v>1818</v>
      </c>
      <c r="AG1365" t="s">
        <v>1976</v>
      </c>
      <c r="AH1365">
        <v>0</v>
      </c>
      <c r="AI1365">
        <v>0</v>
      </c>
      <c r="AJ1365">
        <v>0</v>
      </c>
      <c r="AK1365">
        <v>0</v>
      </c>
      <c r="AL1365">
        <v>0</v>
      </c>
    </row>
    <row r="1366" spans="1:38" x14ac:dyDescent="0.3">
      <c r="A1366" t="s">
        <v>1813</v>
      </c>
      <c r="B1366">
        <v>14798</v>
      </c>
      <c r="C1366">
        <v>2</v>
      </c>
      <c r="D1366" t="s">
        <v>1972</v>
      </c>
      <c r="E1366" t="s">
        <v>1973</v>
      </c>
      <c r="F1366">
        <v>76</v>
      </c>
      <c r="G1366">
        <v>34.42</v>
      </c>
      <c r="H1366">
        <v>113.8</v>
      </c>
      <c r="I1366">
        <v>25.7</v>
      </c>
      <c r="J1366">
        <v>84.98</v>
      </c>
      <c r="K1366">
        <v>38</v>
      </c>
      <c r="T1366">
        <v>3</v>
      </c>
      <c r="U1366">
        <v>2</v>
      </c>
      <c r="V1366" t="s">
        <v>132</v>
      </c>
      <c r="W1366">
        <v>113</v>
      </c>
      <c r="X1366">
        <v>21</v>
      </c>
      <c r="Y1366">
        <v>21</v>
      </c>
      <c r="Z1366" t="s">
        <v>1974</v>
      </c>
      <c r="AA1366" t="s">
        <v>1975</v>
      </c>
      <c r="AB1366" t="s">
        <v>96</v>
      </c>
      <c r="AC1366" t="s">
        <v>97</v>
      </c>
      <c r="AD1366" t="s">
        <v>1818</v>
      </c>
      <c r="AG1366" t="s">
        <v>1976</v>
      </c>
      <c r="AH1366">
        <v>0</v>
      </c>
      <c r="AI1366">
        <v>0</v>
      </c>
      <c r="AJ1366">
        <v>0</v>
      </c>
      <c r="AK1366">
        <v>0</v>
      </c>
      <c r="AL1366">
        <v>0</v>
      </c>
    </row>
    <row r="1367" spans="1:38" x14ac:dyDescent="0.3">
      <c r="A1367" t="s">
        <v>1813</v>
      </c>
      <c r="B1367">
        <v>108179</v>
      </c>
      <c r="C1367">
        <v>1</v>
      </c>
      <c r="D1367" t="s">
        <v>1977</v>
      </c>
      <c r="E1367" t="s">
        <v>647</v>
      </c>
      <c r="F1367">
        <v>38</v>
      </c>
      <c r="G1367">
        <v>23.41</v>
      </c>
      <c r="H1367">
        <v>77.41</v>
      </c>
      <c r="I1367">
        <v>21.23</v>
      </c>
      <c r="J1367">
        <v>70.19</v>
      </c>
      <c r="K1367">
        <v>19</v>
      </c>
      <c r="T1367">
        <v>3</v>
      </c>
      <c r="U1367">
        <v>1</v>
      </c>
      <c r="V1367" t="s">
        <v>93</v>
      </c>
      <c r="W1367" t="s">
        <v>1176</v>
      </c>
      <c r="X1367">
        <v>5</v>
      </c>
      <c r="Y1367">
        <v>4</v>
      </c>
      <c r="Z1367" t="s">
        <v>1978</v>
      </c>
      <c r="AA1367" t="s">
        <v>1979</v>
      </c>
      <c r="AB1367" t="s">
        <v>96</v>
      </c>
      <c r="AC1367" t="s">
        <v>97</v>
      </c>
      <c r="AD1367" t="s">
        <v>1818</v>
      </c>
      <c r="AG1367" t="s">
        <v>1980</v>
      </c>
      <c r="AH1367">
        <v>0</v>
      </c>
      <c r="AI1367">
        <v>0</v>
      </c>
      <c r="AJ1367">
        <v>0</v>
      </c>
      <c r="AK1367">
        <v>24</v>
      </c>
      <c r="AL1367">
        <v>0.63</v>
      </c>
    </row>
    <row r="1368" spans="1:38" x14ac:dyDescent="0.3">
      <c r="A1368" t="s">
        <v>1813</v>
      </c>
      <c r="B1368">
        <v>108179</v>
      </c>
      <c r="C1368">
        <v>2</v>
      </c>
      <c r="D1368" t="s">
        <v>1977</v>
      </c>
      <c r="E1368" t="s">
        <v>647</v>
      </c>
      <c r="F1368">
        <v>38</v>
      </c>
      <c r="G1368">
        <v>23.48</v>
      </c>
      <c r="H1368">
        <v>77.650000000000006</v>
      </c>
      <c r="I1368">
        <v>21.42</v>
      </c>
      <c r="J1368">
        <v>70.84</v>
      </c>
      <c r="K1368">
        <v>19</v>
      </c>
      <c r="T1368">
        <v>3</v>
      </c>
      <c r="U1368">
        <v>1</v>
      </c>
      <c r="V1368" t="s">
        <v>93</v>
      </c>
      <c r="W1368" t="s">
        <v>948</v>
      </c>
      <c r="X1368">
        <v>5</v>
      </c>
      <c r="Y1368">
        <v>4</v>
      </c>
      <c r="Z1368" t="s">
        <v>1978</v>
      </c>
      <c r="AA1368" t="s">
        <v>1979</v>
      </c>
      <c r="AB1368" t="s">
        <v>96</v>
      </c>
      <c r="AC1368" t="s">
        <v>97</v>
      </c>
      <c r="AD1368" t="s">
        <v>1818</v>
      </c>
      <c r="AG1368" t="s">
        <v>1980</v>
      </c>
      <c r="AH1368">
        <v>0</v>
      </c>
      <c r="AI1368">
        <v>0</v>
      </c>
      <c r="AJ1368">
        <v>0</v>
      </c>
      <c r="AK1368">
        <v>24</v>
      </c>
      <c r="AL1368">
        <v>0.63</v>
      </c>
    </row>
    <row r="1369" spans="1:38" x14ac:dyDescent="0.3">
      <c r="A1369" t="s">
        <v>1813</v>
      </c>
      <c r="B1369">
        <v>134204</v>
      </c>
      <c r="C1369">
        <v>1</v>
      </c>
      <c r="D1369" t="s">
        <v>1981</v>
      </c>
      <c r="E1369" t="s">
        <v>1982</v>
      </c>
      <c r="F1369">
        <v>28</v>
      </c>
      <c r="G1369">
        <v>12.21</v>
      </c>
      <c r="H1369">
        <v>40.369999999999997</v>
      </c>
      <c r="I1369">
        <v>11.18</v>
      </c>
      <c r="J1369">
        <v>36.979999999999997</v>
      </c>
      <c r="K1369">
        <v>1</v>
      </c>
      <c r="T1369">
        <v>2</v>
      </c>
      <c r="U1369">
        <v>1</v>
      </c>
      <c r="V1369" t="s">
        <v>93</v>
      </c>
      <c r="W1369">
        <v>40</v>
      </c>
      <c r="X1369">
        <v>5</v>
      </c>
      <c r="Y1369">
        <v>5</v>
      </c>
      <c r="Z1369" t="s">
        <v>1983</v>
      </c>
      <c r="AA1369" t="s">
        <v>1984</v>
      </c>
      <c r="AB1369" t="s">
        <v>96</v>
      </c>
      <c r="AC1369" t="s">
        <v>97</v>
      </c>
      <c r="AD1369" t="s">
        <v>1818</v>
      </c>
      <c r="AG1369" t="s">
        <v>1985</v>
      </c>
      <c r="AH1369">
        <v>0</v>
      </c>
      <c r="AI1369">
        <v>297</v>
      </c>
      <c r="AJ1369">
        <v>73</v>
      </c>
      <c r="AK1369">
        <v>13</v>
      </c>
      <c r="AL1369">
        <v>0.46</v>
      </c>
    </row>
    <row r="1370" spans="1:38" x14ac:dyDescent="0.3">
      <c r="A1370" t="s">
        <v>1813</v>
      </c>
      <c r="B1370">
        <v>134204</v>
      </c>
      <c r="C1370">
        <v>2</v>
      </c>
      <c r="D1370" t="s">
        <v>1981</v>
      </c>
      <c r="E1370" t="s">
        <v>1982</v>
      </c>
      <c r="F1370">
        <v>28</v>
      </c>
      <c r="G1370">
        <v>12.78</v>
      </c>
      <c r="H1370">
        <v>42.27</v>
      </c>
      <c r="I1370">
        <v>11.7</v>
      </c>
      <c r="J1370">
        <v>38.71</v>
      </c>
      <c r="K1370">
        <v>1</v>
      </c>
      <c r="T1370">
        <v>2</v>
      </c>
      <c r="U1370">
        <v>1</v>
      </c>
      <c r="V1370" t="s">
        <v>93</v>
      </c>
      <c r="W1370">
        <v>42</v>
      </c>
      <c r="X1370">
        <v>5</v>
      </c>
      <c r="Y1370">
        <v>5</v>
      </c>
      <c r="Z1370" t="s">
        <v>1983</v>
      </c>
      <c r="AA1370" t="s">
        <v>1984</v>
      </c>
      <c r="AB1370" t="s">
        <v>96</v>
      </c>
      <c r="AC1370" t="s">
        <v>97</v>
      </c>
      <c r="AD1370" t="s">
        <v>1818</v>
      </c>
      <c r="AG1370" t="s">
        <v>1985</v>
      </c>
      <c r="AH1370">
        <v>0</v>
      </c>
      <c r="AI1370">
        <v>297</v>
      </c>
      <c r="AJ1370">
        <v>73</v>
      </c>
      <c r="AK1370">
        <v>13</v>
      </c>
      <c r="AL1370">
        <v>0.46</v>
      </c>
    </row>
    <row r="1371" spans="1:38" x14ac:dyDescent="0.3">
      <c r="A1371" t="s">
        <v>1813</v>
      </c>
      <c r="B1371">
        <v>134204</v>
      </c>
      <c r="C1371">
        <v>3</v>
      </c>
      <c r="D1371" t="s">
        <v>1981</v>
      </c>
      <c r="E1371" t="s">
        <v>1982</v>
      </c>
      <c r="F1371">
        <v>28</v>
      </c>
      <c r="G1371">
        <v>13.54</v>
      </c>
      <c r="H1371">
        <v>44.79</v>
      </c>
      <c r="I1371">
        <v>11.93</v>
      </c>
      <c r="J1371">
        <v>39.44</v>
      </c>
      <c r="K1371">
        <v>1</v>
      </c>
      <c r="T1371">
        <v>2</v>
      </c>
      <c r="U1371">
        <v>1</v>
      </c>
      <c r="V1371" t="s">
        <v>93</v>
      </c>
      <c r="W1371">
        <v>44</v>
      </c>
      <c r="X1371">
        <v>5</v>
      </c>
      <c r="Y1371">
        <v>5</v>
      </c>
      <c r="Z1371" t="s">
        <v>1983</v>
      </c>
      <c r="AA1371" t="s">
        <v>1984</v>
      </c>
      <c r="AB1371" t="s">
        <v>96</v>
      </c>
      <c r="AC1371" t="s">
        <v>97</v>
      </c>
      <c r="AD1371" t="s">
        <v>1818</v>
      </c>
      <c r="AG1371" t="s">
        <v>1985</v>
      </c>
      <c r="AH1371">
        <v>0</v>
      </c>
      <c r="AI1371">
        <v>297</v>
      </c>
      <c r="AJ1371">
        <v>73</v>
      </c>
      <c r="AK1371">
        <v>13</v>
      </c>
      <c r="AL1371">
        <v>0.46</v>
      </c>
    </row>
    <row r="1372" spans="1:38" x14ac:dyDescent="0.3">
      <c r="A1372" t="s">
        <v>1813</v>
      </c>
      <c r="B1372">
        <v>134204</v>
      </c>
      <c r="C1372">
        <v>4</v>
      </c>
      <c r="D1372" t="s">
        <v>1981</v>
      </c>
      <c r="E1372" t="s">
        <v>1982</v>
      </c>
      <c r="F1372">
        <v>28</v>
      </c>
      <c r="G1372">
        <v>14.93</v>
      </c>
      <c r="H1372">
        <v>49.37</v>
      </c>
      <c r="I1372">
        <v>13.14</v>
      </c>
      <c r="J1372">
        <v>43.46</v>
      </c>
      <c r="K1372">
        <v>1</v>
      </c>
      <c r="T1372">
        <v>2</v>
      </c>
      <c r="U1372">
        <v>1</v>
      </c>
      <c r="V1372" t="s">
        <v>93</v>
      </c>
      <c r="W1372" t="s">
        <v>249</v>
      </c>
      <c r="X1372">
        <v>5</v>
      </c>
      <c r="Y1372">
        <v>5</v>
      </c>
      <c r="Z1372" t="s">
        <v>1983</v>
      </c>
      <c r="AA1372" t="s">
        <v>1984</v>
      </c>
      <c r="AB1372" t="s">
        <v>96</v>
      </c>
      <c r="AC1372" t="s">
        <v>97</v>
      </c>
      <c r="AD1372" t="s">
        <v>1818</v>
      </c>
      <c r="AG1372" t="s">
        <v>1985</v>
      </c>
      <c r="AH1372">
        <v>0</v>
      </c>
      <c r="AI1372">
        <v>297</v>
      </c>
      <c r="AJ1372">
        <v>73</v>
      </c>
      <c r="AK1372">
        <v>13</v>
      </c>
      <c r="AL1372">
        <v>0.46</v>
      </c>
    </row>
    <row r="1373" spans="1:38" x14ac:dyDescent="0.3">
      <c r="A1373" t="s">
        <v>1813</v>
      </c>
      <c r="B1373">
        <v>134204</v>
      </c>
      <c r="C1373">
        <v>5</v>
      </c>
      <c r="D1373" t="s">
        <v>1981</v>
      </c>
      <c r="E1373" t="s">
        <v>1982</v>
      </c>
      <c r="F1373">
        <v>28</v>
      </c>
      <c r="G1373">
        <v>15.34</v>
      </c>
      <c r="H1373">
        <v>50.73</v>
      </c>
      <c r="I1373">
        <v>14.03</v>
      </c>
      <c r="J1373">
        <v>46.4</v>
      </c>
      <c r="K1373">
        <v>3</v>
      </c>
      <c r="T1373">
        <v>2</v>
      </c>
      <c r="U1373">
        <v>1</v>
      </c>
      <c r="V1373" t="s">
        <v>93</v>
      </c>
      <c r="W1373" t="s">
        <v>250</v>
      </c>
      <c r="X1373">
        <v>5</v>
      </c>
      <c r="Y1373">
        <v>5</v>
      </c>
      <c r="Z1373" t="s">
        <v>1983</v>
      </c>
      <c r="AA1373" t="s">
        <v>1984</v>
      </c>
      <c r="AB1373" t="s">
        <v>96</v>
      </c>
      <c r="AC1373" t="s">
        <v>97</v>
      </c>
      <c r="AD1373" t="s">
        <v>1818</v>
      </c>
      <c r="AG1373" t="s">
        <v>1985</v>
      </c>
      <c r="AH1373">
        <v>0</v>
      </c>
      <c r="AI1373">
        <v>297</v>
      </c>
      <c r="AJ1373">
        <v>73</v>
      </c>
      <c r="AK1373">
        <v>13</v>
      </c>
      <c r="AL1373">
        <v>0.46</v>
      </c>
    </row>
    <row r="1374" spans="1:38" x14ac:dyDescent="0.3">
      <c r="A1374" t="s">
        <v>1813</v>
      </c>
      <c r="B1374">
        <v>134204</v>
      </c>
      <c r="C1374">
        <v>6</v>
      </c>
      <c r="D1374" t="s">
        <v>1981</v>
      </c>
      <c r="E1374" t="s">
        <v>1982</v>
      </c>
      <c r="F1374">
        <v>28</v>
      </c>
      <c r="G1374">
        <v>15.53</v>
      </c>
      <c r="H1374">
        <v>51.34</v>
      </c>
      <c r="I1374">
        <v>14.2</v>
      </c>
      <c r="J1374">
        <v>46.95</v>
      </c>
      <c r="K1374">
        <v>4</v>
      </c>
      <c r="T1374">
        <v>2</v>
      </c>
      <c r="U1374">
        <v>1</v>
      </c>
      <c r="V1374" t="s">
        <v>93</v>
      </c>
      <c r="W1374" t="s">
        <v>251</v>
      </c>
      <c r="X1374">
        <v>5</v>
      </c>
      <c r="Y1374">
        <v>5</v>
      </c>
      <c r="Z1374" t="s">
        <v>1983</v>
      </c>
      <c r="AA1374" t="s">
        <v>1984</v>
      </c>
      <c r="AB1374" t="s">
        <v>96</v>
      </c>
      <c r="AC1374" t="s">
        <v>97</v>
      </c>
      <c r="AD1374" t="s">
        <v>1818</v>
      </c>
      <c r="AG1374" t="s">
        <v>1985</v>
      </c>
      <c r="AH1374">
        <v>0</v>
      </c>
      <c r="AI1374">
        <v>297</v>
      </c>
      <c r="AJ1374">
        <v>73</v>
      </c>
      <c r="AK1374">
        <v>13</v>
      </c>
      <c r="AL1374">
        <v>0.46</v>
      </c>
    </row>
    <row r="1375" spans="1:38" x14ac:dyDescent="0.3">
      <c r="A1375" t="s">
        <v>1813</v>
      </c>
      <c r="B1375">
        <v>134204</v>
      </c>
      <c r="C1375">
        <v>7</v>
      </c>
      <c r="D1375" t="s">
        <v>1981</v>
      </c>
      <c r="E1375" t="s">
        <v>1982</v>
      </c>
      <c r="F1375">
        <v>28</v>
      </c>
      <c r="G1375">
        <v>15.59</v>
      </c>
      <c r="H1375">
        <v>51.55</v>
      </c>
      <c r="I1375">
        <v>14.26</v>
      </c>
      <c r="J1375">
        <v>47.15</v>
      </c>
      <c r="K1375">
        <v>3</v>
      </c>
      <c r="T1375">
        <v>2</v>
      </c>
      <c r="U1375">
        <v>1</v>
      </c>
      <c r="V1375" t="s">
        <v>93</v>
      </c>
      <c r="W1375" t="s">
        <v>253</v>
      </c>
      <c r="X1375">
        <v>5</v>
      </c>
      <c r="Y1375">
        <v>5</v>
      </c>
      <c r="Z1375" t="s">
        <v>1983</v>
      </c>
      <c r="AA1375" t="s">
        <v>1984</v>
      </c>
      <c r="AB1375" t="s">
        <v>96</v>
      </c>
      <c r="AC1375" t="s">
        <v>97</v>
      </c>
      <c r="AD1375" t="s">
        <v>1818</v>
      </c>
      <c r="AG1375" t="s">
        <v>1985</v>
      </c>
      <c r="AH1375">
        <v>0</v>
      </c>
      <c r="AI1375">
        <v>297</v>
      </c>
      <c r="AJ1375">
        <v>73</v>
      </c>
      <c r="AK1375">
        <v>13</v>
      </c>
      <c r="AL1375">
        <v>0.46</v>
      </c>
    </row>
    <row r="1376" spans="1:38" x14ac:dyDescent="0.3">
      <c r="A1376" t="s">
        <v>1813</v>
      </c>
      <c r="B1376">
        <v>134204</v>
      </c>
      <c r="C1376">
        <v>8</v>
      </c>
      <c r="D1376" t="s">
        <v>1981</v>
      </c>
      <c r="E1376" t="s">
        <v>1982</v>
      </c>
      <c r="F1376">
        <v>28</v>
      </c>
      <c r="G1376">
        <v>15.78</v>
      </c>
      <c r="H1376">
        <v>52.17</v>
      </c>
      <c r="I1376">
        <v>14.43</v>
      </c>
      <c r="J1376">
        <v>47.71</v>
      </c>
      <c r="K1376">
        <v>4</v>
      </c>
      <c r="T1376">
        <v>2</v>
      </c>
      <c r="U1376">
        <v>1</v>
      </c>
      <c r="V1376" t="s">
        <v>93</v>
      </c>
      <c r="W1376" t="s">
        <v>584</v>
      </c>
      <c r="X1376">
        <v>5</v>
      </c>
      <c r="Y1376">
        <v>5</v>
      </c>
      <c r="Z1376" t="s">
        <v>1983</v>
      </c>
      <c r="AA1376" t="s">
        <v>1984</v>
      </c>
      <c r="AB1376" t="s">
        <v>96</v>
      </c>
      <c r="AC1376" t="s">
        <v>97</v>
      </c>
      <c r="AD1376" t="s">
        <v>1818</v>
      </c>
      <c r="AG1376" t="s">
        <v>1985</v>
      </c>
      <c r="AH1376">
        <v>0</v>
      </c>
      <c r="AI1376">
        <v>297</v>
      </c>
      <c r="AJ1376">
        <v>73</v>
      </c>
      <c r="AK1376">
        <v>13</v>
      </c>
      <c r="AL1376">
        <v>0.46</v>
      </c>
    </row>
    <row r="1377" spans="1:38" x14ac:dyDescent="0.3">
      <c r="A1377" t="s">
        <v>1813</v>
      </c>
      <c r="B1377">
        <v>134204</v>
      </c>
      <c r="C1377">
        <v>9</v>
      </c>
      <c r="D1377" t="s">
        <v>1981</v>
      </c>
      <c r="E1377" t="s">
        <v>1982</v>
      </c>
      <c r="F1377">
        <v>28</v>
      </c>
      <c r="G1377">
        <v>16.73</v>
      </c>
      <c r="H1377">
        <v>55.33</v>
      </c>
      <c r="I1377">
        <v>14.73</v>
      </c>
      <c r="J1377">
        <v>48.71</v>
      </c>
      <c r="K1377">
        <v>3</v>
      </c>
      <c r="T1377">
        <v>2</v>
      </c>
      <c r="U1377">
        <v>1</v>
      </c>
      <c r="V1377" t="s">
        <v>93</v>
      </c>
      <c r="W1377" t="s">
        <v>1986</v>
      </c>
      <c r="X1377">
        <v>5</v>
      </c>
      <c r="Y1377">
        <v>5</v>
      </c>
      <c r="Z1377" t="s">
        <v>1983</v>
      </c>
      <c r="AA1377" t="s">
        <v>1984</v>
      </c>
      <c r="AB1377" t="s">
        <v>96</v>
      </c>
      <c r="AC1377" t="s">
        <v>97</v>
      </c>
      <c r="AD1377" t="s">
        <v>1818</v>
      </c>
      <c r="AG1377" t="s">
        <v>1985</v>
      </c>
      <c r="AH1377">
        <v>0</v>
      </c>
      <c r="AI1377">
        <v>297</v>
      </c>
      <c r="AJ1377">
        <v>73</v>
      </c>
      <c r="AK1377">
        <v>13</v>
      </c>
      <c r="AL1377">
        <v>0.46</v>
      </c>
    </row>
    <row r="1378" spans="1:38" x14ac:dyDescent="0.3">
      <c r="A1378" t="s">
        <v>1813</v>
      </c>
      <c r="B1378">
        <v>134204</v>
      </c>
      <c r="C1378">
        <v>10</v>
      </c>
      <c r="D1378" t="s">
        <v>1981</v>
      </c>
      <c r="E1378" t="s">
        <v>1982</v>
      </c>
      <c r="F1378">
        <v>28</v>
      </c>
      <c r="G1378">
        <v>16.739999999999998</v>
      </c>
      <c r="H1378">
        <v>55.36</v>
      </c>
      <c r="I1378">
        <v>14.74</v>
      </c>
      <c r="J1378">
        <v>48.74</v>
      </c>
      <c r="K1378">
        <v>3</v>
      </c>
      <c r="T1378">
        <v>2</v>
      </c>
      <c r="U1378">
        <v>1</v>
      </c>
      <c r="V1378" t="s">
        <v>93</v>
      </c>
      <c r="W1378" t="s">
        <v>177</v>
      </c>
      <c r="X1378">
        <v>5</v>
      </c>
      <c r="Y1378">
        <v>5</v>
      </c>
      <c r="Z1378" t="s">
        <v>1983</v>
      </c>
      <c r="AA1378" t="s">
        <v>1984</v>
      </c>
      <c r="AB1378" t="s">
        <v>96</v>
      </c>
      <c r="AC1378" t="s">
        <v>97</v>
      </c>
      <c r="AD1378" t="s">
        <v>1818</v>
      </c>
      <c r="AG1378" t="s">
        <v>1985</v>
      </c>
      <c r="AH1378">
        <v>0</v>
      </c>
      <c r="AI1378">
        <v>297</v>
      </c>
      <c r="AJ1378">
        <v>73</v>
      </c>
      <c r="AK1378">
        <v>13</v>
      </c>
      <c r="AL1378">
        <v>0.46</v>
      </c>
    </row>
    <row r="1379" spans="1:38" x14ac:dyDescent="0.3">
      <c r="A1379" t="s">
        <v>1813</v>
      </c>
      <c r="B1379">
        <v>134204</v>
      </c>
      <c r="C1379">
        <v>11</v>
      </c>
      <c r="D1379" t="s">
        <v>1981</v>
      </c>
      <c r="E1379" t="s">
        <v>1982</v>
      </c>
      <c r="F1379">
        <v>28</v>
      </c>
      <c r="G1379">
        <v>20.6</v>
      </c>
      <c r="H1379">
        <v>68.099999999999994</v>
      </c>
      <c r="I1379">
        <v>18.13</v>
      </c>
      <c r="J1379">
        <v>59.95</v>
      </c>
      <c r="K1379">
        <v>4</v>
      </c>
      <c r="T1379">
        <v>3</v>
      </c>
      <c r="U1379">
        <v>1</v>
      </c>
      <c r="V1379" t="s">
        <v>93</v>
      </c>
      <c r="W1379">
        <v>68</v>
      </c>
      <c r="X1379">
        <v>5</v>
      </c>
      <c r="Y1379">
        <v>5</v>
      </c>
      <c r="Z1379" t="s">
        <v>1983</v>
      </c>
      <c r="AA1379" t="s">
        <v>1984</v>
      </c>
      <c r="AB1379" t="s">
        <v>96</v>
      </c>
      <c r="AC1379" t="s">
        <v>97</v>
      </c>
      <c r="AD1379" t="s">
        <v>1818</v>
      </c>
      <c r="AG1379" t="s">
        <v>1985</v>
      </c>
      <c r="AH1379">
        <v>0</v>
      </c>
      <c r="AI1379">
        <v>297</v>
      </c>
      <c r="AJ1379">
        <v>73</v>
      </c>
      <c r="AK1379">
        <v>13</v>
      </c>
      <c r="AL1379">
        <v>0.46</v>
      </c>
    </row>
    <row r="1380" spans="1:38" x14ac:dyDescent="0.3">
      <c r="A1380" t="s">
        <v>1813</v>
      </c>
      <c r="B1380">
        <v>118444</v>
      </c>
      <c r="C1380">
        <v>1</v>
      </c>
      <c r="D1380" t="s">
        <v>1987</v>
      </c>
      <c r="E1380" t="s">
        <v>1057</v>
      </c>
      <c r="F1380">
        <v>20</v>
      </c>
      <c r="G1380">
        <v>22.44</v>
      </c>
      <c r="H1380">
        <v>74.19</v>
      </c>
      <c r="I1380">
        <v>16.3</v>
      </c>
      <c r="J1380">
        <v>53.91</v>
      </c>
      <c r="K1380">
        <v>4</v>
      </c>
      <c r="T1380">
        <v>3</v>
      </c>
      <c r="U1380">
        <v>1</v>
      </c>
      <c r="V1380" t="s">
        <v>93</v>
      </c>
      <c r="W1380">
        <v>74</v>
      </c>
      <c r="X1380">
        <v>15</v>
      </c>
      <c r="Y1380">
        <v>15</v>
      </c>
      <c r="Z1380" t="s">
        <v>1988</v>
      </c>
      <c r="AA1380" t="s">
        <v>1989</v>
      </c>
      <c r="AB1380" t="s">
        <v>96</v>
      </c>
      <c r="AC1380" t="s">
        <v>97</v>
      </c>
      <c r="AD1380" t="s">
        <v>1818</v>
      </c>
      <c r="AG1380" t="s">
        <v>1990</v>
      </c>
      <c r="AH1380">
        <v>0</v>
      </c>
      <c r="AI1380">
        <v>818</v>
      </c>
      <c r="AJ1380">
        <v>68</v>
      </c>
      <c r="AK1380">
        <v>14</v>
      </c>
      <c r="AL1380">
        <v>0.7</v>
      </c>
    </row>
    <row r="1381" spans="1:38" x14ac:dyDescent="0.3">
      <c r="A1381" t="s">
        <v>1813</v>
      </c>
      <c r="B1381">
        <v>118444</v>
      </c>
      <c r="C1381">
        <v>2</v>
      </c>
      <c r="D1381" t="s">
        <v>1987</v>
      </c>
      <c r="E1381" t="s">
        <v>1057</v>
      </c>
      <c r="F1381">
        <v>20</v>
      </c>
      <c r="G1381">
        <v>22.58</v>
      </c>
      <c r="H1381">
        <v>74.650000000000006</v>
      </c>
      <c r="I1381">
        <v>16.62</v>
      </c>
      <c r="J1381">
        <v>54.96</v>
      </c>
      <c r="K1381">
        <v>4</v>
      </c>
      <c r="T1381">
        <v>3</v>
      </c>
      <c r="U1381">
        <v>1</v>
      </c>
      <c r="V1381" t="s">
        <v>93</v>
      </c>
      <c r="W1381" t="s">
        <v>880</v>
      </c>
      <c r="X1381">
        <v>15</v>
      </c>
      <c r="Y1381">
        <v>15</v>
      </c>
      <c r="Z1381" t="s">
        <v>1988</v>
      </c>
      <c r="AA1381" t="s">
        <v>1989</v>
      </c>
      <c r="AB1381" t="s">
        <v>96</v>
      </c>
      <c r="AC1381" t="s">
        <v>97</v>
      </c>
      <c r="AD1381" t="s">
        <v>1818</v>
      </c>
      <c r="AG1381" t="s">
        <v>1990</v>
      </c>
      <c r="AH1381">
        <v>0</v>
      </c>
      <c r="AI1381">
        <v>818</v>
      </c>
      <c r="AJ1381">
        <v>68</v>
      </c>
      <c r="AK1381">
        <v>14</v>
      </c>
      <c r="AL1381">
        <v>0.7</v>
      </c>
    </row>
    <row r="1382" spans="1:38" x14ac:dyDescent="0.3">
      <c r="A1382" t="s">
        <v>1813</v>
      </c>
      <c r="B1382">
        <v>118444</v>
      </c>
      <c r="C1382">
        <v>3</v>
      </c>
      <c r="D1382" t="s">
        <v>1987</v>
      </c>
      <c r="E1382" t="s">
        <v>1057</v>
      </c>
      <c r="F1382">
        <v>20</v>
      </c>
      <c r="G1382">
        <v>22.75</v>
      </c>
      <c r="H1382">
        <v>75.23</v>
      </c>
      <c r="I1382">
        <v>16.79</v>
      </c>
      <c r="J1382">
        <v>55.51</v>
      </c>
      <c r="K1382">
        <v>4</v>
      </c>
      <c r="T1382">
        <v>3</v>
      </c>
      <c r="U1382">
        <v>1</v>
      </c>
      <c r="V1382" t="s">
        <v>93</v>
      </c>
      <c r="W1382" t="s">
        <v>407</v>
      </c>
      <c r="X1382">
        <v>15</v>
      </c>
      <c r="Y1382">
        <v>15</v>
      </c>
      <c r="Z1382" t="s">
        <v>1988</v>
      </c>
      <c r="AA1382" t="s">
        <v>1989</v>
      </c>
      <c r="AB1382" t="s">
        <v>96</v>
      </c>
      <c r="AC1382" t="s">
        <v>97</v>
      </c>
      <c r="AD1382" t="s">
        <v>1818</v>
      </c>
      <c r="AG1382" t="s">
        <v>1990</v>
      </c>
      <c r="AH1382">
        <v>0</v>
      </c>
      <c r="AI1382">
        <v>818</v>
      </c>
      <c r="AJ1382">
        <v>68</v>
      </c>
      <c r="AK1382">
        <v>14</v>
      </c>
      <c r="AL1382">
        <v>0.7</v>
      </c>
    </row>
    <row r="1383" spans="1:38" x14ac:dyDescent="0.3">
      <c r="A1383" t="s">
        <v>1813</v>
      </c>
      <c r="B1383">
        <v>118444</v>
      </c>
      <c r="C1383">
        <v>4</v>
      </c>
      <c r="D1383" t="s">
        <v>1987</v>
      </c>
      <c r="E1383" t="s">
        <v>1057</v>
      </c>
      <c r="F1383">
        <v>20</v>
      </c>
      <c r="G1383">
        <v>23.38</v>
      </c>
      <c r="H1383">
        <v>77.290000000000006</v>
      </c>
      <c r="I1383">
        <v>17.2</v>
      </c>
      <c r="J1383">
        <v>56.86</v>
      </c>
      <c r="K1383">
        <v>4</v>
      </c>
      <c r="T1383">
        <v>3</v>
      </c>
      <c r="U1383">
        <v>1</v>
      </c>
      <c r="V1383" t="s">
        <v>93</v>
      </c>
      <c r="W1383" t="s">
        <v>1176</v>
      </c>
      <c r="X1383">
        <v>15</v>
      </c>
      <c r="Y1383">
        <v>15</v>
      </c>
      <c r="Z1383" t="s">
        <v>1988</v>
      </c>
      <c r="AA1383" t="s">
        <v>1989</v>
      </c>
      <c r="AB1383" t="s">
        <v>96</v>
      </c>
      <c r="AC1383" t="s">
        <v>97</v>
      </c>
      <c r="AD1383" t="s">
        <v>1818</v>
      </c>
      <c r="AG1383" t="s">
        <v>1990</v>
      </c>
      <c r="AH1383">
        <v>0</v>
      </c>
      <c r="AI1383">
        <v>818</v>
      </c>
      <c r="AJ1383">
        <v>68</v>
      </c>
      <c r="AK1383">
        <v>14</v>
      </c>
      <c r="AL1383">
        <v>0.7</v>
      </c>
    </row>
    <row r="1384" spans="1:38" x14ac:dyDescent="0.3">
      <c r="A1384" t="s">
        <v>1813</v>
      </c>
      <c r="B1384">
        <v>118444</v>
      </c>
      <c r="C1384">
        <v>5</v>
      </c>
      <c r="D1384" t="s">
        <v>1987</v>
      </c>
      <c r="E1384" t="s">
        <v>1057</v>
      </c>
      <c r="F1384">
        <v>20</v>
      </c>
      <c r="G1384">
        <v>23.32</v>
      </c>
      <c r="H1384">
        <v>77.099999999999994</v>
      </c>
      <c r="I1384">
        <v>17.239999999999998</v>
      </c>
      <c r="J1384">
        <v>57.02</v>
      </c>
      <c r="K1384">
        <v>4</v>
      </c>
      <c r="T1384">
        <v>3</v>
      </c>
      <c r="U1384">
        <v>1</v>
      </c>
      <c r="V1384" t="s">
        <v>93</v>
      </c>
      <c r="W1384" t="s">
        <v>1127</v>
      </c>
      <c r="X1384">
        <v>15</v>
      </c>
      <c r="Y1384">
        <v>15</v>
      </c>
      <c r="Z1384" t="s">
        <v>1988</v>
      </c>
      <c r="AA1384" t="s">
        <v>1989</v>
      </c>
      <c r="AB1384" t="s">
        <v>96</v>
      </c>
      <c r="AC1384" t="s">
        <v>97</v>
      </c>
      <c r="AD1384" t="s">
        <v>1818</v>
      </c>
      <c r="AG1384" t="s">
        <v>1990</v>
      </c>
      <c r="AH1384">
        <v>0</v>
      </c>
      <c r="AI1384">
        <v>818</v>
      </c>
      <c r="AJ1384">
        <v>68</v>
      </c>
      <c r="AK1384">
        <v>14</v>
      </c>
      <c r="AL1384">
        <v>0.7</v>
      </c>
    </row>
    <row r="1385" spans="1:38" x14ac:dyDescent="0.3">
      <c r="A1385" t="s">
        <v>1813</v>
      </c>
      <c r="B1385">
        <v>10620</v>
      </c>
      <c r="C1385">
        <v>1</v>
      </c>
      <c r="D1385" t="s">
        <v>1991</v>
      </c>
      <c r="E1385" t="s">
        <v>146</v>
      </c>
      <c r="F1385">
        <v>70</v>
      </c>
      <c r="G1385">
        <v>18.149999999999999</v>
      </c>
      <c r="H1385">
        <v>60</v>
      </c>
      <c r="I1385">
        <v>16.170000000000002</v>
      </c>
      <c r="J1385">
        <v>53.46</v>
      </c>
      <c r="K1385">
        <v>30</v>
      </c>
      <c r="T1385">
        <v>2</v>
      </c>
      <c r="U1385">
        <v>1</v>
      </c>
      <c r="V1385" t="s">
        <v>93</v>
      </c>
      <c r="W1385">
        <v>60</v>
      </c>
      <c r="X1385">
        <v>5</v>
      </c>
      <c r="Y1385">
        <v>5</v>
      </c>
      <c r="Z1385" t="s">
        <v>1992</v>
      </c>
      <c r="AA1385" t="s">
        <v>1993</v>
      </c>
      <c r="AB1385" t="s">
        <v>96</v>
      </c>
      <c r="AC1385" t="s">
        <v>97</v>
      </c>
      <c r="AD1385" t="s">
        <v>1818</v>
      </c>
      <c r="AG1385" t="s">
        <v>1994</v>
      </c>
      <c r="AH1385">
        <v>0</v>
      </c>
      <c r="AI1385">
        <v>0</v>
      </c>
      <c r="AJ1385">
        <v>0</v>
      </c>
      <c r="AK1385">
        <v>0</v>
      </c>
      <c r="AL1385">
        <v>0</v>
      </c>
    </row>
    <row r="1386" spans="1:38" x14ac:dyDescent="0.3">
      <c r="A1386" t="s">
        <v>1813</v>
      </c>
      <c r="B1386">
        <v>10620</v>
      </c>
      <c r="C1386">
        <v>2</v>
      </c>
      <c r="D1386" t="s">
        <v>1991</v>
      </c>
      <c r="E1386" t="s">
        <v>146</v>
      </c>
      <c r="F1386">
        <v>70</v>
      </c>
      <c r="G1386">
        <v>20.13</v>
      </c>
      <c r="H1386">
        <v>66.569999999999993</v>
      </c>
      <c r="I1386">
        <v>17.88</v>
      </c>
      <c r="J1386">
        <v>59.13</v>
      </c>
      <c r="K1386">
        <v>40</v>
      </c>
      <c r="T1386">
        <v>2</v>
      </c>
      <c r="U1386">
        <v>1</v>
      </c>
      <c r="V1386" t="s">
        <v>93</v>
      </c>
      <c r="W1386">
        <v>66</v>
      </c>
      <c r="X1386">
        <v>5</v>
      </c>
      <c r="Y1386">
        <v>5</v>
      </c>
      <c r="Z1386" t="s">
        <v>1992</v>
      </c>
      <c r="AA1386" t="s">
        <v>1993</v>
      </c>
      <c r="AB1386" t="s">
        <v>96</v>
      </c>
      <c r="AC1386" t="s">
        <v>97</v>
      </c>
      <c r="AD1386" t="s">
        <v>1818</v>
      </c>
      <c r="AG1386" t="s">
        <v>1994</v>
      </c>
      <c r="AH1386">
        <v>0</v>
      </c>
      <c r="AI1386">
        <v>0</v>
      </c>
      <c r="AJ1386">
        <v>0</v>
      </c>
      <c r="AK1386">
        <v>0</v>
      </c>
      <c r="AL1386">
        <v>0</v>
      </c>
    </row>
    <row r="1387" spans="1:38" x14ac:dyDescent="0.3">
      <c r="A1387" t="s">
        <v>1813</v>
      </c>
      <c r="B1387">
        <v>138687</v>
      </c>
      <c r="C1387">
        <v>1</v>
      </c>
      <c r="D1387" t="s">
        <v>1995</v>
      </c>
      <c r="E1387" t="s">
        <v>1996</v>
      </c>
      <c r="F1387">
        <v>5</v>
      </c>
      <c r="G1387">
        <v>10.74</v>
      </c>
      <c r="H1387">
        <v>35.53</v>
      </c>
      <c r="I1387">
        <v>7.88</v>
      </c>
      <c r="J1387">
        <v>26.07</v>
      </c>
      <c r="K1387">
        <v>1</v>
      </c>
      <c r="T1387">
        <v>1</v>
      </c>
      <c r="U1387">
        <v>1</v>
      </c>
      <c r="V1387" t="s">
        <v>93</v>
      </c>
      <c r="W1387" t="s">
        <v>1997</v>
      </c>
      <c r="X1387">
        <v>11</v>
      </c>
      <c r="Y1387">
        <v>11</v>
      </c>
      <c r="Z1387" t="s">
        <v>1998</v>
      </c>
      <c r="AA1387" t="s">
        <v>1999</v>
      </c>
      <c r="AB1387" t="s">
        <v>96</v>
      </c>
      <c r="AC1387" t="s">
        <v>97</v>
      </c>
      <c r="AD1387" t="s">
        <v>1818</v>
      </c>
      <c r="AG1387" t="s">
        <v>2000</v>
      </c>
      <c r="AH1387">
        <v>0</v>
      </c>
      <c r="AI1387">
        <v>498</v>
      </c>
      <c r="AJ1387">
        <v>59</v>
      </c>
      <c r="AK1387">
        <v>4</v>
      </c>
      <c r="AL1387">
        <v>0.8</v>
      </c>
    </row>
    <row r="1388" spans="1:38" x14ac:dyDescent="0.3">
      <c r="A1388" t="s">
        <v>1813</v>
      </c>
      <c r="B1388">
        <v>138687</v>
      </c>
      <c r="C1388">
        <v>2</v>
      </c>
      <c r="D1388" t="s">
        <v>1995</v>
      </c>
      <c r="E1388" t="s">
        <v>1996</v>
      </c>
      <c r="F1388">
        <v>5</v>
      </c>
      <c r="G1388">
        <v>10.95</v>
      </c>
      <c r="H1388">
        <v>36.229999999999997</v>
      </c>
      <c r="I1388">
        <v>8.1300000000000008</v>
      </c>
      <c r="J1388">
        <v>26.89</v>
      </c>
      <c r="K1388">
        <v>1</v>
      </c>
      <c r="T1388">
        <v>1</v>
      </c>
      <c r="U1388">
        <v>1</v>
      </c>
      <c r="V1388" t="s">
        <v>93</v>
      </c>
      <c r="W1388" t="s">
        <v>2001</v>
      </c>
      <c r="X1388">
        <v>11</v>
      </c>
      <c r="Y1388">
        <v>11</v>
      </c>
      <c r="Z1388" t="s">
        <v>1998</v>
      </c>
      <c r="AA1388" t="s">
        <v>1999</v>
      </c>
      <c r="AB1388" t="s">
        <v>96</v>
      </c>
      <c r="AC1388" t="s">
        <v>97</v>
      </c>
      <c r="AD1388" t="s">
        <v>1818</v>
      </c>
      <c r="AG1388" t="s">
        <v>2000</v>
      </c>
      <c r="AH1388">
        <v>0</v>
      </c>
      <c r="AI1388">
        <v>498</v>
      </c>
      <c r="AJ1388">
        <v>59</v>
      </c>
      <c r="AK1388">
        <v>4</v>
      </c>
      <c r="AL1388">
        <v>0.8</v>
      </c>
    </row>
    <row r="1389" spans="1:38" x14ac:dyDescent="0.3">
      <c r="A1389" t="s">
        <v>1813</v>
      </c>
      <c r="B1389">
        <v>138687</v>
      </c>
      <c r="C1389">
        <v>3</v>
      </c>
      <c r="D1389" t="s">
        <v>1995</v>
      </c>
      <c r="E1389" t="s">
        <v>1996</v>
      </c>
      <c r="F1389">
        <v>5</v>
      </c>
      <c r="G1389">
        <v>17.829999999999998</v>
      </c>
      <c r="H1389">
        <v>58.97</v>
      </c>
      <c r="I1389">
        <v>13.91</v>
      </c>
      <c r="J1389">
        <v>45.99</v>
      </c>
      <c r="K1389">
        <v>2</v>
      </c>
      <c r="T1389">
        <v>2</v>
      </c>
      <c r="U1389">
        <v>1</v>
      </c>
      <c r="V1389" t="s">
        <v>93</v>
      </c>
      <c r="W1389">
        <v>58</v>
      </c>
      <c r="X1389">
        <v>11</v>
      </c>
      <c r="Y1389">
        <v>11</v>
      </c>
      <c r="Z1389" t="s">
        <v>1998</v>
      </c>
      <c r="AA1389" t="s">
        <v>1999</v>
      </c>
      <c r="AB1389" t="s">
        <v>96</v>
      </c>
      <c r="AC1389" t="s">
        <v>97</v>
      </c>
      <c r="AD1389" t="s">
        <v>1818</v>
      </c>
      <c r="AG1389" t="s">
        <v>2000</v>
      </c>
      <c r="AH1389">
        <v>0</v>
      </c>
      <c r="AI1389">
        <v>498</v>
      </c>
      <c r="AJ1389">
        <v>59</v>
      </c>
      <c r="AK1389">
        <v>4</v>
      </c>
      <c r="AL1389">
        <v>0.8</v>
      </c>
    </row>
    <row r="1390" spans="1:38" x14ac:dyDescent="0.3">
      <c r="A1390" t="s">
        <v>1813</v>
      </c>
      <c r="B1390">
        <v>138687</v>
      </c>
      <c r="C1390">
        <v>4</v>
      </c>
      <c r="D1390" t="s">
        <v>1995</v>
      </c>
      <c r="E1390" t="s">
        <v>1996</v>
      </c>
      <c r="F1390">
        <v>5</v>
      </c>
      <c r="G1390">
        <v>21.66</v>
      </c>
      <c r="H1390">
        <v>71.63</v>
      </c>
      <c r="I1390">
        <v>17.07</v>
      </c>
      <c r="J1390">
        <v>56.43</v>
      </c>
      <c r="K1390">
        <v>1</v>
      </c>
      <c r="T1390">
        <v>3</v>
      </c>
      <c r="U1390">
        <v>1</v>
      </c>
      <c r="V1390" t="s">
        <v>93</v>
      </c>
      <c r="W1390">
        <v>71</v>
      </c>
      <c r="X1390">
        <v>11</v>
      </c>
      <c r="Y1390">
        <v>11</v>
      </c>
      <c r="Z1390" t="s">
        <v>1998</v>
      </c>
      <c r="AA1390" t="s">
        <v>1999</v>
      </c>
      <c r="AB1390" t="s">
        <v>96</v>
      </c>
      <c r="AC1390" t="s">
        <v>97</v>
      </c>
      <c r="AD1390" t="s">
        <v>1818</v>
      </c>
      <c r="AG1390" t="s">
        <v>2000</v>
      </c>
      <c r="AH1390">
        <v>0</v>
      </c>
      <c r="AI1390">
        <v>498</v>
      </c>
      <c r="AJ1390">
        <v>59</v>
      </c>
      <c r="AK1390">
        <v>4</v>
      </c>
      <c r="AL1390">
        <v>0.8</v>
      </c>
    </row>
    <row r="1391" spans="1:38" x14ac:dyDescent="0.3">
      <c r="A1391" t="s">
        <v>1813</v>
      </c>
      <c r="B1391">
        <v>9666</v>
      </c>
      <c r="C1391">
        <v>1</v>
      </c>
      <c r="D1391" t="s">
        <v>2002</v>
      </c>
      <c r="E1391" t="s">
        <v>1553</v>
      </c>
      <c r="F1391">
        <v>230</v>
      </c>
      <c r="G1391">
        <v>16.28</v>
      </c>
      <c r="H1391">
        <v>53.85</v>
      </c>
      <c r="I1391">
        <v>14.67</v>
      </c>
      <c r="J1391">
        <v>48.51</v>
      </c>
      <c r="K1391">
        <v>80</v>
      </c>
      <c r="T1391">
        <v>2</v>
      </c>
      <c r="U1391">
        <v>1</v>
      </c>
      <c r="V1391" t="s">
        <v>93</v>
      </c>
      <c r="W1391">
        <v>53</v>
      </c>
      <c r="X1391">
        <v>5</v>
      </c>
      <c r="Y1391">
        <v>5</v>
      </c>
      <c r="Z1391" t="s">
        <v>2003</v>
      </c>
      <c r="AA1391" t="s">
        <v>2004</v>
      </c>
      <c r="AB1391" t="s">
        <v>96</v>
      </c>
      <c r="AC1391" t="s">
        <v>97</v>
      </c>
      <c r="AD1391" t="s">
        <v>1818</v>
      </c>
      <c r="AG1391" t="s">
        <v>2005</v>
      </c>
      <c r="AH1391">
        <v>0</v>
      </c>
      <c r="AI1391">
        <v>120</v>
      </c>
      <c r="AJ1391">
        <v>24</v>
      </c>
      <c r="AK1391">
        <v>130</v>
      </c>
      <c r="AL1391">
        <v>0.56999999999999995</v>
      </c>
    </row>
    <row r="1392" spans="1:38" x14ac:dyDescent="0.3">
      <c r="A1392" t="s">
        <v>1813</v>
      </c>
      <c r="B1392">
        <v>9666</v>
      </c>
      <c r="C1392">
        <v>2</v>
      </c>
      <c r="D1392" t="s">
        <v>2002</v>
      </c>
      <c r="E1392" t="s">
        <v>1553</v>
      </c>
      <c r="F1392">
        <v>230</v>
      </c>
      <c r="G1392">
        <v>17.95</v>
      </c>
      <c r="H1392">
        <v>59.34</v>
      </c>
      <c r="I1392">
        <v>16.7</v>
      </c>
      <c r="J1392">
        <v>55.21</v>
      </c>
      <c r="K1392">
        <v>150</v>
      </c>
      <c r="T1392">
        <v>2</v>
      </c>
      <c r="U1392">
        <v>1</v>
      </c>
      <c r="V1392" t="s">
        <v>93</v>
      </c>
      <c r="W1392">
        <v>59</v>
      </c>
      <c r="X1392">
        <v>5</v>
      </c>
      <c r="Y1392">
        <v>5</v>
      </c>
      <c r="Z1392" t="s">
        <v>2003</v>
      </c>
      <c r="AA1392" t="s">
        <v>2004</v>
      </c>
      <c r="AB1392" t="s">
        <v>96</v>
      </c>
      <c r="AC1392" t="s">
        <v>97</v>
      </c>
      <c r="AD1392" t="s">
        <v>1818</v>
      </c>
      <c r="AG1392" t="s">
        <v>2005</v>
      </c>
      <c r="AH1392">
        <v>0</v>
      </c>
      <c r="AI1392">
        <v>120</v>
      </c>
      <c r="AJ1392">
        <v>24</v>
      </c>
      <c r="AK1392">
        <v>130</v>
      </c>
      <c r="AL1392">
        <v>0.56999999999999995</v>
      </c>
    </row>
    <row r="1393" spans="1:38" x14ac:dyDescent="0.3">
      <c r="A1393" t="s">
        <v>1813</v>
      </c>
      <c r="B1393">
        <v>120786</v>
      </c>
      <c r="C1393">
        <v>1</v>
      </c>
      <c r="D1393" t="s">
        <v>2006</v>
      </c>
      <c r="E1393" t="s">
        <v>397</v>
      </c>
      <c r="F1393">
        <v>52</v>
      </c>
      <c r="G1393">
        <v>20.68</v>
      </c>
      <c r="H1393">
        <v>68.38</v>
      </c>
      <c r="I1393">
        <v>16.21</v>
      </c>
      <c r="J1393">
        <v>53.6</v>
      </c>
      <c r="K1393">
        <v>13</v>
      </c>
      <c r="T1393">
        <v>3</v>
      </c>
      <c r="U1393">
        <v>2</v>
      </c>
      <c r="V1393" t="s">
        <v>93</v>
      </c>
      <c r="W1393">
        <v>68</v>
      </c>
      <c r="X1393">
        <v>14</v>
      </c>
      <c r="Y1393">
        <v>14</v>
      </c>
      <c r="Z1393" t="s">
        <v>2007</v>
      </c>
      <c r="AA1393" t="s">
        <v>2008</v>
      </c>
      <c r="AB1393" t="s">
        <v>96</v>
      </c>
      <c r="AC1393" t="s">
        <v>97</v>
      </c>
      <c r="AD1393" t="s">
        <v>1818</v>
      </c>
      <c r="AG1393" t="s">
        <v>2009</v>
      </c>
      <c r="AH1393">
        <v>0</v>
      </c>
      <c r="AI1393">
        <v>699</v>
      </c>
      <c r="AJ1393">
        <v>71</v>
      </c>
      <c r="AK1393">
        <v>48</v>
      </c>
      <c r="AL1393">
        <v>0.92</v>
      </c>
    </row>
    <row r="1394" spans="1:38" x14ac:dyDescent="0.3">
      <c r="A1394" t="s">
        <v>1813</v>
      </c>
      <c r="B1394">
        <v>120786</v>
      </c>
      <c r="C1394">
        <v>2</v>
      </c>
      <c r="D1394" t="s">
        <v>2006</v>
      </c>
      <c r="E1394" t="s">
        <v>397</v>
      </c>
      <c r="F1394">
        <v>52</v>
      </c>
      <c r="G1394">
        <v>22.94</v>
      </c>
      <c r="H1394">
        <v>75.86</v>
      </c>
      <c r="I1394">
        <v>18.11</v>
      </c>
      <c r="J1394">
        <v>59.9</v>
      </c>
      <c r="K1394">
        <v>13</v>
      </c>
      <c r="T1394">
        <v>3</v>
      </c>
      <c r="U1394">
        <v>2</v>
      </c>
      <c r="V1394" t="s">
        <v>93</v>
      </c>
      <c r="W1394">
        <v>75</v>
      </c>
      <c r="X1394">
        <v>14</v>
      </c>
      <c r="Y1394">
        <v>14</v>
      </c>
      <c r="Z1394" t="s">
        <v>2007</v>
      </c>
      <c r="AA1394" t="s">
        <v>2008</v>
      </c>
      <c r="AB1394" t="s">
        <v>96</v>
      </c>
      <c r="AC1394" t="s">
        <v>97</v>
      </c>
      <c r="AD1394" t="s">
        <v>1818</v>
      </c>
      <c r="AG1394" t="s">
        <v>2009</v>
      </c>
      <c r="AH1394">
        <v>0</v>
      </c>
      <c r="AI1394">
        <v>699</v>
      </c>
      <c r="AJ1394">
        <v>71</v>
      </c>
      <c r="AK1394">
        <v>48</v>
      </c>
      <c r="AL1394">
        <v>0.92</v>
      </c>
    </row>
    <row r="1395" spans="1:38" x14ac:dyDescent="0.3">
      <c r="A1395" t="s">
        <v>1813</v>
      </c>
      <c r="B1395">
        <v>120786</v>
      </c>
      <c r="C1395">
        <v>3</v>
      </c>
      <c r="D1395" t="s">
        <v>2006</v>
      </c>
      <c r="E1395" t="s">
        <v>397</v>
      </c>
      <c r="F1395">
        <v>52</v>
      </c>
      <c r="G1395">
        <v>25.18</v>
      </c>
      <c r="H1395">
        <v>83.24</v>
      </c>
      <c r="I1395">
        <v>19.39</v>
      </c>
      <c r="J1395">
        <v>64.099999999999994</v>
      </c>
      <c r="K1395">
        <v>13</v>
      </c>
      <c r="T1395">
        <v>3</v>
      </c>
      <c r="U1395">
        <v>2</v>
      </c>
      <c r="V1395" t="s">
        <v>93</v>
      </c>
      <c r="W1395">
        <v>83</v>
      </c>
      <c r="X1395">
        <v>14</v>
      </c>
      <c r="Y1395">
        <v>14</v>
      </c>
      <c r="Z1395" t="s">
        <v>2007</v>
      </c>
      <c r="AA1395" t="s">
        <v>2008</v>
      </c>
      <c r="AB1395" t="s">
        <v>96</v>
      </c>
      <c r="AC1395" t="s">
        <v>97</v>
      </c>
      <c r="AD1395" t="s">
        <v>1818</v>
      </c>
      <c r="AG1395" t="s">
        <v>2009</v>
      </c>
      <c r="AH1395">
        <v>0</v>
      </c>
      <c r="AI1395">
        <v>699</v>
      </c>
      <c r="AJ1395">
        <v>71</v>
      </c>
      <c r="AK1395">
        <v>48</v>
      </c>
      <c r="AL1395">
        <v>0.92</v>
      </c>
    </row>
    <row r="1396" spans="1:38" x14ac:dyDescent="0.3">
      <c r="A1396" t="s">
        <v>1813</v>
      </c>
      <c r="B1396">
        <v>120786</v>
      </c>
      <c r="C1396">
        <v>4</v>
      </c>
      <c r="D1396" t="s">
        <v>2006</v>
      </c>
      <c r="E1396" t="s">
        <v>397</v>
      </c>
      <c r="F1396">
        <v>52</v>
      </c>
      <c r="G1396">
        <v>28.43</v>
      </c>
      <c r="H1396">
        <v>94</v>
      </c>
      <c r="I1396">
        <v>22.81</v>
      </c>
      <c r="J1396">
        <v>75.430000000000007</v>
      </c>
      <c r="K1396">
        <v>13</v>
      </c>
      <c r="T1396">
        <v>3</v>
      </c>
      <c r="U1396">
        <v>2</v>
      </c>
      <c r="V1396" t="s">
        <v>93</v>
      </c>
      <c r="W1396">
        <v>94</v>
      </c>
      <c r="X1396">
        <v>14</v>
      </c>
      <c r="Y1396">
        <v>14</v>
      </c>
      <c r="Z1396" t="s">
        <v>2007</v>
      </c>
      <c r="AA1396" t="s">
        <v>2008</v>
      </c>
      <c r="AB1396" t="s">
        <v>96</v>
      </c>
      <c r="AC1396" t="s">
        <v>97</v>
      </c>
      <c r="AD1396" t="s">
        <v>1818</v>
      </c>
      <c r="AG1396" t="s">
        <v>2009</v>
      </c>
      <c r="AH1396">
        <v>0</v>
      </c>
      <c r="AI1396">
        <v>699</v>
      </c>
      <c r="AJ1396">
        <v>71</v>
      </c>
      <c r="AK1396">
        <v>48</v>
      </c>
      <c r="AL1396">
        <v>0.92</v>
      </c>
    </row>
    <row r="1397" spans="1:38" x14ac:dyDescent="0.3">
      <c r="A1397" t="s">
        <v>1813</v>
      </c>
      <c r="B1397">
        <v>129822</v>
      </c>
      <c r="C1397">
        <v>1</v>
      </c>
      <c r="D1397" t="s">
        <v>2010</v>
      </c>
      <c r="E1397" t="s">
        <v>800</v>
      </c>
      <c r="F1397">
        <v>16</v>
      </c>
      <c r="G1397">
        <v>16.68</v>
      </c>
      <c r="H1397">
        <v>55.17</v>
      </c>
      <c r="I1397">
        <v>15.2</v>
      </c>
      <c r="J1397">
        <v>50.25</v>
      </c>
      <c r="K1397">
        <v>8</v>
      </c>
      <c r="T1397">
        <v>2</v>
      </c>
      <c r="U1397">
        <v>1</v>
      </c>
      <c r="V1397" t="s">
        <v>211</v>
      </c>
      <c r="W1397" t="s">
        <v>1986</v>
      </c>
      <c r="X1397">
        <v>5</v>
      </c>
      <c r="Y1397">
        <v>5</v>
      </c>
      <c r="Z1397" t="s">
        <v>2011</v>
      </c>
      <c r="AA1397" t="s">
        <v>2012</v>
      </c>
      <c r="AB1397" t="s">
        <v>96</v>
      </c>
      <c r="AC1397" t="s">
        <v>97</v>
      </c>
      <c r="AD1397" t="s">
        <v>1818</v>
      </c>
      <c r="AG1397" t="s">
        <v>2013</v>
      </c>
      <c r="AH1397">
        <v>0</v>
      </c>
      <c r="AI1397">
        <v>277</v>
      </c>
      <c r="AJ1397">
        <v>68</v>
      </c>
      <c r="AK1397">
        <v>6</v>
      </c>
      <c r="AL1397">
        <v>0.38</v>
      </c>
    </row>
    <row r="1398" spans="1:38" x14ac:dyDescent="0.3">
      <c r="A1398" t="s">
        <v>1813</v>
      </c>
      <c r="B1398">
        <v>129822</v>
      </c>
      <c r="C1398">
        <v>2</v>
      </c>
      <c r="D1398" t="s">
        <v>2010</v>
      </c>
      <c r="E1398" t="s">
        <v>800</v>
      </c>
      <c r="F1398">
        <v>16</v>
      </c>
      <c r="G1398">
        <v>17.11</v>
      </c>
      <c r="H1398">
        <v>56.57</v>
      </c>
      <c r="I1398">
        <v>15.58</v>
      </c>
      <c r="J1398">
        <v>51.51</v>
      </c>
      <c r="K1398">
        <v>1</v>
      </c>
      <c r="T1398">
        <v>2</v>
      </c>
      <c r="U1398">
        <v>1</v>
      </c>
      <c r="V1398" t="s">
        <v>211</v>
      </c>
      <c r="W1398" t="s">
        <v>920</v>
      </c>
      <c r="X1398">
        <v>5</v>
      </c>
      <c r="Y1398">
        <v>5</v>
      </c>
      <c r="Z1398" t="s">
        <v>2011</v>
      </c>
      <c r="AA1398" t="s">
        <v>2012</v>
      </c>
      <c r="AB1398" t="s">
        <v>96</v>
      </c>
      <c r="AC1398" t="s">
        <v>97</v>
      </c>
      <c r="AD1398" t="s">
        <v>1818</v>
      </c>
      <c r="AG1398" t="s">
        <v>2013</v>
      </c>
      <c r="AH1398">
        <v>0</v>
      </c>
      <c r="AI1398">
        <v>277</v>
      </c>
      <c r="AJ1398">
        <v>68</v>
      </c>
      <c r="AK1398">
        <v>6</v>
      </c>
      <c r="AL1398">
        <v>0.38</v>
      </c>
    </row>
    <row r="1399" spans="1:38" x14ac:dyDescent="0.3">
      <c r="A1399" t="s">
        <v>1813</v>
      </c>
      <c r="B1399">
        <v>129822</v>
      </c>
      <c r="C1399">
        <v>3</v>
      </c>
      <c r="D1399" t="s">
        <v>2010</v>
      </c>
      <c r="E1399" t="s">
        <v>800</v>
      </c>
      <c r="F1399">
        <v>16</v>
      </c>
      <c r="G1399">
        <v>17.36</v>
      </c>
      <c r="H1399">
        <v>57.4</v>
      </c>
      <c r="I1399">
        <v>15.81</v>
      </c>
      <c r="J1399">
        <v>52.28</v>
      </c>
      <c r="K1399">
        <v>7</v>
      </c>
      <c r="T1399">
        <v>2</v>
      </c>
      <c r="U1399">
        <v>1</v>
      </c>
      <c r="V1399" t="s">
        <v>93</v>
      </c>
      <c r="W1399" t="s">
        <v>2014</v>
      </c>
      <c r="X1399">
        <v>5</v>
      </c>
      <c r="Y1399">
        <v>5</v>
      </c>
      <c r="Z1399" t="s">
        <v>2011</v>
      </c>
      <c r="AA1399" t="s">
        <v>2012</v>
      </c>
      <c r="AB1399" t="s">
        <v>96</v>
      </c>
      <c r="AC1399" t="s">
        <v>97</v>
      </c>
      <c r="AD1399" t="s">
        <v>1818</v>
      </c>
      <c r="AG1399" t="s">
        <v>2013</v>
      </c>
      <c r="AH1399">
        <v>0</v>
      </c>
      <c r="AI1399">
        <v>277</v>
      </c>
      <c r="AJ1399">
        <v>68</v>
      </c>
      <c r="AK1399">
        <v>6</v>
      </c>
      <c r="AL1399">
        <v>0.38</v>
      </c>
    </row>
    <row r="1400" spans="1:38" x14ac:dyDescent="0.3">
      <c r="A1400" t="s">
        <v>1813</v>
      </c>
      <c r="B1400">
        <v>16559</v>
      </c>
      <c r="C1400">
        <v>1</v>
      </c>
      <c r="D1400" t="s">
        <v>2015</v>
      </c>
      <c r="E1400" t="s">
        <v>2016</v>
      </c>
      <c r="F1400">
        <v>60</v>
      </c>
      <c r="G1400">
        <v>17.39</v>
      </c>
      <c r="H1400">
        <v>57.49</v>
      </c>
      <c r="I1400">
        <v>17.39</v>
      </c>
      <c r="J1400">
        <v>57.49</v>
      </c>
      <c r="K1400">
        <v>40</v>
      </c>
      <c r="T1400">
        <v>2</v>
      </c>
      <c r="U1400">
        <v>1</v>
      </c>
      <c r="V1400" t="s">
        <v>132</v>
      </c>
      <c r="W1400">
        <v>57</v>
      </c>
      <c r="X1400">
        <v>5</v>
      </c>
      <c r="Y1400">
        <v>5</v>
      </c>
      <c r="Z1400" t="s">
        <v>2017</v>
      </c>
      <c r="AA1400" t="s">
        <v>2018</v>
      </c>
      <c r="AB1400" t="s">
        <v>96</v>
      </c>
      <c r="AC1400" t="s">
        <v>97</v>
      </c>
      <c r="AD1400" t="s">
        <v>1818</v>
      </c>
      <c r="AG1400" t="s">
        <v>2019</v>
      </c>
      <c r="AH1400">
        <v>0</v>
      </c>
      <c r="AI1400">
        <v>0</v>
      </c>
      <c r="AJ1400">
        <v>0</v>
      </c>
      <c r="AK1400">
        <v>0</v>
      </c>
      <c r="AL1400">
        <v>0</v>
      </c>
    </row>
    <row r="1401" spans="1:38" x14ac:dyDescent="0.3">
      <c r="A1401" t="s">
        <v>1813</v>
      </c>
      <c r="B1401">
        <v>16559</v>
      </c>
      <c r="C1401">
        <v>2</v>
      </c>
      <c r="D1401" t="s">
        <v>2015</v>
      </c>
      <c r="E1401" t="s">
        <v>2016</v>
      </c>
      <c r="F1401">
        <v>60</v>
      </c>
      <c r="G1401">
        <v>18.59</v>
      </c>
      <c r="H1401">
        <v>61.46</v>
      </c>
      <c r="I1401">
        <v>18.59</v>
      </c>
      <c r="J1401">
        <v>61.46</v>
      </c>
      <c r="K1401">
        <v>20</v>
      </c>
      <c r="T1401">
        <v>2</v>
      </c>
      <c r="U1401">
        <v>1</v>
      </c>
      <c r="V1401" t="s">
        <v>132</v>
      </c>
      <c r="W1401">
        <v>61</v>
      </c>
      <c r="X1401">
        <v>5</v>
      </c>
      <c r="Y1401">
        <v>5</v>
      </c>
      <c r="Z1401" t="s">
        <v>2017</v>
      </c>
      <c r="AA1401" t="s">
        <v>2018</v>
      </c>
      <c r="AB1401" t="s">
        <v>96</v>
      </c>
      <c r="AC1401" t="s">
        <v>97</v>
      </c>
      <c r="AD1401" t="s">
        <v>1818</v>
      </c>
      <c r="AG1401" t="s">
        <v>2019</v>
      </c>
      <c r="AH1401">
        <v>0</v>
      </c>
      <c r="AI1401">
        <v>0</v>
      </c>
      <c r="AJ1401">
        <v>0</v>
      </c>
      <c r="AK1401">
        <v>0</v>
      </c>
      <c r="AL1401">
        <v>0</v>
      </c>
    </row>
    <row r="1402" spans="1:38" x14ac:dyDescent="0.3">
      <c r="A1402" t="s">
        <v>1813</v>
      </c>
      <c r="B1402">
        <v>10410</v>
      </c>
      <c r="C1402">
        <v>1</v>
      </c>
      <c r="D1402" t="s">
        <v>2020</v>
      </c>
      <c r="E1402" t="s">
        <v>2021</v>
      </c>
      <c r="F1402">
        <v>119</v>
      </c>
      <c r="G1402">
        <v>15.22</v>
      </c>
      <c r="H1402">
        <v>50.34</v>
      </c>
      <c r="I1402">
        <v>12.07</v>
      </c>
      <c r="J1402">
        <v>39.93</v>
      </c>
      <c r="K1402">
        <v>69</v>
      </c>
      <c r="T1402">
        <v>2</v>
      </c>
      <c r="U1402">
        <v>1</v>
      </c>
      <c r="V1402" t="s">
        <v>93</v>
      </c>
      <c r="W1402">
        <v>50</v>
      </c>
      <c r="X1402">
        <v>5</v>
      </c>
      <c r="Y1402">
        <v>5</v>
      </c>
      <c r="Z1402" t="s">
        <v>2022</v>
      </c>
      <c r="AA1402" t="s">
        <v>2023</v>
      </c>
      <c r="AB1402" t="s">
        <v>96</v>
      </c>
      <c r="AC1402" t="s">
        <v>97</v>
      </c>
      <c r="AD1402" t="s">
        <v>1818</v>
      </c>
      <c r="AG1402" t="s">
        <v>2024</v>
      </c>
      <c r="AH1402">
        <v>0</v>
      </c>
      <c r="AI1402">
        <v>158</v>
      </c>
      <c r="AJ1402">
        <v>35</v>
      </c>
      <c r="AK1402">
        <v>120</v>
      </c>
      <c r="AL1402">
        <v>1.01</v>
      </c>
    </row>
    <row r="1403" spans="1:38" x14ac:dyDescent="0.3">
      <c r="A1403" t="s">
        <v>1813</v>
      </c>
      <c r="B1403">
        <v>10410</v>
      </c>
      <c r="C1403">
        <v>2</v>
      </c>
      <c r="D1403" t="s">
        <v>2020</v>
      </c>
      <c r="E1403" t="s">
        <v>2021</v>
      </c>
      <c r="F1403">
        <v>119</v>
      </c>
      <c r="G1403">
        <v>17.34</v>
      </c>
      <c r="H1403">
        <v>57.34</v>
      </c>
      <c r="I1403">
        <v>13.62</v>
      </c>
      <c r="J1403">
        <v>45.03</v>
      </c>
      <c r="K1403">
        <v>50</v>
      </c>
      <c r="T1403">
        <v>3</v>
      </c>
      <c r="U1403">
        <v>1</v>
      </c>
      <c r="V1403" t="s">
        <v>93</v>
      </c>
      <c r="W1403">
        <v>57</v>
      </c>
      <c r="X1403">
        <v>5</v>
      </c>
      <c r="Y1403">
        <v>5</v>
      </c>
      <c r="Z1403" t="s">
        <v>2022</v>
      </c>
      <c r="AA1403" t="s">
        <v>2023</v>
      </c>
      <c r="AB1403" t="s">
        <v>96</v>
      </c>
      <c r="AC1403" t="s">
        <v>97</v>
      </c>
      <c r="AD1403" t="s">
        <v>1818</v>
      </c>
      <c r="AG1403" t="s">
        <v>2024</v>
      </c>
      <c r="AH1403">
        <v>0</v>
      </c>
      <c r="AI1403">
        <v>158</v>
      </c>
      <c r="AJ1403">
        <v>35</v>
      </c>
      <c r="AK1403">
        <v>120</v>
      </c>
      <c r="AL1403">
        <v>1.01</v>
      </c>
    </row>
    <row r="1404" spans="1:38" x14ac:dyDescent="0.3">
      <c r="A1404" t="s">
        <v>1813</v>
      </c>
      <c r="B1404">
        <v>12114</v>
      </c>
      <c r="C1404">
        <v>1</v>
      </c>
      <c r="D1404" t="s">
        <v>2025</v>
      </c>
      <c r="E1404" t="s">
        <v>2026</v>
      </c>
      <c r="F1404">
        <v>60</v>
      </c>
      <c r="G1404">
        <v>20.87</v>
      </c>
      <c r="H1404">
        <v>69.02</v>
      </c>
      <c r="I1404">
        <v>20.76</v>
      </c>
      <c r="J1404">
        <v>68.63</v>
      </c>
      <c r="K1404">
        <v>30</v>
      </c>
      <c r="T1404">
        <v>3</v>
      </c>
      <c r="U1404">
        <v>1</v>
      </c>
      <c r="V1404" t="s">
        <v>93</v>
      </c>
      <c r="W1404" t="s">
        <v>382</v>
      </c>
      <c r="X1404">
        <v>5</v>
      </c>
      <c r="Y1404">
        <v>5</v>
      </c>
      <c r="Z1404" t="s">
        <v>2027</v>
      </c>
      <c r="AA1404" t="s">
        <v>2028</v>
      </c>
      <c r="AB1404" t="s">
        <v>96</v>
      </c>
      <c r="AC1404" t="s">
        <v>97</v>
      </c>
      <c r="AD1404" t="s">
        <v>1818</v>
      </c>
      <c r="AG1404" t="s">
        <v>2029</v>
      </c>
      <c r="AH1404">
        <v>0</v>
      </c>
      <c r="AI1404">
        <v>0</v>
      </c>
      <c r="AJ1404">
        <v>0</v>
      </c>
      <c r="AK1404">
        <v>0</v>
      </c>
      <c r="AL1404">
        <v>0</v>
      </c>
    </row>
    <row r="1405" spans="1:38" x14ac:dyDescent="0.3">
      <c r="A1405" t="s">
        <v>1813</v>
      </c>
      <c r="B1405">
        <v>12114</v>
      </c>
      <c r="C1405">
        <v>2</v>
      </c>
      <c r="D1405" t="s">
        <v>2025</v>
      </c>
      <c r="E1405" t="s">
        <v>2026</v>
      </c>
      <c r="F1405">
        <v>60</v>
      </c>
      <c r="G1405">
        <v>20.89</v>
      </c>
      <c r="H1405">
        <v>69.08</v>
      </c>
      <c r="I1405">
        <v>20.77</v>
      </c>
      <c r="J1405">
        <v>68.69</v>
      </c>
      <c r="K1405">
        <v>30</v>
      </c>
      <c r="T1405">
        <v>3</v>
      </c>
      <c r="U1405">
        <v>1</v>
      </c>
      <c r="V1405" t="s">
        <v>93</v>
      </c>
      <c r="W1405" t="s">
        <v>381</v>
      </c>
      <c r="X1405">
        <v>5</v>
      </c>
      <c r="Y1405">
        <v>5</v>
      </c>
      <c r="Z1405" t="s">
        <v>2027</v>
      </c>
      <c r="AA1405" t="s">
        <v>2028</v>
      </c>
      <c r="AB1405" t="s">
        <v>96</v>
      </c>
      <c r="AC1405" t="s">
        <v>97</v>
      </c>
      <c r="AD1405" t="s">
        <v>1818</v>
      </c>
      <c r="AG1405" t="s">
        <v>2029</v>
      </c>
      <c r="AH1405">
        <v>0</v>
      </c>
      <c r="AI1405">
        <v>0</v>
      </c>
      <c r="AJ1405">
        <v>0</v>
      </c>
      <c r="AK1405">
        <v>0</v>
      </c>
      <c r="AL1405">
        <v>0</v>
      </c>
    </row>
    <row r="1406" spans="1:38" x14ac:dyDescent="0.3">
      <c r="A1406" t="s">
        <v>1813</v>
      </c>
      <c r="B1406">
        <v>108424</v>
      </c>
      <c r="C1406">
        <v>1</v>
      </c>
      <c r="D1406" t="s">
        <v>125</v>
      </c>
      <c r="E1406" t="s">
        <v>890</v>
      </c>
      <c r="F1406">
        <v>23</v>
      </c>
      <c r="G1406">
        <v>17.809999999999999</v>
      </c>
      <c r="H1406">
        <v>58.88</v>
      </c>
      <c r="I1406">
        <v>16.25</v>
      </c>
      <c r="J1406">
        <v>53.72</v>
      </c>
      <c r="K1406">
        <v>3</v>
      </c>
      <c r="T1406">
        <v>2</v>
      </c>
      <c r="U1406">
        <v>1</v>
      </c>
      <c r="V1406" t="s">
        <v>93</v>
      </c>
      <c r="W1406">
        <v>58</v>
      </c>
      <c r="X1406">
        <v>5</v>
      </c>
      <c r="Y1406">
        <v>4</v>
      </c>
      <c r="Z1406" t="s">
        <v>2030</v>
      </c>
      <c r="AA1406" t="s">
        <v>2031</v>
      </c>
      <c r="AB1406" t="s">
        <v>96</v>
      </c>
      <c r="AC1406" t="s">
        <v>97</v>
      </c>
      <c r="AD1406" t="s">
        <v>1818</v>
      </c>
      <c r="AG1406" t="s">
        <v>2032</v>
      </c>
      <c r="AH1406">
        <v>0</v>
      </c>
      <c r="AI1406">
        <v>0</v>
      </c>
      <c r="AJ1406">
        <v>0</v>
      </c>
      <c r="AK1406">
        <v>11</v>
      </c>
      <c r="AL1406">
        <v>0.48</v>
      </c>
    </row>
    <row r="1407" spans="1:38" x14ac:dyDescent="0.3">
      <c r="A1407" t="s">
        <v>1813</v>
      </c>
      <c r="B1407">
        <v>108424</v>
      </c>
      <c r="C1407">
        <v>2</v>
      </c>
      <c r="D1407" t="s">
        <v>125</v>
      </c>
      <c r="E1407" t="s">
        <v>890</v>
      </c>
      <c r="F1407">
        <v>23</v>
      </c>
      <c r="G1407">
        <v>19.059999999999999</v>
      </c>
      <c r="H1407">
        <v>63.03</v>
      </c>
      <c r="I1407">
        <v>17.27</v>
      </c>
      <c r="J1407">
        <v>57.1</v>
      </c>
      <c r="K1407">
        <v>1</v>
      </c>
      <c r="T1407">
        <v>3</v>
      </c>
      <c r="U1407">
        <v>1</v>
      </c>
      <c r="V1407" t="s">
        <v>93</v>
      </c>
      <c r="W1407" t="s">
        <v>194</v>
      </c>
      <c r="X1407">
        <v>5</v>
      </c>
      <c r="Y1407">
        <v>4</v>
      </c>
      <c r="Z1407" t="s">
        <v>2030</v>
      </c>
      <c r="AA1407" t="s">
        <v>2031</v>
      </c>
      <c r="AB1407" t="s">
        <v>96</v>
      </c>
      <c r="AC1407" t="s">
        <v>97</v>
      </c>
      <c r="AD1407" t="s">
        <v>1818</v>
      </c>
      <c r="AG1407" t="s">
        <v>2032</v>
      </c>
      <c r="AH1407">
        <v>0</v>
      </c>
      <c r="AI1407">
        <v>0</v>
      </c>
      <c r="AJ1407">
        <v>0</v>
      </c>
      <c r="AK1407">
        <v>11</v>
      </c>
      <c r="AL1407">
        <v>0.48</v>
      </c>
    </row>
    <row r="1408" spans="1:38" x14ac:dyDescent="0.3">
      <c r="A1408" t="s">
        <v>1813</v>
      </c>
      <c r="B1408">
        <v>108424</v>
      </c>
      <c r="C1408">
        <v>3</v>
      </c>
      <c r="D1408" t="s">
        <v>125</v>
      </c>
      <c r="E1408" t="s">
        <v>890</v>
      </c>
      <c r="F1408">
        <v>23</v>
      </c>
      <c r="G1408">
        <v>19.39</v>
      </c>
      <c r="H1408">
        <v>64.099999999999994</v>
      </c>
      <c r="I1408">
        <v>17.57</v>
      </c>
      <c r="J1408">
        <v>58.09</v>
      </c>
      <c r="K1408">
        <v>7</v>
      </c>
      <c r="T1408">
        <v>3</v>
      </c>
      <c r="U1408">
        <v>1</v>
      </c>
      <c r="V1408" t="s">
        <v>93</v>
      </c>
      <c r="W1408" t="s">
        <v>275</v>
      </c>
      <c r="X1408">
        <v>5</v>
      </c>
      <c r="Y1408">
        <v>4</v>
      </c>
      <c r="Z1408" t="s">
        <v>2030</v>
      </c>
      <c r="AA1408" t="s">
        <v>2031</v>
      </c>
      <c r="AB1408" t="s">
        <v>96</v>
      </c>
      <c r="AC1408" t="s">
        <v>97</v>
      </c>
      <c r="AD1408" t="s">
        <v>1818</v>
      </c>
      <c r="AG1408" t="s">
        <v>2032</v>
      </c>
      <c r="AH1408">
        <v>0</v>
      </c>
      <c r="AI1408">
        <v>0</v>
      </c>
      <c r="AJ1408">
        <v>0</v>
      </c>
      <c r="AK1408">
        <v>11</v>
      </c>
      <c r="AL1408">
        <v>0.48</v>
      </c>
    </row>
    <row r="1409" spans="1:38" x14ac:dyDescent="0.3">
      <c r="A1409" t="s">
        <v>1813</v>
      </c>
      <c r="B1409">
        <v>108424</v>
      </c>
      <c r="C1409">
        <v>4</v>
      </c>
      <c r="D1409" t="s">
        <v>125</v>
      </c>
      <c r="E1409" t="s">
        <v>890</v>
      </c>
      <c r="F1409">
        <v>23</v>
      </c>
      <c r="G1409">
        <v>19.88</v>
      </c>
      <c r="H1409">
        <v>65.73</v>
      </c>
      <c r="I1409">
        <v>18.14</v>
      </c>
      <c r="J1409">
        <v>59.97</v>
      </c>
      <c r="K1409">
        <v>4</v>
      </c>
      <c r="T1409">
        <v>3</v>
      </c>
      <c r="U1409">
        <v>1</v>
      </c>
      <c r="V1409" t="s">
        <v>93</v>
      </c>
      <c r="W1409">
        <v>65</v>
      </c>
      <c r="X1409">
        <v>5</v>
      </c>
      <c r="Y1409">
        <v>4</v>
      </c>
      <c r="Z1409" t="s">
        <v>2030</v>
      </c>
      <c r="AA1409" t="s">
        <v>2031</v>
      </c>
      <c r="AB1409" t="s">
        <v>96</v>
      </c>
      <c r="AC1409" t="s">
        <v>97</v>
      </c>
      <c r="AD1409" t="s">
        <v>1818</v>
      </c>
      <c r="AG1409" t="s">
        <v>2032</v>
      </c>
      <c r="AH1409">
        <v>0</v>
      </c>
      <c r="AI1409">
        <v>0</v>
      </c>
      <c r="AJ1409">
        <v>0</v>
      </c>
      <c r="AK1409">
        <v>11</v>
      </c>
      <c r="AL1409">
        <v>0.48</v>
      </c>
    </row>
    <row r="1410" spans="1:38" x14ac:dyDescent="0.3">
      <c r="A1410" t="s">
        <v>1813</v>
      </c>
      <c r="B1410">
        <v>108424</v>
      </c>
      <c r="C1410">
        <v>5</v>
      </c>
      <c r="D1410" t="s">
        <v>125</v>
      </c>
      <c r="E1410" t="s">
        <v>890</v>
      </c>
      <c r="F1410">
        <v>23</v>
      </c>
      <c r="G1410">
        <v>24.6</v>
      </c>
      <c r="H1410">
        <v>81.349999999999994</v>
      </c>
      <c r="I1410">
        <v>22.92</v>
      </c>
      <c r="J1410">
        <v>75.78</v>
      </c>
      <c r="K1410">
        <v>1</v>
      </c>
      <c r="T1410">
        <v>3</v>
      </c>
      <c r="U1410">
        <v>2</v>
      </c>
      <c r="V1410" t="s">
        <v>93</v>
      </c>
      <c r="W1410">
        <v>81</v>
      </c>
      <c r="X1410">
        <v>5</v>
      </c>
      <c r="Y1410">
        <v>4</v>
      </c>
      <c r="Z1410" t="s">
        <v>2030</v>
      </c>
      <c r="AA1410" t="s">
        <v>2031</v>
      </c>
      <c r="AB1410" t="s">
        <v>96</v>
      </c>
      <c r="AC1410" t="s">
        <v>97</v>
      </c>
      <c r="AD1410" t="s">
        <v>1818</v>
      </c>
      <c r="AG1410" t="s">
        <v>2032</v>
      </c>
      <c r="AH1410">
        <v>0</v>
      </c>
      <c r="AI1410">
        <v>0</v>
      </c>
      <c r="AJ1410">
        <v>0</v>
      </c>
      <c r="AK1410">
        <v>11</v>
      </c>
      <c r="AL1410">
        <v>0.48</v>
      </c>
    </row>
    <row r="1411" spans="1:38" x14ac:dyDescent="0.3">
      <c r="A1411" t="s">
        <v>1813</v>
      </c>
      <c r="B1411">
        <v>108424</v>
      </c>
      <c r="C1411">
        <v>6</v>
      </c>
      <c r="D1411" t="s">
        <v>125</v>
      </c>
      <c r="E1411" t="s">
        <v>890</v>
      </c>
      <c r="F1411">
        <v>23</v>
      </c>
      <c r="G1411">
        <v>26.53</v>
      </c>
      <c r="H1411">
        <v>87.73</v>
      </c>
      <c r="I1411">
        <v>24.72</v>
      </c>
      <c r="J1411">
        <v>81.72</v>
      </c>
      <c r="K1411">
        <v>7</v>
      </c>
      <c r="T1411">
        <v>3</v>
      </c>
      <c r="U1411">
        <v>1</v>
      </c>
      <c r="V1411" t="s">
        <v>93</v>
      </c>
      <c r="W1411">
        <v>87</v>
      </c>
      <c r="X1411">
        <v>5</v>
      </c>
      <c r="Y1411">
        <v>4</v>
      </c>
      <c r="Z1411" t="s">
        <v>2030</v>
      </c>
      <c r="AA1411" t="s">
        <v>2031</v>
      </c>
      <c r="AB1411" t="s">
        <v>96</v>
      </c>
      <c r="AC1411" t="s">
        <v>97</v>
      </c>
      <c r="AD1411" t="s">
        <v>1818</v>
      </c>
      <c r="AG1411" t="s">
        <v>2032</v>
      </c>
      <c r="AH1411">
        <v>0</v>
      </c>
      <c r="AI1411">
        <v>0</v>
      </c>
      <c r="AJ1411">
        <v>0</v>
      </c>
      <c r="AK1411">
        <v>11</v>
      </c>
      <c r="AL1411">
        <v>0.48</v>
      </c>
    </row>
    <row r="1412" spans="1:38" x14ac:dyDescent="0.3">
      <c r="A1412" t="s">
        <v>1813</v>
      </c>
      <c r="B1412">
        <v>26265</v>
      </c>
      <c r="C1412">
        <v>1</v>
      </c>
      <c r="D1412" t="s">
        <v>2033</v>
      </c>
      <c r="E1412" t="s">
        <v>2034</v>
      </c>
      <c r="F1412">
        <v>1509</v>
      </c>
      <c r="G1412">
        <v>19.829999999999998</v>
      </c>
      <c r="H1412">
        <v>65.58</v>
      </c>
      <c r="I1412">
        <v>14.24</v>
      </c>
      <c r="J1412">
        <v>47.08</v>
      </c>
      <c r="K1412">
        <v>43</v>
      </c>
      <c r="T1412">
        <v>2</v>
      </c>
      <c r="U1412">
        <v>1</v>
      </c>
      <c r="V1412" t="s">
        <v>93</v>
      </c>
      <c r="W1412">
        <v>65</v>
      </c>
      <c r="X1412">
        <v>20</v>
      </c>
      <c r="Y1412">
        <v>9</v>
      </c>
      <c r="Z1412" t="s">
        <v>2035</v>
      </c>
      <c r="AA1412" t="s">
        <v>2036</v>
      </c>
      <c r="AB1412" t="s">
        <v>96</v>
      </c>
      <c r="AC1412" t="s">
        <v>97</v>
      </c>
      <c r="AD1412" t="s">
        <v>1818</v>
      </c>
      <c r="AG1412" t="s">
        <v>2037</v>
      </c>
      <c r="AH1412">
        <v>82</v>
      </c>
      <c r="AI1412">
        <v>249</v>
      </c>
      <c r="AJ1412">
        <v>18</v>
      </c>
      <c r="AK1412">
        <v>1532</v>
      </c>
      <c r="AL1412">
        <v>1.02</v>
      </c>
    </row>
    <row r="1413" spans="1:38" x14ac:dyDescent="0.3">
      <c r="A1413" t="s">
        <v>1813</v>
      </c>
      <c r="B1413">
        <v>26265</v>
      </c>
      <c r="C1413">
        <v>2</v>
      </c>
      <c r="D1413" t="s">
        <v>2033</v>
      </c>
      <c r="E1413" t="s">
        <v>2034</v>
      </c>
      <c r="F1413">
        <v>1509</v>
      </c>
      <c r="G1413">
        <v>24.25</v>
      </c>
      <c r="H1413">
        <v>80.17</v>
      </c>
      <c r="I1413">
        <v>18.13</v>
      </c>
      <c r="J1413">
        <v>59.96</v>
      </c>
      <c r="K1413">
        <v>471</v>
      </c>
      <c r="T1413">
        <v>3</v>
      </c>
      <c r="U1413">
        <v>2</v>
      </c>
      <c r="V1413" t="s">
        <v>93</v>
      </c>
      <c r="W1413">
        <v>80</v>
      </c>
      <c r="X1413">
        <v>20</v>
      </c>
      <c r="Y1413">
        <v>9</v>
      </c>
      <c r="Z1413" t="s">
        <v>2035</v>
      </c>
      <c r="AA1413" t="s">
        <v>2036</v>
      </c>
      <c r="AB1413" t="s">
        <v>96</v>
      </c>
      <c r="AC1413" t="s">
        <v>97</v>
      </c>
      <c r="AD1413" t="s">
        <v>1818</v>
      </c>
      <c r="AG1413" t="s">
        <v>2037</v>
      </c>
      <c r="AH1413">
        <v>82</v>
      </c>
      <c r="AI1413">
        <v>249</v>
      </c>
      <c r="AJ1413">
        <v>18</v>
      </c>
      <c r="AK1413">
        <v>1532</v>
      </c>
      <c r="AL1413">
        <v>1.02</v>
      </c>
    </row>
    <row r="1414" spans="1:38" x14ac:dyDescent="0.3">
      <c r="A1414" t="s">
        <v>1813</v>
      </c>
      <c r="B1414">
        <v>26265</v>
      </c>
      <c r="C1414">
        <v>3</v>
      </c>
      <c r="D1414" t="s">
        <v>2033</v>
      </c>
      <c r="E1414" t="s">
        <v>2034</v>
      </c>
      <c r="F1414">
        <v>1509</v>
      </c>
      <c r="G1414">
        <v>33.5</v>
      </c>
      <c r="H1414">
        <v>110.75</v>
      </c>
      <c r="I1414">
        <v>25.59</v>
      </c>
      <c r="J1414">
        <v>84.62</v>
      </c>
      <c r="K1414">
        <v>261</v>
      </c>
      <c r="T1414">
        <v>3</v>
      </c>
      <c r="U1414">
        <v>2</v>
      </c>
      <c r="V1414" t="s">
        <v>93</v>
      </c>
      <c r="W1414" t="s">
        <v>440</v>
      </c>
      <c r="X1414">
        <v>20</v>
      </c>
      <c r="Y1414">
        <v>9</v>
      </c>
      <c r="Z1414" t="s">
        <v>2035</v>
      </c>
      <c r="AA1414" t="s">
        <v>2036</v>
      </c>
      <c r="AB1414" t="s">
        <v>96</v>
      </c>
      <c r="AC1414" t="s">
        <v>97</v>
      </c>
      <c r="AD1414" t="s">
        <v>1818</v>
      </c>
      <c r="AG1414" t="s">
        <v>2037</v>
      </c>
      <c r="AH1414">
        <v>82</v>
      </c>
      <c r="AI1414">
        <v>249</v>
      </c>
      <c r="AJ1414">
        <v>18</v>
      </c>
      <c r="AK1414">
        <v>1532</v>
      </c>
      <c r="AL1414">
        <v>1.02</v>
      </c>
    </row>
    <row r="1415" spans="1:38" x14ac:dyDescent="0.3">
      <c r="A1415" t="s">
        <v>1813</v>
      </c>
      <c r="B1415">
        <v>26265</v>
      </c>
      <c r="C1415">
        <v>4</v>
      </c>
      <c r="D1415" t="s">
        <v>2033</v>
      </c>
      <c r="E1415" t="s">
        <v>2034</v>
      </c>
      <c r="F1415">
        <v>1509</v>
      </c>
      <c r="G1415">
        <v>33.42</v>
      </c>
      <c r="H1415">
        <v>110.49</v>
      </c>
      <c r="I1415">
        <v>25.63</v>
      </c>
      <c r="J1415">
        <v>84.74</v>
      </c>
      <c r="K1415">
        <v>247</v>
      </c>
      <c r="T1415">
        <v>3</v>
      </c>
      <c r="U1415">
        <v>2</v>
      </c>
      <c r="V1415" t="s">
        <v>93</v>
      </c>
      <c r="W1415" t="s">
        <v>157</v>
      </c>
      <c r="X1415">
        <v>20</v>
      </c>
      <c r="Y1415">
        <v>9</v>
      </c>
      <c r="Z1415" t="s">
        <v>2035</v>
      </c>
      <c r="AA1415" t="s">
        <v>2036</v>
      </c>
      <c r="AB1415" t="s">
        <v>96</v>
      </c>
      <c r="AC1415" t="s">
        <v>97</v>
      </c>
      <c r="AD1415" t="s">
        <v>1818</v>
      </c>
      <c r="AG1415" t="s">
        <v>2037</v>
      </c>
      <c r="AH1415">
        <v>82</v>
      </c>
      <c r="AI1415">
        <v>249</v>
      </c>
      <c r="AJ1415">
        <v>18</v>
      </c>
      <c r="AK1415">
        <v>1532</v>
      </c>
      <c r="AL1415">
        <v>1.02</v>
      </c>
    </row>
    <row r="1416" spans="1:38" x14ac:dyDescent="0.3">
      <c r="A1416" t="s">
        <v>1813</v>
      </c>
      <c r="B1416">
        <v>26265</v>
      </c>
      <c r="C1416">
        <v>5</v>
      </c>
      <c r="D1416" t="s">
        <v>2033</v>
      </c>
      <c r="E1416" t="s">
        <v>2034</v>
      </c>
      <c r="F1416">
        <v>1509</v>
      </c>
      <c r="G1416">
        <v>34.630000000000003</v>
      </c>
      <c r="H1416">
        <v>114.5</v>
      </c>
      <c r="I1416">
        <v>25.69</v>
      </c>
      <c r="J1416">
        <v>84.95</v>
      </c>
      <c r="K1416">
        <v>286</v>
      </c>
      <c r="T1416">
        <v>3</v>
      </c>
      <c r="U1416">
        <v>2</v>
      </c>
      <c r="V1416" t="s">
        <v>93</v>
      </c>
      <c r="W1416">
        <v>114</v>
      </c>
      <c r="X1416">
        <v>20</v>
      </c>
      <c r="Y1416">
        <v>9</v>
      </c>
      <c r="Z1416" t="s">
        <v>2035</v>
      </c>
      <c r="AA1416" t="s">
        <v>2036</v>
      </c>
      <c r="AB1416" t="s">
        <v>96</v>
      </c>
      <c r="AC1416" t="s">
        <v>97</v>
      </c>
      <c r="AD1416" t="s">
        <v>1818</v>
      </c>
      <c r="AG1416" t="s">
        <v>2037</v>
      </c>
      <c r="AH1416">
        <v>82</v>
      </c>
      <c r="AI1416">
        <v>249</v>
      </c>
      <c r="AJ1416">
        <v>18</v>
      </c>
      <c r="AK1416">
        <v>1532</v>
      </c>
      <c r="AL1416">
        <v>1.02</v>
      </c>
    </row>
    <row r="1417" spans="1:38" x14ac:dyDescent="0.3">
      <c r="A1417" t="s">
        <v>1813</v>
      </c>
      <c r="B1417">
        <v>26265</v>
      </c>
      <c r="C1417">
        <v>6</v>
      </c>
      <c r="D1417" t="s">
        <v>2033</v>
      </c>
      <c r="E1417" t="s">
        <v>2034</v>
      </c>
      <c r="F1417">
        <v>1509</v>
      </c>
      <c r="G1417">
        <v>44.88</v>
      </c>
      <c r="H1417">
        <v>148.37</v>
      </c>
      <c r="I1417">
        <v>34.79</v>
      </c>
      <c r="J1417">
        <v>115.02</v>
      </c>
      <c r="K1417">
        <v>119</v>
      </c>
      <c r="T1417">
        <v>4</v>
      </c>
      <c r="U1417">
        <v>2</v>
      </c>
      <c r="V1417" t="s">
        <v>93</v>
      </c>
      <c r="W1417">
        <v>148</v>
      </c>
      <c r="X1417">
        <v>20</v>
      </c>
      <c r="Y1417">
        <v>9</v>
      </c>
      <c r="Z1417" t="s">
        <v>2035</v>
      </c>
      <c r="AA1417" t="s">
        <v>2036</v>
      </c>
      <c r="AB1417" t="s">
        <v>96</v>
      </c>
      <c r="AC1417" t="s">
        <v>97</v>
      </c>
      <c r="AD1417" t="s">
        <v>1818</v>
      </c>
      <c r="AG1417" t="s">
        <v>2037</v>
      </c>
      <c r="AH1417">
        <v>82</v>
      </c>
      <c r="AI1417">
        <v>249</v>
      </c>
      <c r="AJ1417">
        <v>18</v>
      </c>
      <c r="AK1417">
        <v>1532</v>
      </c>
      <c r="AL1417">
        <v>1.02</v>
      </c>
    </row>
    <row r="1418" spans="1:38" x14ac:dyDescent="0.3">
      <c r="A1418" t="s">
        <v>1813</v>
      </c>
      <c r="B1418">
        <v>120690</v>
      </c>
      <c r="C1418">
        <v>1</v>
      </c>
      <c r="D1418" t="s">
        <v>2038</v>
      </c>
      <c r="E1418" t="s">
        <v>328</v>
      </c>
      <c r="F1418">
        <v>8</v>
      </c>
      <c r="G1418">
        <v>18.43</v>
      </c>
      <c r="H1418">
        <v>60.95</v>
      </c>
      <c r="I1418">
        <v>14.81</v>
      </c>
      <c r="J1418">
        <v>48.98</v>
      </c>
      <c r="K1418">
        <v>2</v>
      </c>
      <c r="T1418">
        <v>2</v>
      </c>
      <c r="U1418">
        <v>1</v>
      </c>
      <c r="V1418" t="s">
        <v>93</v>
      </c>
      <c r="W1418">
        <v>60</v>
      </c>
      <c r="X1418">
        <v>14</v>
      </c>
      <c r="Y1418">
        <v>14</v>
      </c>
      <c r="Z1418" t="s">
        <v>2039</v>
      </c>
      <c r="AA1418" t="s">
        <v>2040</v>
      </c>
      <c r="AB1418" t="s">
        <v>96</v>
      </c>
      <c r="AC1418" t="s">
        <v>97</v>
      </c>
      <c r="AD1418" t="s">
        <v>1818</v>
      </c>
      <c r="AG1418" t="s">
        <v>2041</v>
      </c>
      <c r="AH1418">
        <v>0</v>
      </c>
      <c r="AI1418">
        <v>668</v>
      </c>
      <c r="AJ1418">
        <v>72</v>
      </c>
      <c r="AK1418">
        <v>6</v>
      </c>
      <c r="AL1418">
        <v>0.75</v>
      </c>
    </row>
    <row r="1419" spans="1:38" x14ac:dyDescent="0.3">
      <c r="A1419" t="s">
        <v>1813</v>
      </c>
      <c r="B1419">
        <v>120690</v>
      </c>
      <c r="C1419">
        <v>2</v>
      </c>
      <c r="D1419" t="s">
        <v>2038</v>
      </c>
      <c r="E1419" t="s">
        <v>328</v>
      </c>
      <c r="F1419">
        <v>8</v>
      </c>
      <c r="G1419">
        <v>18.489999999999998</v>
      </c>
      <c r="H1419">
        <v>61.15</v>
      </c>
      <c r="I1419">
        <v>14.67</v>
      </c>
      <c r="J1419">
        <v>48.5</v>
      </c>
      <c r="K1419">
        <v>2</v>
      </c>
      <c r="T1419">
        <v>2</v>
      </c>
      <c r="U1419">
        <v>1</v>
      </c>
      <c r="V1419" t="s">
        <v>93</v>
      </c>
      <c r="W1419" t="s">
        <v>693</v>
      </c>
      <c r="X1419">
        <v>14</v>
      </c>
      <c r="Y1419">
        <v>14</v>
      </c>
      <c r="Z1419" t="s">
        <v>2039</v>
      </c>
      <c r="AA1419" t="s">
        <v>2040</v>
      </c>
      <c r="AB1419" t="s">
        <v>96</v>
      </c>
      <c r="AC1419" t="s">
        <v>97</v>
      </c>
      <c r="AD1419" t="s">
        <v>1818</v>
      </c>
      <c r="AG1419" t="s">
        <v>2041</v>
      </c>
      <c r="AH1419">
        <v>0</v>
      </c>
      <c r="AI1419">
        <v>668</v>
      </c>
      <c r="AJ1419">
        <v>72</v>
      </c>
      <c r="AK1419">
        <v>6</v>
      </c>
      <c r="AL1419">
        <v>0.75</v>
      </c>
    </row>
    <row r="1420" spans="1:38" x14ac:dyDescent="0.3">
      <c r="A1420" t="s">
        <v>1813</v>
      </c>
      <c r="B1420">
        <v>120690</v>
      </c>
      <c r="C1420">
        <v>3</v>
      </c>
      <c r="D1420" t="s">
        <v>2038</v>
      </c>
      <c r="E1420" t="s">
        <v>328</v>
      </c>
      <c r="F1420">
        <v>8</v>
      </c>
      <c r="G1420">
        <v>18.84</v>
      </c>
      <c r="H1420">
        <v>62.31</v>
      </c>
      <c r="I1420">
        <v>14.84</v>
      </c>
      <c r="J1420">
        <v>49.06</v>
      </c>
      <c r="K1420">
        <v>2</v>
      </c>
      <c r="T1420">
        <v>2</v>
      </c>
      <c r="U1420">
        <v>1</v>
      </c>
      <c r="V1420" t="s">
        <v>93</v>
      </c>
      <c r="W1420" t="s">
        <v>255</v>
      </c>
      <c r="X1420">
        <v>14</v>
      </c>
      <c r="Y1420">
        <v>14</v>
      </c>
      <c r="Z1420" t="s">
        <v>2039</v>
      </c>
      <c r="AA1420" t="s">
        <v>2040</v>
      </c>
      <c r="AB1420" t="s">
        <v>96</v>
      </c>
      <c r="AC1420" t="s">
        <v>97</v>
      </c>
      <c r="AD1420" t="s">
        <v>1818</v>
      </c>
      <c r="AG1420" t="s">
        <v>2041</v>
      </c>
      <c r="AH1420">
        <v>0</v>
      </c>
      <c r="AI1420">
        <v>668</v>
      </c>
      <c r="AJ1420">
        <v>72</v>
      </c>
      <c r="AK1420">
        <v>6</v>
      </c>
      <c r="AL1420">
        <v>0.75</v>
      </c>
    </row>
    <row r="1421" spans="1:38" x14ac:dyDescent="0.3">
      <c r="A1421" t="s">
        <v>1813</v>
      </c>
      <c r="B1421">
        <v>120690</v>
      </c>
      <c r="C1421">
        <v>4</v>
      </c>
      <c r="D1421" t="s">
        <v>2038</v>
      </c>
      <c r="E1421" t="s">
        <v>328</v>
      </c>
      <c r="F1421">
        <v>8</v>
      </c>
      <c r="G1421">
        <v>19.91</v>
      </c>
      <c r="H1421">
        <v>65.849999999999994</v>
      </c>
      <c r="I1421">
        <v>15.87</v>
      </c>
      <c r="J1421">
        <v>52.48</v>
      </c>
      <c r="K1421">
        <v>2</v>
      </c>
      <c r="T1421">
        <v>3</v>
      </c>
      <c r="U1421">
        <v>1</v>
      </c>
      <c r="V1421" t="s">
        <v>93</v>
      </c>
      <c r="W1421">
        <v>65</v>
      </c>
      <c r="X1421">
        <v>14</v>
      </c>
      <c r="Y1421">
        <v>14</v>
      </c>
      <c r="Z1421" t="s">
        <v>2039</v>
      </c>
      <c r="AA1421" t="s">
        <v>2040</v>
      </c>
      <c r="AB1421" t="s">
        <v>96</v>
      </c>
      <c r="AC1421" t="s">
        <v>97</v>
      </c>
      <c r="AD1421" t="s">
        <v>1818</v>
      </c>
      <c r="AG1421" t="s">
        <v>2041</v>
      </c>
      <c r="AH1421">
        <v>0</v>
      </c>
      <c r="AI1421">
        <v>668</v>
      </c>
      <c r="AJ1421">
        <v>72</v>
      </c>
      <c r="AK1421">
        <v>6</v>
      </c>
      <c r="AL1421">
        <v>0.75</v>
      </c>
    </row>
    <row r="1422" spans="1:38" x14ac:dyDescent="0.3">
      <c r="A1422" t="s">
        <v>1813</v>
      </c>
      <c r="B1422">
        <v>113380</v>
      </c>
      <c r="C1422">
        <v>1</v>
      </c>
      <c r="D1422" t="s">
        <v>2042</v>
      </c>
      <c r="E1422" t="s">
        <v>2043</v>
      </c>
      <c r="F1422">
        <v>55</v>
      </c>
      <c r="G1422">
        <v>15.25</v>
      </c>
      <c r="H1422">
        <v>50.42</v>
      </c>
      <c r="I1422">
        <v>11.4</v>
      </c>
      <c r="J1422">
        <v>37.69</v>
      </c>
      <c r="K1422">
        <v>1</v>
      </c>
      <c r="T1422">
        <v>2</v>
      </c>
      <c r="U1422">
        <v>1</v>
      </c>
      <c r="V1422" t="s">
        <v>93</v>
      </c>
      <c r="W1422">
        <v>50</v>
      </c>
      <c r="X1422">
        <v>15</v>
      </c>
      <c r="Y1422">
        <v>15</v>
      </c>
      <c r="Z1422" t="s">
        <v>2044</v>
      </c>
      <c r="AA1422" t="s">
        <v>2045</v>
      </c>
      <c r="AB1422" t="s">
        <v>96</v>
      </c>
      <c r="AC1422" t="s">
        <v>97</v>
      </c>
      <c r="AD1422" t="s">
        <v>1818</v>
      </c>
      <c r="AG1422" t="s">
        <v>2046</v>
      </c>
      <c r="AH1422">
        <v>0</v>
      </c>
      <c r="AI1422">
        <v>652</v>
      </c>
      <c r="AJ1422">
        <v>67</v>
      </c>
      <c r="AK1422">
        <v>55</v>
      </c>
      <c r="AL1422">
        <v>1</v>
      </c>
    </row>
    <row r="1423" spans="1:38" x14ac:dyDescent="0.3">
      <c r="A1423" t="s">
        <v>1813</v>
      </c>
      <c r="B1423">
        <v>113380</v>
      </c>
      <c r="C1423">
        <v>2</v>
      </c>
      <c r="D1423" t="s">
        <v>2042</v>
      </c>
      <c r="E1423" t="s">
        <v>2043</v>
      </c>
      <c r="F1423">
        <v>55</v>
      </c>
      <c r="G1423">
        <v>22.28</v>
      </c>
      <c r="H1423">
        <v>73.66</v>
      </c>
      <c r="I1423">
        <v>17.21</v>
      </c>
      <c r="J1423">
        <v>56.91</v>
      </c>
      <c r="K1423">
        <v>1</v>
      </c>
      <c r="T1423">
        <v>3</v>
      </c>
      <c r="U1423">
        <v>1</v>
      </c>
      <c r="V1423" t="s">
        <v>93</v>
      </c>
      <c r="W1423">
        <v>73</v>
      </c>
      <c r="X1423">
        <v>15</v>
      </c>
      <c r="Y1423">
        <v>15</v>
      </c>
      <c r="Z1423" t="s">
        <v>2044</v>
      </c>
      <c r="AA1423" t="s">
        <v>2045</v>
      </c>
      <c r="AB1423" t="s">
        <v>96</v>
      </c>
      <c r="AC1423" t="s">
        <v>97</v>
      </c>
      <c r="AD1423" t="s">
        <v>1818</v>
      </c>
      <c r="AG1423" t="s">
        <v>2046</v>
      </c>
      <c r="AH1423">
        <v>0</v>
      </c>
      <c r="AI1423">
        <v>652</v>
      </c>
      <c r="AJ1423">
        <v>67</v>
      </c>
      <c r="AK1423">
        <v>55</v>
      </c>
      <c r="AL1423">
        <v>1</v>
      </c>
    </row>
    <row r="1424" spans="1:38" x14ac:dyDescent="0.3">
      <c r="A1424" t="s">
        <v>1813</v>
      </c>
      <c r="B1424">
        <v>113380</v>
      </c>
      <c r="C1424">
        <v>3</v>
      </c>
      <c r="D1424" t="s">
        <v>2042</v>
      </c>
      <c r="E1424" t="s">
        <v>2043</v>
      </c>
      <c r="F1424">
        <v>55</v>
      </c>
      <c r="G1424">
        <v>22.74</v>
      </c>
      <c r="H1424">
        <v>75.180000000000007</v>
      </c>
      <c r="I1424">
        <v>17.420000000000002</v>
      </c>
      <c r="J1424">
        <v>57.6</v>
      </c>
      <c r="K1424">
        <v>1</v>
      </c>
      <c r="T1424">
        <v>3</v>
      </c>
      <c r="U1424">
        <v>1</v>
      </c>
      <c r="V1424" t="s">
        <v>93</v>
      </c>
      <c r="W1424">
        <v>75</v>
      </c>
      <c r="X1424">
        <v>15</v>
      </c>
      <c r="Y1424">
        <v>15</v>
      </c>
      <c r="Z1424" t="s">
        <v>2044</v>
      </c>
      <c r="AA1424" t="s">
        <v>2045</v>
      </c>
      <c r="AB1424" t="s">
        <v>96</v>
      </c>
      <c r="AC1424" t="s">
        <v>97</v>
      </c>
      <c r="AD1424" t="s">
        <v>1818</v>
      </c>
      <c r="AG1424" t="s">
        <v>2046</v>
      </c>
      <c r="AH1424">
        <v>0</v>
      </c>
      <c r="AI1424">
        <v>652</v>
      </c>
      <c r="AJ1424">
        <v>67</v>
      </c>
      <c r="AK1424">
        <v>55</v>
      </c>
      <c r="AL1424">
        <v>1</v>
      </c>
    </row>
    <row r="1425" spans="1:38" x14ac:dyDescent="0.3">
      <c r="A1425" t="s">
        <v>1813</v>
      </c>
      <c r="B1425">
        <v>113380</v>
      </c>
      <c r="C1425">
        <v>4</v>
      </c>
      <c r="D1425" t="s">
        <v>2042</v>
      </c>
      <c r="E1425" t="s">
        <v>2043</v>
      </c>
      <c r="F1425">
        <v>55</v>
      </c>
      <c r="G1425">
        <v>24.17</v>
      </c>
      <c r="H1425">
        <v>79.92</v>
      </c>
      <c r="I1425">
        <v>18.87</v>
      </c>
      <c r="J1425">
        <v>62.41</v>
      </c>
      <c r="K1425">
        <v>9</v>
      </c>
      <c r="T1425">
        <v>3</v>
      </c>
      <c r="U1425">
        <v>1</v>
      </c>
      <c r="V1425" t="s">
        <v>93</v>
      </c>
      <c r="W1425">
        <v>79</v>
      </c>
      <c r="X1425">
        <v>15</v>
      </c>
      <c r="Y1425">
        <v>15</v>
      </c>
      <c r="Z1425" t="s">
        <v>2044</v>
      </c>
      <c r="AA1425" t="s">
        <v>2045</v>
      </c>
      <c r="AB1425" t="s">
        <v>96</v>
      </c>
      <c r="AC1425" t="s">
        <v>97</v>
      </c>
      <c r="AD1425" t="s">
        <v>1818</v>
      </c>
      <c r="AG1425" t="s">
        <v>2046</v>
      </c>
      <c r="AH1425">
        <v>0</v>
      </c>
      <c r="AI1425">
        <v>652</v>
      </c>
      <c r="AJ1425">
        <v>67</v>
      </c>
      <c r="AK1425">
        <v>55</v>
      </c>
      <c r="AL1425">
        <v>1</v>
      </c>
    </row>
    <row r="1426" spans="1:38" x14ac:dyDescent="0.3">
      <c r="A1426" t="s">
        <v>1813</v>
      </c>
      <c r="B1426">
        <v>113380</v>
      </c>
      <c r="C1426">
        <v>5</v>
      </c>
      <c r="D1426" t="s">
        <v>2042</v>
      </c>
      <c r="E1426" t="s">
        <v>2043</v>
      </c>
      <c r="F1426">
        <v>55</v>
      </c>
      <c r="G1426">
        <v>25.14</v>
      </c>
      <c r="H1426">
        <v>83.12</v>
      </c>
      <c r="I1426">
        <v>19.43</v>
      </c>
      <c r="J1426">
        <v>64.25</v>
      </c>
      <c r="K1426">
        <v>11</v>
      </c>
      <c r="T1426">
        <v>3</v>
      </c>
      <c r="U1426">
        <v>1</v>
      </c>
      <c r="V1426" t="s">
        <v>93</v>
      </c>
      <c r="W1426">
        <v>83</v>
      </c>
      <c r="X1426">
        <v>15</v>
      </c>
      <c r="Y1426">
        <v>15</v>
      </c>
      <c r="Z1426" t="s">
        <v>2044</v>
      </c>
      <c r="AA1426" t="s">
        <v>2045</v>
      </c>
      <c r="AB1426" t="s">
        <v>96</v>
      </c>
      <c r="AC1426" t="s">
        <v>97</v>
      </c>
      <c r="AD1426" t="s">
        <v>1818</v>
      </c>
      <c r="AG1426" t="s">
        <v>2046</v>
      </c>
      <c r="AH1426">
        <v>0</v>
      </c>
      <c r="AI1426">
        <v>652</v>
      </c>
      <c r="AJ1426">
        <v>67</v>
      </c>
      <c r="AK1426">
        <v>55</v>
      </c>
      <c r="AL1426">
        <v>1</v>
      </c>
    </row>
    <row r="1427" spans="1:38" x14ac:dyDescent="0.3">
      <c r="A1427" t="s">
        <v>1813</v>
      </c>
      <c r="B1427">
        <v>113380</v>
      </c>
      <c r="C1427">
        <v>6</v>
      </c>
      <c r="D1427" t="s">
        <v>2042</v>
      </c>
      <c r="E1427" t="s">
        <v>2043</v>
      </c>
      <c r="F1427">
        <v>55</v>
      </c>
      <c r="G1427">
        <v>26.41</v>
      </c>
      <c r="H1427">
        <v>87.31</v>
      </c>
      <c r="I1427">
        <v>20.52</v>
      </c>
      <c r="J1427">
        <v>67.86</v>
      </c>
      <c r="K1427">
        <v>11</v>
      </c>
      <c r="T1427">
        <v>3</v>
      </c>
      <c r="U1427">
        <v>2</v>
      </c>
      <c r="V1427" t="s">
        <v>93</v>
      </c>
      <c r="W1427">
        <v>87</v>
      </c>
      <c r="X1427">
        <v>15</v>
      </c>
      <c r="Y1427">
        <v>15</v>
      </c>
      <c r="Z1427" t="s">
        <v>2044</v>
      </c>
      <c r="AA1427" t="s">
        <v>2045</v>
      </c>
      <c r="AB1427" t="s">
        <v>96</v>
      </c>
      <c r="AC1427" t="s">
        <v>97</v>
      </c>
      <c r="AD1427" t="s">
        <v>1818</v>
      </c>
      <c r="AG1427" t="s">
        <v>2046</v>
      </c>
      <c r="AH1427">
        <v>0</v>
      </c>
      <c r="AI1427">
        <v>652</v>
      </c>
      <c r="AJ1427">
        <v>67</v>
      </c>
      <c r="AK1427">
        <v>55</v>
      </c>
      <c r="AL1427">
        <v>1</v>
      </c>
    </row>
    <row r="1428" spans="1:38" x14ac:dyDescent="0.3">
      <c r="A1428" t="s">
        <v>1813</v>
      </c>
      <c r="B1428">
        <v>113380</v>
      </c>
      <c r="C1428">
        <v>7</v>
      </c>
      <c r="D1428" t="s">
        <v>2042</v>
      </c>
      <c r="E1428" t="s">
        <v>2043</v>
      </c>
      <c r="F1428">
        <v>55</v>
      </c>
      <c r="G1428">
        <v>27.13</v>
      </c>
      <c r="H1428">
        <v>89.69</v>
      </c>
      <c r="I1428">
        <v>20.98</v>
      </c>
      <c r="J1428">
        <v>69.38</v>
      </c>
      <c r="K1428">
        <v>10</v>
      </c>
      <c r="T1428">
        <v>3</v>
      </c>
      <c r="U1428">
        <v>2</v>
      </c>
      <c r="V1428" t="s">
        <v>93</v>
      </c>
      <c r="W1428">
        <v>89</v>
      </c>
      <c r="X1428">
        <v>15</v>
      </c>
      <c r="Y1428">
        <v>15</v>
      </c>
      <c r="Z1428" t="s">
        <v>2044</v>
      </c>
      <c r="AA1428" t="s">
        <v>2045</v>
      </c>
      <c r="AB1428" t="s">
        <v>96</v>
      </c>
      <c r="AC1428" t="s">
        <v>97</v>
      </c>
      <c r="AD1428" t="s">
        <v>1818</v>
      </c>
      <c r="AG1428" t="s">
        <v>2046</v>
      </c>
      <c r="AH1428">
        <v>0</v>
      </c>
      <c r="AI1428">
        <v>652</v>
      </c>
      <c r="AJ1428">
        <v>67</v>
      </c>
      <c r="AK1428">
        <v>55</v>
      </c>
      <c r="AL1428">
        <v>1</v>
      </c>
    </row>
    <row r="1429" spans="1:38" x14ac:dyDescent="0.3">
      <c r="A1429" t="s">
        <v>1813</v>
      </c>
      <c r="B1429">
        <v>113380</v>
      </c>
      <c r="C1429">
        <v>8</v>
      </c>
      <c r="D1429" t="s">
        <v>2042</v>
      </c>
      <c r="E1429" t="s">
        <v>2043</v>
      </c>
      <c r="F1429">
        <v>55</v>
      </c>
      <c r="G1429">
        <v>28.11</v>
      </c>
      <c r="H1429">
        <v>92.95</v>
      </c>
      <c r="I1429">
        <v>21.77</v>
      </c>
      <c r="J1429">
        <v>71.98</v>
      </c>
      <c r="K1429">
        <v>10</v>
      </c>
      <c r="T1429">
        <v>3</v>
      </c>
      <c r="U1429">
        <v>2</v>
      </c>
      <c r="V1429" t="s">
        <v>93</v>
      </c>
      <c r="W1429" t="s">
        <v>170</v>
      </c>
      <c r="X1429">
        <v>15</v>
      </c>
      <c r="Y1429">
        <v>15</v>
      </c>
      <c r="Z1429" t="s">
        <v>2044</v>
      </c>
      <c r="AA1429" t="s">
        <v>2045</v>
      </c>
      <c r="AB1429" t="s">
        <v>96</v>
      </c>
      <c r="AC1429" t="s">
        <v>97</v>
      </c>
      <c r="AD1429" t="s">
        <v>1818</v>
      </c>
      <c r="AG1429" t="s">
        <v>2046</v>
      </c>
      <c r="AH1429">
        <v>0</v>
      </c>
      <c r="AI1429">
        <v>652</v>
      </c>
      <c r="AJ1429">
        <v>67</v>
      </c>
      <c r="AK1429">
        <v>55</v>
      </c>
      <c r="AL1429">
        <v>1</v>
      </c>
    </row>
    <row r="1430" spans="1:38" x14ac:dyDescent="0.3">
      <c r="A1430" t="s">
        <v>1813</v>
      </c>
      <c r="B1430">
        <v>113380</v>
      </c>
      <c r="C1430">
        <v>9</v>
      </c>
      <c r="D1430" t="s">
        <v>2042</v>
      </c>
      <c r="E1430" t="s">
        <v>2043</v>
      </c>
      <c r="F1430">
        <v>55</v>
      </c>
      <c r="G1430">
        <v>28.02</v>
      </c>
      <c r="H1430">
        <v>92.66</v>
      </c>
      <c r="I1430">
        <v>21.7</v>
      </c>
      <c r="J1430">
        <v>71.75</v>
      </c>
      <c r="K1430">
        <v>1</v>
      </c>
      <c r="T1430">
        <v>3</v>
      </c>
      <c r="U1430">
        <v>2</v>
      </c>
      <c r="V1430" t="s">
        <v>93</v>
      </c>
      <c r="W1430" t="s">
        <v>166</v>
      </c>
      <c r="X1430">
        <v>15</v>
      </c>
      <c r="Y1430">
        <v>15</v>
      </c>
      <c r="Z1430" t="s">
        <v>2044</v>
      </c>
      <c r="AA1430" t="s">
        <v>2045</v>
      </c>
      <c r="AB1430" t="s">
        <v>96</v>
      </c>
      <c r="AC1430" t="s">
        <v>97</v>
      </c>
      <c r="AD1430" t="s">
        <v>1818</v>
      </c>
      <c r="AG1430" t="s">
        <v>2046</v>
      </c>
      <c r="AH1430">
        <v>0</v>
      </c>
      <c r="AI1430">
        <v>652</v>
      </c>
      <c r="AJ1430">
        <v>67</v>
      </c>
      <c r="AK1430">
        <v>55</v>
      </c>
      <c r="AL1430">
        <v>1</v>
      </c>
    </row>
    <row r="1431" spans="1:38" x14ac:dyDescent="0.3">
      <c r="A1431" t="s">
        <v>1813</v>
      </c>
      <c r="B1431">
        <v>135306</v>
      </c>
      <c r="C1431">
        <v>1</v>
      </c>
      <c r="D1431" t="s">
        <v>2047</v>
      </c>
      <c r="E1431" t="s">
        <v>986</v>
      </c>
      <c r="F1431">
        <v>8</v>
      </c>
      <c r="G1431">
        <v>18.690000000000001</v>
      </c>
      <c r="H1431">
        <v>61.79</v>
      </c>
      <c r="I1431">
        <v>15.8</v>
      </c>
      <c r="J1431">
        <v>52.25</v>
      </c>
      <c r="K1431">
        <v>2</v>
      </c>
      <c r="T1431">
        <v>3</v>
      </c>
      <c r="U1431">
        <v>2</v>
      </c>
      <c r="V1431" t="s">
        <v>93</v>
      </c>
      <c r="W1431" t="s">
        <v>693</v>
      </c>
      <c r="X1431">
        <v>3</v>
      </c>
      <c r="Y1431">
        <v>3</v>
      </c>
      <c r="Z1431" t="s">
        <v>2048</v>
      </c>
      <c r="AA1431" t="s">
        <v>2049</v>
      </c>
      <c r="AB1431" t="s">
        <v>96</v>
      </c>
      <c r="AC1431" t="s">
        <v>97</v>
      </c>
      <c r="AD1431" t="s">
        <v>1818</v>
      </c>
      <c r="AG1431" t="s">
        <v>2050</v>
      </c>
      <c r="AH1431">
        <v>0</v>
      </c>
      <c r="AI1431">
        <v>478</v>
      </c>
      <c r="AJ1431">
        <v>58</v>
      </c>
      <c r="AK1431">
        <v>8</v>
      </c>
      <c r="AL1431">
        <v>1</v>
      </c>
    </row>
    <row r="1432" spans="1:38" x14ac:dyDescent="0.3">
      <c r="A1432" t="s">
        <v>1813</v>
      </c>
      <c r="B1432">
        <v>135306</v>
      </c>
      <c r="C1432">
        <v>2</v>
      </c>
      <c r="D1432" t="s">
        <v>2047</v>
      </c>
      <c r="E1432" t="s">
        <v>986</v>
      </c>
      <c r="F1432">
        <v>8</v>
      </c>
      <c r="G1432">
        <v>18.87</v>
      </c>
      <c r="H1432">
        <v>62.39</v>
      </c>
      <c r="I1432">
        <v>16.03</v>
      </c>
      <c r="J1432">
        <v>53.02</v>
      </c>
      <c r="K1432">
        <v>2</v>
      </c>
      <c r="T1432">
        <v>3</v>
      </c>
      <c r="U1432">
        <v>2</v>
      </c>
      <c r="V1432" t="s">
        <v>93</v>
      </c>
      <c r="W1432" t="s">
        <v>512</v>
      </c>
      <c r="X1432">
        <v>3</v>
      </c>
      <c r="Y1432">
        <v>3</v>
      </c>
      <c r="Z1432" t="s">
        <v>2048</v>
      </c>
      <c r="AA1432" t="s">
        <v>2049</v>
      </c>
      <c r="AB1432" t="s">
        <v>96</v>
      </c>
      <c r="AC1432" t="s">
        <v>97</v>
      </c>
      <c r="AD1432" t="s">
        <v>1818</v>
      </c>
      <c r="AG1432" t="s">
        <v>2050</v>
      </c>
      <c r="AH1432">
        <v>0</v>
      </c>
      <c r="AI1432">
        <v>478</v>
      </c>
      <c r="AJ1432">
        <v>58</v>
      </c>
      <c r="AK1432">
        <v>8</v>
      </c>
      <c r="AL1432">
        <v>1</v>
      </c>
    </row>
    <row r="1433" spans="1:38" x14ac:dyDescent="0.3">
      <c r="A1433" t="s">
        <v>1813</v>
      </c>
      <c r="B1433">
        <v>135306</v>
      </c>
      <c r="C1433">
        <v>3</v>
      </c>
      <c r="D1433" t="s">
        <v>2047</v>
      </c>
      <c r="E1433" t="s">
        <v>986</v>
      </c>
      <c r="F1433">
        <v>8</v>
      </c>
      <c r="G1433">
        <v>18.91</v>
      </c>
      <c r="H1433">
        <v>62.52</v>
      </c>
      <c r="I1433">
        <v>16</v>
      </c>
      <c r="J1433">
        <v>52.91</v>
      </c>
      <c r="K1433">
        <v>1</v>
      </c>
      <c r="T1433">
        <v>3</v>
      </c>
      <c r="U1433">
        <v>2</v>
      </c>
      <c r="V1433" t="s">
        <v>93</v>
      </c>
      <c r="W1433" t="s">
        <v>255</v>
      </c>
      <c r="X1433">
        <v>3</v>
      </c>
      <c r="Y1433">
        <v>3</v>
      </c>
      <c r="Z1433" t="s">
        <v>2048</v>
      </c>
      <c r="AA1433" t="s">
        <v>2049</v>
      </c>
      <c r="AB1433" t="s">
        <v>96</v>
      </c>
      <c r="AC1433" t="s">
        <v>97</v>
      </c>
      <c r="AD1433" t="s">
        <v>1818</v>
      </c>
      <c r="AG1433" t="s">
        <v>2050</v>
      </c>
      <c r="AH1433">
        <v>0</v>
      </c>
      <c r="AI1433">
        <v>478</v>
      </c>
      <c r="AJ1433">
        <v>58</v>
      </c>
      <c r="AK1433">
        <v>8</v>
      </c>
      <c r="AL1433">
        <v>1</v>
      </c>
    </row>
    <row r="1434" spans="1:38" x14ac:dyDescent="0.3">
      <c r="A1434" t="s">
        <v>1813</v>
      </c>
      <c r="B1434">
        <v>135306</v>
      </c>
      <c r="C1434">
        <v>4</v>
      </c>
      <c r="D1434" t="s">
        <v>2047</v>
      </c>
      <c r="E1434" t="s">
        <v>986</v>
      </c>
      <c r="F1434">
        <v>8</v>
      </c>
      <c r="G1434">
        <v>19.14</v>
      </c>
      <c r="H1434">
        <v>63.29</v>
      </c>
      <c r="I1434">
        <v>16.27</v>
      </c>
      <c r="J1434">
        <v>53.8</v>
      </c>
      <c r="K1434">
        <v>2</v>
      </c>
      <c r="T1434">
        <v>3</v>
      </c>
      <c r="U1434">
        <v>2</v>
      </c>
      <c r="V1434" t="s">
        <v>93</v>
      </c>
      <c r="W1434" t="s">
        <v>1938</v>
      </c>
      <c r="X1434">
        <v>3</v>
      </c>
      <c r="Y1434">
        <v>3</v>
      </c>
      <c r="Z1434" t="s">
        <v>2048</v>
      </c>
      <c r="AA1434" t="s">
        <v>2049</v>
      </c>
      <c r="AB1434" t="s">
        <v>96</v>
      </c>
      <c r="AC1434" t="s">
        <v>97</v>
      </c>
      <c r="AD1434" t="s">
        <v>1818</v>
      </c>
      <c r="AG1434" t="s">
        <v>2050</v>
      </c>
      <c r="AH1434">
        <v>0</v>
      </c>
      <c r="AI1434">
        <v>478</v>
      </c>
      <c r="AJ1434">
        <v>58</v>
      </c>
      <c r="AK1434">
        <v>8</v>
      </c>
      <c r="AL1434">
        <v>1</v>
      </c>
    </row>
    <row r="1435" spans="1:38" x14ac:dyDescent="0.3">
      <c r="A1435" t="s">
        <v>1813</v>
      </c>
      <c r="B1435">
        <v>135306</v>
      </c>
      <c r="C1435">
        <v>5</v>
      </c>
      <c r="D1435" t="s">
        <v>2047</v>
      </c>
      <c r="E1435" t="s">
        <v>986</v>
      </c>
      <c r="F1435">
        <v>8</v>
      </c>
      <c r="G1435">
        <v>19.12</v>
      </c>
      <c r="H1435">
        <v>63.21</v>
      </c>
      <c r="I1435">
        <v>16.190000000000001</v>
      </c>
      <c r="J1435">
        <v>53.54</v>
      </c>
      <c r="K1435">
        <v>1</v>
      </c>
      <c r="T1435">
        <v>3</v>
      </c>
      <c r="U1435">
        <v>2</v>
      </c>
      <c r="V1435" t="s">
        <v>93</v>
      </c>
      <c r="W1435" t="s">
        <v>722</v>
      </c>
      <c r="X1435">
        <v>3</v>
      </c>
      <c r="Y1435">
        <v>3</v>
      </c>
      <c r="Z1435" t="s">
        <v>2048</v>
      </c>
      <c r="AA1435" t="s">
        <v>2049</v>
      </c>
      <c r="AB1435" t="s">
        <v>96</v>
      </c>
      <c r="AC1435" t="s">
        <v>97</v>
      </c>
      <c r="AD1435" t="s">
        <v>1818</v>
      </c>
      <c r="AG1435" t="s">
        <v>2050</v>
      </c>
      <c r="AH1435">
        <v>0</v>
      </c>
      <c r="AI1435">
        <v>478</v>
      </c>
      <c r="AJ1435">
        <v>58</v>
      </c>
      <c r="AK1435">
        <v>8</v>
      </c>
      <c r="AL1435">
        <v>1</v>
      </c>
    </row>
    <row r="1436" spans="1:38" x14ac:dyDescent="0.3">
      <c r="A1436" t="s">
        <v>1813</v>
      </c>
      <c r="B1436">
        <v>9935</v>
      </c>
      <c r="C1436">
        <v>1</v>
      </c>
      <c r="D1436" t="s">
        <v>2051</v>
      </c>
      <c r="E1436" t="s">
        <v>245</v>
      </c>
      <c r="F1436">
        <v>16</v>
      </c>
      <c r="G1436">
        <v>12.25</v>
      </c>
      <c r="H1436">
        <v>40.5</v>
      </c>
      <c r="I1436">
        <v>10.76</v>
      </c>
      <c r="J1436">
        <v>35.58</v>
      </c>
      <c r="K1436">
        <v>1</v>
      </c>
      <c r="T1436">
        <v>1</v>
      </c>
      <c r="U1436">
        <v>1</v>
      </c>
      <c r="V1436" t="s">
        <v>211</v>
      </c>
      <c r="W1436">
        <v>40</v>
      </c>
      <c r="X1436">
        <v>5</v>
      </c>
      <c r="Y1436">
        <v>5</v>
      </c>
      <c r="Z1436" t="s">
        <v>2052</v>
      </c>
      <c r="AA1436" t="s">
        <v>2053</v>
      </c>
      <c r="AB1436" t="s">
        <v>96</v>
      </c>
      <c r="AC1436" t="s">
        <v>97</v>
      </c>
      <c r="AD1436" t="s">
        <v>1818</v>
      </c>
      <c r="AG1436" t="s">
        <v>2054</v>
      </c>
      <c r="AH1436">
        <v>0</v>
      </c>
      <c r="AI1436">
        <v>0</v>
      </c>
      <c r="AJ1436">
        <v>0</v>
      </c>
      <c r="AK1436">
        <v>0</v>
      </c>
      <c r="AL1436">
        <v>0</v>
      </c>
    </row>
    <row r="1437" spans="1:38" x14ac:dyDescent="0.3">
      <c r="A1437" t="s">
        <v>1813</v>
      </c>
      <c r="B1437">
        <v>9935</v>
      </c>
      <c r="C1437">
        <v>2</v>
      </c>
      <c r="D1437" t="s">
        <v>2051</v>
      </c>
      <c r="E1437" t="s">
        <v>245</v>
      </c>
      <c r="F1437">
        <v>16</v>
      </c>
      <c r="G1437">
        <v>15.46</v>
      </c>
      <c r="H1437">
        <v>51.14</v>
      </c>
      <c r="I1437">
        <v>13.59</v>
      </c>
      <c r="J1437">
        <v>44.94</v>
      </c>
      <c r="K1437">
        <v>3</v>
      </c>
      <c r="T1437">
        <v>2</v>
      </c>
      <c r="U1437">
        <v>1</v>
      </c>
      <c r="V1437" t="s">
        <v>211</v>
      </c>
      <c r="W1437">
        <v>51</v>
      </c>
      <c r="X1437">
        <v>5</v>
      </c>
      <c r="Y1437">
        <v>5</v>
      </c>
      <c r="Z1437" t="s">
        <v>2052</v>
      </c>
      <c r="AA1437" t="s">
        <v>2053</v>
      </c>
      <c r="AB1437" t="s">
        <v>96</v>
      </c>
      <c r="AC1437" t="s">
        <v>97</v>
      </c>
      <c r="AD1437" t="s">
        <v>1818</v>
      </c>
      <c r="AG1437" t="s">
        <v>2054</v>
      </c>
      <c r="AH1437">
        <v>0</v>
      </c>
      <c r="AI1437">
        <v>0</v>
      </c>
      <c r="AJ1437">
        <v>0</v>
      </c>
      <c r="AK1437">
        <v>0</v>
      </c>
      <c r="AL1437">
        <v>0</v>
      </c>
    </row>
    <row r="1438" spans="1:38" x14ac:dyDescent="0.3">
      <c r="A1438" t="s">
        <v>1813</v>
      </c>
      <c r="B1438">
        <v>9935</v>
      </c>
      <c r="C1438">
        <v>3</v>
      </c>
      <c r="D1438" t="s">
        <v>2051</v>
      </c>
      <c r="E1438" t="s">
        <v>245</v>
      </c>
      <c r="F1438">
        <v>16</v>
      </c>
      <c r="G1438">
        <v>18.809999999999999</v>
      </c>
      <c r="H1438">
        <v>62.19</v>
      </c>
      <c r="I1438">
        <v>16.53</v>
      </c>
      <c r="J1438">
        <v>54.66</v>
      </c>
      <c r="K1438">
        <v>12</v>
      </c>
      <c r="T1438">
        <v>2</v>
      </c>
      <c r="U1438">
        <v>1</v>
      </c>
      <c r="V1438" t="s">
        <v>93</v>
      </c>
      <c r="W1438">
        <v>62</v>
      </c>
      <c r="X1438">
        <v>5</v>
      </c>
      <c r="Y1438">
        <v>5</v>
      </c>
      <c r="Z1438" t="s">
        <v>2052</v>
      </c>
      <c r="AA1438" t="s">
        <v>2053</v>
      </c>
      <c r="AB1438" t="s">
        <v>96</v>
      </c>
      <c r="AC1438" t="s">
        <v>97</v>
      </c>
      <c r="AD1438" t="s">
        <v>1818</v>
      </c>
      <c r="AG1438" t="s">
        <v>2054</v>
      </c>
      <c r="AH1438">
        <v>0</v>
      </c>
      <c r="AI1438">
        <v>0</v>
      </c>
      <c r="AJ1438">
        <v>0</v>
      </c>
      <c r="AK1438">
        <v>0</v>
      </c>
      <c r="AL1438">
        <v>0</v>
      </c>
    </row>
    <row r="1439" spans="1:38" x14ac:dyDescent="0.3">
      <c r="A1439" t="s">
        <v>1813</v>
      </c>
      <c r="B1439">
        <v>116823</v>
      </c>
      <c r="C1439">
        <v>1</v>
      </c>
      <c r="D1439" t="s">
        <v>2055</v>
      </c>
      <c r="E1439" t="s">
        <v>348</v>
      </c>
      <c r="F1439">
        <v>63</v>
      </c>
      <c r="G1439">
        <v>21.19</v>
      </c>
      <c r="H1439">
        <v>70.05</v>
      </c>
      <c r="I1439">
        <v>16.170000000000002</v>
      </c>
      <c r="J1439">
        <v>53.48</v>
      </c>
      <c r="K1439">
        <v>7</v>
      </c>
      <c r="T1439">
        <v>3</v>
      </c>
      <c r="U1439">
        <v>2</v>
      </c>
      <c r="V1439" t="s">
        <v>93</v>
      </c>
      <c r="W1439">
        <v>70</v>
      </c>
      <c r="X1439">
        <v>13</v>
      </c>
      <c r="Y1439">
        <v>13</v>
      </c>
      <c r="Z1439" t="s">
        <v>2056</v>
      </c>
      <c r="AA1439" t="s">
        <v>2057</v>
      </c>
      <c r="AB1439" t="s">
        <v>96</v>
      </c>
      <c r="AC1439" t="s">
        <v>97</v>
      </c>
      <c r="AD1439" t="s">
        <v>1818</v>
      </c>
      <c r="AG1439" t="s">
        <v>2058</v>
      </c>
      <c r="AH1439">
        <v>0</v>
      </c>
      <c r="AI1439">
        <v>741</v>
      </c>
      <c r="AJ1439">
        <v>72</v>
      </c>
      <c r="AK1439">
        <v>52</v>
      </c>
      <c r="AL1439">
        <v>0.83</v>
      </c>
    </row>
    <row r="1440" spans="1:38" x14ac:dyDescent="0.3">
      <c r="A1440" t="s">
        <v>1813</v>
      </c>
      <c r="B1440">
        <v>116823</v>
      </c>
      <c r="C1440">
        <v>2</v>
      </c>
      <c r="D1440" t="s">
        <v>2055</v>
      </c>
      <c r="E1440" t="s">
        <v>348</v>
      </c>
      <c r="F1440">
        <v>63</v>
      </c>
      <c r="G1440">
        <v>22.34</v>
      </c>
      <c r="H1440">
        <v>73.87</v>
      </c>
      <c r="I1440">
        <v>16.95</v>
      </c>
      <c r="J1440">
        <v>56.06</v>
      </c>
      <c r="K1440">
        <v>7</v>
      </c>
      <c r="T1440">
        <v>3</v>
      </c>
      <c r="U1440">
        <v>2</v>
      </c>
      <c r="V1440" t="s">
        <v>93</v>
      </c>
      <c r="W1440" t="s">
        <v>1243</v>
      </c>
      <c r="X1440">
        <v>13</v>
      </c>
      <c r="Y1440">
        <v>13</v>
      </c>
      <c r="Z1440" t="s">
        <v>2056</v>
      </c>
      <c r="AA1440" t="s">
        <v>2057</v>
      </c>
      <c r="AB1440" t="s">
        <v>96</v>
      </c>
      <c r="AC1440" t="s">
        <v>97</v>
      </c>
      <c r="AD1440" t="s">
        <v>1818</v>
      </c>
      <c r="AG1440" t="s">
        <v>2058</v>
      </c>
      <c r="AH1440">
        <v>0</v>
      </c>
      <c r="AI1440">
        <v>741</v>
      </c>
      <c r="AJ1440">
        <v>72</v>
      </c>
      <c r="AK1440">
        <v>52</v>
      </c>
      <c r="AL1440">
        <v>0.83</v>
      </c>
    </row>
    <row r="1441" spans="1:38" x14ac:dyDescent="0.3">
      <c r="A1441" t="s">
        <v>1813</v>
      </c>
      <c r="B1441">
        <v>116823</v>
      </c>
      <c r="C1441">
        <v>3</v>
      </c>
      <c r="D1441" t="s">
        <v>2055</v>
      </c>
      <c r="E1441" t="s">
        <v>348</v>
      </c>
      <c r="F1441">
        <v>63</v>
      </c>
      <c r="G1441">
        <v>22.38</v>
      </c>
      <c r="H1441">
        <v>74.010000000000005</v>
      </c>
      <c r="I1441">
        <v>17</v>
      </c>
      <c r="J1441">
        <v>56.21</v>
      </c>
      <c r="K1441">
        <v>7</v>
      </c>
      <c r="T1441">
        <v>3</v>
      </c>
      <c r="U1441">
        <v>2</v>
      </c>
      <c r="V1441" t="s">
        <v>93</v>
      </c>
      <c r="W1441" t="s">
        <v>876</v>
      </c>
      <c r="X1441">
        <v>13</v>
      </c>
      <c r="Y1441">
        <v>13</v>
      </c>
      <c r="Z1441" t="s">
        <v>2056</v>
      </c>
      <c r="AA1441" t="s">
        <v>2057</v>
      </c>
      <c r="AB1441" t="s">
        <v>96</v>
      </c>
      <c r="AC1441" t="s">
        <v>97</v>
      </c>
      <c r="AD1441" t="s">
        <v>1818</v>
      </c>
      <c r="AG1441" t="s">
        <v>2058</v>
      </c>
      <c r="AH1441">
        <v>0</v>
      </c>
      <c r="AI1441">
        <v>741</v>
      </c>
      <c r="AJ1441">
        <v>72</v>
      </c>
      <c r="AK1441">
        <v>52</v>
      </c>
      <c r="AL1441">
        <v>0.83</v>
      </c>
    </row>
    <row r="1442" spans="1:38" x14ac:dyDescent="0.3">
      <c r="A1442" t="s">
        <v>1813</v>
      </c>
      <c r="B1442">
        <v>116823</v>
      </c>
      <c r="C1442">
        <v>4</v>
      </c>
      <c r="D1442" t="s">
        <v>2055</v>
      </c>
      <c r="E1442" t="s">
        <v>348</v>
      </c>
      <c r="F1442">
        <v>63</v>
      </c>
      <c r="G1442">
        <v>23.02</v>
      </c>
      <c r="H1442">
        <v>76.12</v>
      </c>
      <c r="I1442">
        <v>17.41</v>
      </c>
      <c r="J1442">
        <v>57.56</v>
      </c>
      <c r="K1442">
        <v>7</v>
      </c>
      <c r="T1442">
        <v>3</v>
      </c>
      <c r="U1442">
        <v>2</v>
      </c>
      <c r="V1442" t="s">
        <v>93</v>
      </c>
      <c r="W1442" t="s">
        <v>1413</v>
      </c>
      <c r="X1442">
        <v>13</v>
      </c>
      <c r="Y1442">
        <v>13</v>
      </c>
      <c r="Z1442" t="s">
        <v>2056</v>
      </c>
      <c r="AA1442" t="s">
        <v>2057</v>
      </c>
      <c r="AB1442" t="s">
        <v>96</v>
      </c>
      <c r="AC1442" t="s">
        <v>97</v>
      </c>
      <c r="AD1442" t="s">
        <v>1818</v>
      </c>
      <c r="AG1442" t="s">
        <v>2058</v>
      </c>
      <c r="AH1442">
        <v>0</v>
      </c>
      <c r="AI1442">
        <v>741</v>
      </c>
      <c r="AJ1442">
        <v>72</v>
      </c>
      <c r="AK1442">
        <v>52</v>
      </c>
      <c r="AL1442">
        <v>0.83</v>
      </c>
    </row>
    <row r="1443" spans="1:38" x14ac:dyDescent="0.3">
      <c r="A1443" t="s">
        <v>1813</v>
      </c>
      <c r="B1443">
        <v>116823</v>
      </c>
      <c r="C1443">
        <v>5</v>
      </c>
      <c r="D1443" t="s">
        <v>2055</v>
      </c>
      <c r="E1443" t="s">
        <v>348</v>
      </c>
      <c r="F1443">
        <v>63</v>
      </c>
      <c r="G1443">
        <v>23.31</v>
      </c>
      <c r="H1443">
        <v>77.06</v>
      </c>
      <c r="I1443">
        <v>17.79</v>
      </c>
      <c r="J1443">
        <v>58.83</v>
      </c>
      <c r="K1443">
        <v>7</v>
      </c>
      <c r="T1443">
        <v>3</v>
      </c>
      <c r="U1443">
        <v>2</v>
      </c>
      <c r="V1443" t="s">
        <v>93</v>
      </c>
      <c r="W1443" t="s">
        <v>948</v>
      </c>
      <c r="X1443">
        <v>13</v>
      </c>
      <c r="Y1443">
        <v>13</v>
      </c>
      <c r="Z1443" t="s">
        <v>2056</v>
      </c>
      <c r="AA1443" t="s">
        <v>2057</v>
      </c>
      <c r="AB1443" t="s">
        <v>96</v>
      </c>
      <c r="AC1443" t="s">
        <v>97</v>
      </c>
      <c r="AD1443" t="s">
        <v>1818</v>
      </c>
      <c r="AG1443" t="s">
        <v>2058</v>
      </c>
      <c r="AH1443">
        <v>0</v>
      </c>
      <c r="AI1443">
        <v>741</v>
      </c>
      <c r="AJ1443">
        <v>72</v>
      </c>
      <c r="AK1443">
        <v>52</v>
      </c>
      <c r="AL1443">
        <v>0.83</v>
      </c>
    </row>
    <row r="1444" spans="1:38" x14ac:dyDescent="0.3">
      <c r="A1444" t="s">
        <v>1813</v>
      </c>
      <c r="B1444">
        <v>116823</v>
      </c>
      <c r="C1444">
        <v>6</v>
      </c>
      <c r="D1444" t="s">
        <v>2055</v>
      </c>
      <c r="E1444" t="s">
        <v>348</v>
      </c>
      <c r="F1444">
        <v>63</v>
      </c>
      <c r="G1444">
        <v>23.5</v>
      </c>
      <c r="H1444">
        <v>77.7</v>
      </c>
      <c r="I1444">
        <v>18.09</v>
      </c>
      <c r="J1444">
        <v>59.82</v>
      </c>
      <c r="K1444">
        <v>7</v>
      </c>
      <c r="T1444">
        <v>3</v>
      </c>
      <c r="U1444">
        <v>2</v>
      </c>
      <c r="V1444" t="s">
        <v>93</v>
      </c>
      <c r="W1444" t="s">
        <v>948</v>
      </c>
      <c r="X1444">
        <v>13</v>
      </c>
      <c r="Y1444">
        <v>13</v>
      </c>
      <c r="Z1444" t="s">
        <v>2056</v>
      </c>
      <c r="AA1444" t="s">
        <v>2057</v>
      </c>
      <c r="AB1444" t="s">
        <v>96</v>
      </c>
      <c r="AC1444" t="s">
        <v>97</v>
      </c>
      <c r="AD1444" t="s">
        <v>1818</v>
      </c>
      <c r="AG1444" t="s">
        <v>2058</v>
      </c>
      <c r="AH1444">
        <v>0</v>
      </c>
      <c r="AI1444">
        <v>741</v>
      </c>
      <c r="AJ1444">
        <v>72</v>
      </c>
      <c r="AK1444">
        <v>52</v>
      </c>
      <c r="AL1444">
        <v>0.83</v>
      </c>
    </row>
    <row r="1445" spans="1:38" x14ac:dyDescent="0.3">
      <c r="A1445" t="s">
        <v>1813</v>
      </c>
      <c r="B1445">
        <v>116823</v>
      </c>
      <c r="C1445">
        <v>7</v>
      </c>
      <c r="D1445" t="s">
        <v>2055</v>
      </c>
      <c r="E1445" t="s">
        <v>348</v>
      </c>
      <c r="F1445">
        <v>63</v>
      </c>
      <c r="G1445">
        <v>24</v>
      </c>
      <c r="H1445">
        <v>79.34</v>
      </c>
      <c r="I1445">
        <v>18.04</v>
      </c>
      <c r="J1445">
        <v>59.65</v>
      </c>
      <c r="K1445">
        <v>14</v>
      </c>
      <c r="T1445">
        <v>3</v>
      </c>
      <c r="U1445">
        <v>2</v>
      </c>
      <c r="V1445" t="s">
        <v>93</v>
      </c>
      <c r="W1445" t="s">
        <v>474</v>
      </c>
      <c r="X1445">
        <v>13</v>
      </c>
      <c r="Y1445">
        <v>13</v>
      </c>
      <c r="Z1445" t="s">
        <v>2056</v>
      </c>
      <c r="AA1445" t="s">
        <v>2057</v>
      </c>
      <c r="AB1445" t="s">
        <v>96</v>
      </c>
      <c r="AC1445" t="s">
        <v>97</v>
      </c>
      <c r="AD1445" t="s">
        <v>1818</v>
      </c>
      <c r="AG1445" t="s">
        <v>2058</v>
      </c>
      <c r="AH1445">
        <v>0</v>
      </c>
      <c r="AI1445">
        <v>741</v>
      </c>
      <c r="AJ1445">
        <v>72</v>
      </c>
      <c r="AK1445">
        <v>52</v>
      </c>
      <c r="AL1445">
        <v>0.83</v>
      </c>
    </row>
    <row r="1446" spans="1:38" x14ac:dyDescent="0.3">
      <c r="A1446" t="s">
        <v>1813</v>
      </c>
      <c r="B1446">
        <v>116823</v>
      </c>
      <c r="C1446">
        <v>8</v>
      </c>
      <c r="D1446" t="s">
        <v>2055</v>
      </c>
      <c r="E1446" t="s">
        <v>348</v>
      </c>
      <c r="F1446">
        <v>63</v>
      </c>
      <c r="G1446">
        <v>24.01</v>
      </c>
      <c r="H1446">
        <v>79.400000000000006</v>
      </c>
      <c r="I1446">
        <v>18.11</v>
      </c>
      <c r="J1446">
        <v>59.9</v>
      </c>
      <c r="K1446">
        <v>7</v>
      </c>
      <c r="T1446">
        <v>3</v>
      </c>
      <c r="U1446">
        <v>2</v>
      </c>
      <c r="V1446" t="s">
        <v>93</v>
      </c>
      <c r="W1446" t="s">
        <v>794</v>
      </c>
      <c r="X1446">
        <v>13</v>
      </c>
      <c r="Y1446">
        <v>13</v>
      </c>
      <c r="Z1446" t="s">
        <v>2056</v>
      </c>
      <c r="AA1446" t="s">
        <v>2057</v>
      </c>
      <c r="AB1446" t="s">
        <v>96</v>
      </c>
      <c r="AC1446" t="s">
        <v>97</v>
      </c>
      <c r="AD1446" t="s">
        <v>1818</v>
      </c>
      <c r="AG1446" t="s">
        <v>2058</v>
      </c>
      <c r="AH1446">
        <v>0</v>
      </c>
      <c r="AI1446">
        <v>741</v>
      </c>
      <c r="AJ1446">
        <v>72</v>
      </c>
      <c r="AK1446">
        <v>52</v>
      </c>
      <c r="AL1446">
        <v>0.83</v>
      </c>
    </row>
    <row r="1447" spans="1:38" x14ac:dyDescent="0.3">
      <c r="A1447" t="s">
        <v>1813</v>
      </c>
      <c r="B1447">
        <v>126331</v>
      </c>
      <c r="C1447">
        <v>1</v>
      </c>
      <c r="D1447" t="s">
        <v>2059</v>
      </c>
      <c r="E1447" t="s">
        <v>2060</v>
      </c>
      <c r="F1447">
        <v>1856</v>
      </c>
      <c r="G1447">
        <v>18.82</v>
      </c>
      <c r="H1447">
        <v>62.23</v>
      </c>
      <c r="I1447">
        <v>11.76</v>
      </c>
      <c r="J1447">
        <v>38.880000000000003</v>
      </c>
      <c r="K1447">
        <v>49</v>
      </c>
      <c r="T1447">
        <v>2</v>
      </c>
      <c r="U1447">
        <v>1</v>
      </c>
      <c r="V1447" t="s">
        <v>93</v>
      </c>
      <c r="W1447">
        <v>62</v>
      </c>
      <c r="X1447">
        <v>35</v>
      </c>
      <c r="Y1447">
        <v>8</v>
      </c>
      <c r="Z1447" t="s">
        <v>2061</v>
      </c>
      <c r="AA1447" t="s">
        <v>2062</v>
      </c>
      <c r="AB1447" t="s">
        <v>96</v>
      </c>
      <c r="AC1447" t="s">
        <v>97</v>
      </c>
      <c r="AD1447" t="s">
        <v>1818</v>
      </c>
      <c r="AG1447" t="s">
        <v>2063</v>
      </c>
      <c r="AH1447">
        <v>19</v>
      </c>
      <c r="AI1447">
        <v>274</v>
      </c>
      <c r="AJ1447">
        <v>15</v>
      </c>
      <c r="AK1447">
        <v>2233</v>
      </c>
      <c r="AL1447">
        <v>1.2</v>
      </c>
    </row>
    <row r="1448" spans="1:38" x14ac:dyDescent="0.3">
      <c r="A1448" t="s">
        <v>1813</v>
      </c>
      <c r="B1448">
        <v>126331</v>
      </c>
      <c r="C1448">
        <v>2</v>
      </c>
      <c r="D1448" t="s">
        <v>2059</v>
      </c>
      <c r="E1448" t="s">
        <v>2060</v>
      </c>
      <c r="F1448">
        <v>1856</v>
      </c>
      <c r="G1448">
        <v>20.76</v>
      </c>
      <c r="H1448">
        <v>68.650000000000006</v>
      </c>
      <c r="I1448">
        <v>12.93</v>
      </c>
      <c r="J1448">
        <v>42.75</v>
      </c>
      <c r="K1448">
        <v>8</v>
      </c>
      <c r="T1448">
        <v>2</v>
      </c>
      <c r="U1448">
        <v>1</v>
      </c>
      <c r="V1448" t="s">
        <v>93</v>
      </c>
      <c r="W1448">
        <v>68</v>
      </c>
      <c r="X1448">
        <v>35</v>
      </c>
      <c r="Y1448">
        <v>8</v>
      </c>
      <c r="Z1448" t="s">
        <v>2061</v>
      </c>
      <c r="AA1448" t="s">
        <v>2062</v>
      </c>
      <c r="AB1448" t="s">
        <v>96</v>
      </c>
      <c r="AC1448" t="s">
        <v>97</v>
      </c>
      <c r="AD1448" t="s">
        <v>1818</v>
      </c>
      <c r="AG1448" t="s">
        <v>2063</v>
      </c>
      <c r="AH1448">
        <v>19</v>
      </c>
      <c r="AI1448">
        <v>274</v>
      </c>
      <c r="AJ1448">
        <v>15</v>
      </c>
      <c r="AK1448">
        <v>2233</v>
      </c>
      <c r="AL1448">
        <v>1.2</v>
      </c>
    </row>
    <row r="1449" spans="1:38" x14ac:dyDescent="0.3">
      <c r="A1449" t="s">
        <v>1813</v>
      </c>
      <c r="B1449">
        <v>126331</v>
      </c>
      <c r="C1449">
        <v>3</v>
      </c>
      <c r="D1449" t="s">
        <v>2059</v>
      </c>
      <c r="E1449" t="s">
        <v>2060</v>
      </c>
      <c r="F1449">
        <v>1856</v>
      </c>
      <c r="G1449">
        <v>22.62</v>
      </c>
      <c r="H1449">
        <v>74.78</v>
      </c>
      <c r="I1449">
        <v>14.93</v>
      </c>
      <c r="J1449">
        <v>49.36</v>
      </c>
      <c r="K1449">
        <v>32</v>
      </c>
      <c r="T1449">
        <v>2</v>
      </c>
      <c r="U1449">
        <v>1</v>
      </c>
      <c r="V1449" t="s">
        <v>93</v>
      </c>
      <c r="W1449">
        <v>74</v>
      </c>
      <c r="X1449">
        <v>35</v>
      </c>
      <c r="Y1449">
        <v>8</v>
      </c>
      <c r="Z1449" t="s">
        <v>2061</v>
      </c>
      <c r="AA1449" t="s">
        <v>2062</v>
      </c>
      <c r="AB1449" t="s">
        <v>96</v>
      </c>
      <c r="AC1449" t="s">
        <v>97</v>
      </c>
      <c r="AD1449" t="s">
        <v>1818</v>
      </c>
      <c r="AG1449" t="s">
        <v>2063</v>
      </c>
      <c r="AH1449">
        <v>19</v>
      </c>
      <c r="AI1449">
        <v>274</v>
      </c>
      <c r="AJ1449">
        <v>15</v>
      </c>
      <c r="AK1449">
        <v>2233</v>
      </c>
      <c r="AL1449">
        <v>1.2</v>
      </c>
    </row>
    <row r="1450" spans="1:38" x14ac:dyDescent="0.3">
      <c r="A1450" t="s">
        <v>1813</v>
      </c>
      <c r="B1450">
        <v>126331</v>
      </c>
      <c r="C1450">
        <v>4</v>
      </c>
      <c r="D1450" t="s">
        <v>2059</v>
      </c>
      <c r="E1450" t="s">
        <v>2060</v>
      </c>
      <c r="F1450">
        <v>1856</v>
      </c>
      <c r="G1450">
        <v>25.91</v>
      </c>
      <c r="H1450">
        <v>85.67</v>
      </c>
      <c r="I1450">
        <v>18.14</v>
      </c>
      <c r="J1450">
        <v>59.97</v>
      </c>
      <c r="K1450">
        <v>565</v>
      </c>
      <c r="T1450">
        <v>3</v>
      </c>
      <c r="U1450">
        <v>2</v>
      </c>
      <c r="V1450" t="s">
        <v>93</v>
      </c>
      <c r="W1450" t="s">
        <v>222</v>
      </c>
      <c r="X1450">
        <v>35</v>
      </c>
      <c r="Y1450">
        <v>8</v>
      </c>
      <c r="Z1450" t="s">
        <v>2061</v>
      </c>
      <c r="AA1450" t="s">
        <v>2062</v>
      </c>
      <c r="AB1450" t="s">
        <v>96</v>
      </c>
      <c r="AC1450" t="s">
        <v>97</v>
      </c>
      <c r="AD1450" t="s">
        <v>1818</v>
      </c>
      <c r="AG1450" t="s">
        <v>2063</v>
      </c>
      <c r="AH1450">
        <v>19</v>
      </c>
      <c r="AI1450">
        <v>274</v>
      </c>
      <c r="AJ1450">
        <v>15</v>
      </c>
      <c r="AK1450">
        <v>2233</v>
      </c>
      <c r="AL1450">
        <v>1.2</v>
      </c>
    </row>
    <row r="1451" spans="1:38" x14ac:dyDescent="0.3">
      <c r="A1451" t="s">
        <v>1813</v>
      </c>
      <c r="B1451">
        <v>126331</v>
      </c>
      <c r="C1451">
        <v>5</v>
      </c>
      <c r="D1451" t="s">
        <v>2059</v>
      </c>
      <c r="E1451" t="s">
        <v>2060</v>
      </c>
      <c r="F1451">
        <v>1856</v>
      </c>
      <c r="G1451">
        <v>25.94</v>
      </c>
      <c r="H1451">
        <v>85.77</v>
      </c>
      <c r="I1451">
        <v>18.04</v>
      </c>
      <c r="J1451">
        <v>59.64</v>
      </c>
      <c r="K1451">
        <v>363</v>
      </c>
      <c r="T1451">
        <v>3</v>
      </c>
      <c r="U1451">
        <v>2</v>
      </c>
      <c r="V1451" t="s">
        <v>93</v>
      </c>
      <c r="W1451" t="s">
        <v>434</v>
      </c>
      <c r="X1451">
        <v>35</v>
      </c>
      <c r="Y1451">
        <v>8</v>
      </c>
      <c r="Z1451" t="s">
        <v>2061</v>
      </c>
      <c r="AA1451" t="s">
        <v>2062</v>
      </c>
      <c r="AB1451" t="s">
        <v>96</v>
      </c>
      <c r="AC1451" t="s">
        <v>97</v>
      </c>
      <c r="AD1451" t="s">
        <v>1818</v>
      </c>
      <c r="AG1451" t="s">
        <v>2063</v>
      </c>
      <c r="AH1451">
        <v>19</v>
      </c>
      <c r="AI1451">
        <v>274</v>
      </c>
      <c r="AJ1451">
        <v>15</v>
      </c>
      <c r="AK1451">
        <v>2233</v>
      </c>
      <c r="AL1451">
        <v>1.2</v>
      </c>
    </row>
    <row r="1452" spans="1:38" x14ac:dyDescent="0.3">
      <c r="A1452" t="s">
        <v>1813</v>
      </c>
      <c r="B1452">
        <v>126331</v>
      </c>
      <c r="C1452">
        <v>6</v>
      </c>
      <c r="D1452" t="s">
        <v>2059</v>
      </c>
      <c r="E1452" t="s">
        <v>2060</v>
      </c>
      <c r="F1452">
        <v>1856</v>
      </c>
      <c r="G1452">
        <v>29.8</v>
      </c>
      <c r="H1452">
        <v>98.53</v>
      </c>
      <c r="I1452">
        <v>22.01</v>
      </c>
      <c r="J1452">
        <v>72.790000000000006</v>
      </c>
      <c r="K1452">
        <v>137</v>
      </c>
      <c r="T1452">
        <v>3</v>
      </c>
      <c r="U1452">
        <v>2</v>
      </c>
      <c r="V1452" t="s">
        <v>93</v>
      </c>
      <c r="W1452" t="s">
        <v>360</v>
      </c>
      <c r="X1452">
        <v>35</v>
      </c>
      <c r="Y1452">
        <v>8</v>
      </c>
      <c r="Z1452" t="s">
        <v>2061</v>
      </c>
      <c r="AA1452" t="s">
        <v>2062</v>
      </c>
      <c r="AB1452" t="s">
        <v>96</v>
      </c>
      <c r="AC1452" t="s">
        <v>97</v>
      </c>
      <c r="AD1452" t="s">
        <v>1818</v>
      </c>
      <c r="AG1452" t="s">
        <v>2063</v>
      </c>
      <c r="AH1452">
        <v>19</v>
      </c>
      <c r="AI1452">
        <v>274</v>
      </c>
      <c r="AJ1452">
        <v>15</v>
      </c>
      <c r="AK1452">
        <v>2233</v>
      </c>
      <c r="AL1452">
        <v>1.2</v>
      </c>
    </row>
    <row r="1453" spans="1:38" x14ac:dyDescent="0.3">
      <c r="A1453" t="s">
        <v>1813</v>
      </c>
      <c r="B1453">
        <v>126331</v>
      </c>
      <c r="C1453">
        <v>7</v>
      </c>
      <c r="D1453" t="s">
        <v>2059</v>
      </c>
      <c r="E1453" t="s">
        <v>2060</v>
      </c>
      <c r="F1453">
        <v>1856</v>
      </c>
      <c r="G1453">
        <v>29.83</v>
      </c>
      <c r="H1453">
        <v>98.64</v>
      </c>
      <c r="I1453">
        <v>21.85</v>
      </c>
      <c r="J1453">
        <v>72.239999999999995</v>
      </c>
      <c r="K1453">
        <v>34</v>
      </c>
      <c r="T1453">
        <v>3</v>
      </c>
      <c r="U1453">
        <v>2</v>
      </c>
      <c r="V1453" t="s">
        <v>93</v>
      </c>
      <c r="W1453" t="s">
        <v>2064</v>
      </c>
      <c r="X1453">
        <v>35</v>
      </c>
      <c r="Y1453">
        <v>8</v>
      </c>
      <c r="Z1453" t="s">
        <v>2061</v>
      </c>
      <c r="AA1453" t="s">
        <v>2062</v>
      </c>
      <c r="AB1453" t="s">
        <v>96</v>
      </c>
      <c r="AC1453" t="s">
        <v>97</v>
      </c>
      <c r="AD1453" t="s">
        <v>1818</v>
      </c>
      <c r="AG1453" t="s">
        <v>2063</v>
      </c>
      <c r="AH1453">
        <v>19</v>
      </c>
      <c r="AI1453">
        <v>274</v>
      </c>
      <c r="AJ1453">
        <v>15</v>
      </c>
      <c r="AK1453">
        <v>2233</v>
      </c>
      <c r="AL1453">
        <v>1.2</v>
      </c>
    </row>
    <row r="1454" spans="1:38" x14ac:dyDescent="0.3">
      <c r="A1454" t="s">
        <v>1813</v>
      </c>
      <c r="B1454">
        <v>126331</v>
      </c>
      <c r="C1454">
        <v>8</v>
      </c>
      <c r="D1454" t="s">
        <v>2059</v>
      </c>
      <c r="E1454" t="s">
        <v>2060</v>
      </c>
      <c r="F1454">
        <v>1856</v>
      </c>
      <c r="G1454">
        <v>29.97</v>
      </c>
      <c r="H1454">
        <v>99.1</v>
      </c>
      <c r="I1454">
        <v>21.85</v>
      </c>
      <c r="J1454">
        <v>72.239999999999995</v>
      </c>
      <c r="K1454">
        <v>101</v>
      </c>
      <c r="T1454">
        <v>3</v>
      </c>
      <c r="U1454">
        <v>2</v>
      </c>
      <c r="V1454" t="s">
        <v>93</v>
      </c>
      <c r="W1454" t="s">
        <v>1053</v>
      </c>
      <c r="X1454">
        <v>35</v>
      </c>
      <c r="Y1454">
        <v>8</v>
      </c>
      <c r="Z1454" t="s">
        <v>2061</v>
      </c>
      <c r="AA1454" t="s">
        <v>2062</v>
      </c>
      <c r="AB1454" t="s">
        <v>96</v>
      </c>
      <c r="AC1454" t="s">
        <v>97</v>
      </c>
      <c r="AD1454" t="s">
        <v>1818</v>
      </c>
      <c r="AG1454" t="s">
        <v>2063</v>
      </c>
      <c r="AH1454">
        <v>19</v>
      </c>
      <c r="AI1454">
        <v>274</v>
      </c>
      <c r="AJ1454">
        <v>15</v>
      </c>
      <c r="AK1454">
        <v>2233</v>
      </c>
      <c r="AL1454">
        <v>1.2</v>
      </c>
    </row>
    <row r="1455" spans="1:38" x14ac:dyDescent="0.3">
      <c r="A1455" t="s">
        <v>1813</v>
      </c>
      <c r="B1455">
        <v>126331</v>
      </c>
      <c r="C1455">
        <v>9</v>
      </c>
      <c r="D1455" t="s">
        <v>2059</v>
      </c>
      <c r="E1455" t="s">
        <v>2060</v>
      </c>
      <c r="F1455">
        <v>1856</v>
      </c>
      <c r="G1455">
        <v>34.479999999999997</v>
      </c>
      <c r="H1455">
        <v>114.01</v>
      </c>
      <c r="I1455">
        <v>25.7</v>
      </c>
      <c r="J1455">
        <v>84.99</v>
      </c>
      <c r="K1455">
        <v>513</v>
      </c>
      <c r="T1455">
        <v>3</v>
      </c>
      <c r="U1455">
        <v>2</v>
      </c>
      <c r="V1455" t="s">
        <v>93</v>
      </c>
      <c r="W1455" t="s">
        <v>187</v>
      </c>
      <c r="X1455">
        <v>35</v>
      </c>
      <c r="Y1455">
        <v>8</v>
      </c>
      <c r="Z1455" t="s">
        <v>2061</v>
      </c>
      <c r="AA1455" t="s">
        <v>2062</v>
      </c>
      <c r="AB1455" t="s">
        <v>96</v>
      </c>
      <c r="AC1455" t="s">
        <v>97</v>
      </c>
      <c r="AD1455" t="s">
        <v>1818</v>
      </c>
      <c r="AG1455" t="s">
        <v>2063</v>
      </c>
      <c r="AH1455">
        <v>19</v>
      </c>
      <c r="AI1455">
        <v>274</v>
      </c>
      <c r="AJ1455">
        <v>15</v>
      </c>
      <c r="AK1455">
        <v>2233</v>
      </c>
      <c r="AL1455">
        <v>1.2</v>
      </c>
    </row>
    <row r="1456" spans="1:38" x14ac:dyDescent="0.3">
      <c r="A1456" t="s">
        <v>1813</v>
      </c>
      <c r="B1456">
        <v>126331</v>
      </c>
      <c r="C1456">
        <v>10</v>
      </c>
      <c r="D1456" t="s">
        <v>2059</v>
      </c>
      <c r="E1456" t="s">
        <v>2060</v>
      </c>
      <c r="F1456">
        <v>1856</v>
      </c>
      <c r="G1456">
        <v>34.590000000000003</v>
      </c>
      <c r="H1456">
        <v>114.35</v>
      </c>
      <c r="I1456">
        <v>25.65</v>
      </c>
      <c r="J1456">
        <v>84.82</v>
      </c>
      <c r="K1456">
        <v>35</v>
      </c>
      <c r="T1456">
        <v>3</v>
      </c>
      <c r="U1456">
        <v>2</v>
      </c>
      <c r="V1456" t="s">
        <v>93</v>
      </c>
      <c r="W1456" t="s">
        <v>188</v>
      </c>
      <c r="X1456">
        <v>35</v>
      </c>
      <c r="Y1456">
        <v>8</v>
      </c>
      <c r="Z1456" t="s">
        <v>2061</v>
      </c>
      <c r="AA1456" t="s">
        <v>2062</v>
      </c>
      <c r="AB1456" t="s">
        <v>96</v>
      </c>
      <c r="AC1456" t="s">
        <v>97</v>
      </c>
      <c r="AD1456" t="s">
        <v>1818</v>
      </c>
      <c r="AG1456" t="s">
        <v>2063</v>
      </c>
      <c r="AH1456">
        <v>19</v>
      </c>
      <c r="AI1456">
        <v>274</v>
      </c>
      <c r="AJ1456">
        <v>15</v>
      </c>
      <c r="AK1456">
        <v>2233</v>
      </c>
      <c r="AL1456">
        <v>1.2</v>
      </c>
    </row>
    <row r="1457" spans="1:38" x14ac:dyDescent="0.3">
      <c r="A1457" t="s">
        <v>1813</v>
      </c>
      <c r="B1457">
        <v>104594</v>
      </c>
      <c r="C1457">
        <v>1</v>
      </c>
      <c r="D1457" t="s">
        <v>374</v>
      </c>
      <c r="E1457" t="s">
        <v>2065</v>
      </c>
      <c r="F1457">
        <v>36</v>
      </c>
      <c r="G1457">
        <v>11</v>
      </c>
      <c r="H1457">
        <v>36.369999999999997</v>
      </c>
      <c r="I1457">
        <v>9.66</v>
      </c>
      <c r="J1457">
        <v>31.96</v>
      </c>
      <c r="K1457">
        <v>2</v>
      </c>
      <c r="T1457">
        <v>1</v>
      </c>
      <c r="U1457">
        <v>1</v>
      </c>
      <c r="V1457" t="s">
        <v>211</v>
      </c>
      <c r="W1457">
        <v>36</v>
      </c>
      <c r="X1457">
        <v>6</v>
      </c>
      <c r="Y1457">
        <v>3</v>
      </c>
      <c r="Z1457" t="s">
        <v>2066</v>
      </c>
      <c r="AA1457" t="s">
        <v>2067</v>
      </c>
      <c r="AB1457" t="s">
        <v>96</v>
      </c>
      <c r="AC1457" t="s">
        <v>97</v>
      </c>
      <c r="AD1457" t="s">
        <v>1818</v>
      </c>
      <c r="AG1457" t="s">
        <v>2068</v>
      </c>
      <c r="AH1457">
        <v>0</v>
      </c>
      <c r="AI1457">
        <v>0</v>
      </c>
      <c r="AJ1457">
        <v>0</v>
      </c>
      <c r="AK1457">
        <v>24</v>
      </c>
      <c r="AL1457">
        <v>0.67</v>
      </c>
    </row>
    <row r="1458" spans="1:38" x14ac:dyDescent="0.3">
      <c r="A1458" t="s">
        <v>1813</v>
      </c>
      <c r="B1458">
        <v>104594</v>
      </c>
      <c r="C1458">
        <v>2</v>
      </c>
      <c r="D1458" t="s">
        <v>374</v>
      </c>
      <c r="E1458" t="s">
        <v>2065</v>
      </c>
      <c r="F1458">
        <v>36</v>
      </c>
      <c r="G1458">
        <v>12.04</v>
      </c>
      <c r="H1458">
        <v>39.81</v>
      </c>
      <c r="I1458">
        <v>10.61</v>
      </c>
      <c r="J1458">
        <v>35.08</v>
      </c>
      <c r="K1458">
        <v>4</v>
      </c>
      <c r="T1458">
        <v>1</v>
      </c>
      <c r="U1458">
        <v>1</v>
      </c>
      <c r="V1458" t="s">
        <v>211</v>
      </c>
      <c r="W1458" t="s">
        <v>1329</v>
      </c>
      <c r="X1458">
        <v>6</v>
      </c>
      <c r="Y1458">
        <v>3</v>
      </c>
      <c r="Z1458" t="s">
        <v>2066</v>
      </c>
      <c r="AA1458" t="s">
        <v>2067</v>
      </c>
      <c r="AB1458" t="s">
        <v>96</v>
      </c>
      <c r="AC1458" t="s">
        <v>97</v>
      </c>
      <c r="AD1458" t="s">
        <v>1818</v>
      </c>
      <c r="AG1458" t="s">
        <v>2068</v>
      </c>
      <c r="AH1458">
        <v>0</v>
      </c>
      <c r="AI1458">
        <v>0</v>
      </c>
      <c r="AJ1458">
        <v>0</v>
      </c>
      <c r="AK1458">
        <v>24</v>
      </c>
      <c r="AL1458">
        <v>0.67</v>
      </c>
    </row>
    <row r="1459" spans="1:38" x14ac:dyDescent="0.3">
      <c r="A1459" t="s">
        <v>1813</v>
      </c>
      <c r="B1459">
        <v>104594</v>
      </c>
      <c r="C1459">
        <v>3</v>
      </c>
      <c r="D1459" t="s">
        <v>374</v>
      </c>
      <c r="E1459" t="s">
        <v>2065</v>
      </c>
      <c r="F1459">
        <v>36</v>
      </c>
      <c r="G1459">
        <v>12.08</v>
      </c>
      <c r="H1459">
        <v>39.96</v>
      </c>
      <c r="I1459">
        <v>10.65</v>
      </c>
      <c r="J1459">
        <v>35.21</v>
      </c>
      <c r="K1459">
        <v>4</v>
      </c>
      <c r="T1459">
        <v>1</v>
      </c>
      <c r="U1459">
        <v>1</v>
      </c>
      <c r="V1459" t="s">
        <v>211</v>
      </c>
      <c r="W1459" t="s">
        <v>1890</v>
      </c>
      <c r="X1459">
        <v>6</v>
      </c>
      <c r="Y1459">
        <v>3</v>
      </c>
      <c r="Z1459" t="s">
        <v>2066</v>
      </c>
      <c r="AA1459" t="s">
        <v>2067</v>
      </c>
      <c r="AB1459" t="s">
        <v>96</v>
      </c>
      <c r="AC1459" t="s">
        <v>97</v>
      </c>
      <c r="AD1459" t="s">
        <v>1818</v>
      </c>
      <c r="AG1459" t="s">
        <v>2068</v>
      </c>
      <c r="AH1459">
        <v>0</v>
      </c>
      <c r="AI1459">
        <v>0</v>
      </c>
      <c r="AJ1459">
        <v>0</v>
      </c>
      <c r="AK1459">
        <v>24</v>
      </c>
      <c r="AL1459">
        <v>0.67</v>
      </c>
    </row>
    <row r="1460" spans="1:38" x14ac:dyDescent="0.3">
      <c r="A1460" t="s">
        <v>1813</v>
      </c>
      <c r="B1460">
        <v>104594</v>
      </c>
      <c r="C1460">
        <v>4</v>
      </c>
      <c r="D1460" t="s">
        <v>374</v>
      </c>
      <c r="E1460" t="s">
        <v>2065</v>
      </c>
      <c r="F1460">
        <v>36</v>
      </c>
      <c r="G1460">
        <v>11.98</v>
      </c>
      <c r="H1460">
        <v>39.61</v>
      </c>
      <c r="I1460">
        <v>10.52</v>
      </c>
      <c r="J1460">
        <v>34.79</v>
      </c>
      <c r="K1460">
        <v>1</v>
      </c>
      <c r="T1460">
        <v>1</v>
      </c>
      <c r="U1460">
        <v>1</v>
      </c>
      <c r="V1460" t="s">
        <v>211</v>
      </c>
      <c r="W1460" t="s">
        <v>2069</v>
      </c>
      <c r="X1460">
        <v>6</v>
      </c>
      <c r="Y1460">
        <v>3</v>
      </c>
      <c r="Z1460" t="s">
        <v>2066</v>
      </c>
      <c r="AA1460" t="s">
        <v>2067</v>
      </c>
      <c r="AB1460" t="s">
        <v>96</v>
      </c>
      <c r="AC1460" t="s">
        <v>97</v>
      </c>
      <c r="AD1460" t="s">
        <v>1818</v>
      </c>
      <c r="AG1460" t="s">
        <v>2068</v>
      </c>
      <c r="AH1460">
        <v>0</v>
      </c>
      <c r="AI1460">
        <v>0</v>
      </c>
      <c r="AJ1460">
        <v>0</v>
      </c>
      <c r="AK1460">
        <v>24</v>
      </c>
      <c r="AL1460">
        <v>0.67</v>
      </c>
    </row>
    <row r="1461" spans="1:38" x14ac:dyDescent="0.3">
      <c r="A1461" t="s">
        <v>1813</v>
      </c>
      <c r="B1461">
        <v>104594</v>
      </c>
      <c r="C1461">
        <v>5</v>
      </c>
      <c r="D1461" t="s">
        <v>374</v>
      </c>
      <c r="E1461" t="s">
        <v>2065</v>
      </c>
      <c r="F1461">
        <v>36</v>
      </c>
      <c r="G1461">
        <v>12.49</v>
      </c>
      <c r="H1461">
        <v>41.3</v>
      </c>
      <c r="I1461">
        <v>10.97</v>
      </c>
      <c r="J1461">
        <v>36.29</v>
      </c>
      <c r="K1461">
        <v>1</v>
      </c>
      <c r="T1461">
        <v>1</v>
      </c>
      <c r="U1461">
        <v>1</v>
      </c>
      <c r="V1461" t="s">
        <v>211</v>
      </c>
      <c r="W1461" t="s">
        <v>2070</v>
      </c>
      <c r="X1461">
        <v>6</v>
      </c>
      <c r="Y1461">
        <v>3</v>
      </c>
      <c r="Z1461" t="s">
        <v>2066</v>
      </c>
      <c r="AA1461" t="s">
        <v>2067</v>
      </c>
      <c r="AB1461" t="s">
        <v>96</v>
      </c>
      <c r="AC1461" t="s">
        <v>97</v>
      </c>
      <c r="AD1461" t="s">
        <v>1818</v>
      </c>
      <c r="AG1461" t="s">
        <v>2068</v>
      </c>
      <c r="AH1461">
        <v>0</v>
      </c>
      <c r="AI1461">
        <v>0</v>
      </c>
      <c r="AJ1461">
        <v>0</v>
      </c>
      <c r="AK1461">
        <v>24</v>
      </c>
      <c r="AL1461">
        <v>0.67</v>
      </c>
    </row>
    <row r="1462" spans="1:38" x14ac:dyDescent="0.3">
      <c r="A1462" t="s">
        <v>1813</v>
      </c>
      <c r="B1462">
        <v>104594</v>
      </c>
      <c r="C1462">
        <v>6</v>
      </c>
      <c r="D1462" t="s">
        <v>374</v>
      </c>
      <c r="E1462" t="s">
        <v>2065</v>
      </c>
      <c r="F1462">
        <v>36</v>
      </c>
      <c r="G1462">
        <v>14.23</v>
      </c>
      <c r="H1462">
        <v>47.05</v>
      </c>
      <c r="I1462">
        <v>12.54</v>
      </c>
      <c r="J1462">
        <v>41.46</v>
      </c>
      <c r="K1462">
        <v>2</v>
      </c>
      <c r="T1462">
        <v>1</v>
      </c>
      <c r="U1462">
        <v>1</v>
      </c>
      <c r="V1462" t="s">
        <v>211</v>
      </c>
      <c r="W1462" t="s">
        <v>2071</v>
      </c>
      <c r="X1462">
        <v>6</v>
      </c>
      <c r="Y1462">
        <v>3</v>
      </c>
      <c r="Z1462" t="s">
        <v>2066</v>
      </c>
      <c r="AA1462" t="s">
        <v>2067</v>
      </c>
      <c r="AB1462" t="s">
        <v>96</v>
      </c>
      <c r="AC1462" t="s">
        <v>97</v>
      </c>
      <c r="AD1462" t="s">
        <v>1818</v>
      </c>
      <c r="AG1462" t="s">
        <v>2068</v>
      </c>
      <c r="AH1462">
        <v>0</v>
      </c>
      <c r="AI1462">
        <v>0</v>
      </c>
      <c r="AJ1462">
        <v>0</v>
      </c>
      <c r="AK1462">
        <v>24</v>
      </c>
      <c r="AL1462">
        <v>0.67</v>
      </c>
    </row>
    <row r="1463" spans="1:38" x14ac:dyDescent="0.3">
      <c r="A1463" t="s">
        <v>1813</v>
      </c>
      <c r="B1463">
        <v>104594</v>
      </c>
      <c r="C1463">
        <v>7</v>
      </c>
      <c r="D1463" t="s">
        <v>374</v>
      </c>
      <c r="E1463" t="s">
        <v>2065</v>
      </c>
      <c r="F1463">
        <v>36</v>
      </c>
      <c r="G1463">
        <v>14.27</v>
      </c>
      <c r="H1463">
        <v>47.18</v>
      </c>
      <c r="I1463">
        <v>12.54</v>
      </c>
      <c r="J1463">
        <v>41.46</v>
      </c>
      <c r="K1463">
        <v>2</v>
      </c>
      <c r="T1463">
        <v>1</v>
      </c>
      <c r="U1463">
        <v>1</v>
      </c>
      <c r="V1463" t="s">
        <v>211</v>
      </c>
      <c r="W1463" t="s">
        <v>2072</v>
      </c>
      <c r="X1463">
        <v>6</v>
      </c>
      <c r="Y1463">
        <v>3</v>
      </c>
      <c r="Z1463" t="s">
        <v>2066</v>
      </c>
      <c r="AA1463" t="s">
        <v>2067</v>
      </c>
      <c r="AB1463" t="s">
        <v>96</v>
      </c>
      <c r="AC1463" t="s">
        <v>97</v>
      </c>
      <c r="AD1463" t="s">
        <v>1818</v>
      </c>
      <c r="AG1463" t="s">
        <v>2068</v>
      </c>
      <c r="AH1463">
        <v>0</v>
      </c>
      <c r="AI1463">
        <v>0</v>
      </c>
      <c r="AJ1463">
        <v>0</v>
      </c>
      <c r="AK1463">
        <v>24</v>
      </c>
      <c r="AL1463">
        <v>0.67</v>
      </c>
    </row>
    <row r="1464" spans="1:38" x14ac:dyDescent="0.3">
      <c r="A1464" t="s">
        <v>1813</v>
      </c>
      <c r="B1464">
        <v>104594</v>
      </c>
      <c r="C1464">
        <v>8</v>
      </c>
      <c r="D1464" t="s">
        <v>374</v>
      </c>
      <c r="E1464" t="s">
        <v>2065</v>
      </c>
      <c r="F1464">
        <v>36</v>
      </c>
      <c r="G1464">
        <v>14.23</v>
      </c>
      <c r="H1464">
        <v>47.06</v>
      </c>
      <c r="I1464">
        <v>12.54</v>
      </c>
      <c r="J1464">
        <v>41.46</v>
      </c>
      <c r="K1464">
        <v>2</v>
      </c>
      <c r="T1464">
        <v>1</v>
      </c>
      <c r="U1464">
        <v>1</v>
      </c>
      <c r="V1464" t="s">
        <v>211</v>
      </c>
      <c r="W1464" t="s">
        <v>2073</v>
      </c>
      <c r="X1464">
        <v>6</v>
      </c>
      <c r="Y1464">
        <v>3</v>
      </c>
      <c r="Z1464" t="s">
        <v>2066</v>
      </c>
      <c r="AA1464" t="s">
        <v>2067</v>
      </c>
      <c r="AB1464" t="s">
        <v>96</v>
      </c>
      <c r="AC1464" t="s">
        <v>97</v>
      </c>
      <c r="AD1464" t="s">
        <v>1818</v>
      </c>
      <c r="AG1464" t="s">
        <v>2068</v>
      </c>
      <c r="AH1464">
        <v>0</v>
      </c>
      <c r="AI1464">
        <v>0</v>
      </c>
      <c r="AJ1464">
        <v>0</v>
      </c>
      <c r="AK1464">
        <v>24</v>
      </c>
      <c r="AL1464">
        <v>0.67</v>
      </c>
    </row>
    <row r="1465" spans="1:38" x14ac:dyDescent="0.3">
      <c r="A1465" t="s">
        <v>1813</v>
      </c>
      <c r="B1465">
        <v>104594</v>
      </c>
      <c r="C1465">
        <v>9</v>
      </c>
      <c r="D1465" t="s">
        <v>374</v>
      </c>
      <c r="E1465" t="s">
        <v>2065</v>
      </c>
      <c r="F1465">
        <v>36</v>
      </c>
      <c r="G1465">
        <v>15.27</v>
      </c>
      <c r="H1465">
        <v>50.51</v>
      </c>
      <c r="I1465">
        <v>13.42</v>
      </c>
      <c r="J1465">
        <v>44.39</v>
      </c>
      <c r="K1465">
        <v>1</v>
      </c>
      <c r="T1465">
        <v>2</v>
      </c>
      <c r="U1465">
        <v>1</v>
      </c>
      <c r="V1465" t="s">
        <v>211</v>
      </c>
      <c r="W1465">
        <v>50</v>
      </c>
      <c r="X1465">
        <v>6</v>
      </c>
      <c r="Y1465">
        <v>3</v>
      </c>
      <c r="Z1465" t="s">
        <v>2066</v>
      </c>
      <c r="AA1465" t="s">
        <v>2067</v>
      </c>
      <c r="AB1465" t="s">
        <v>96</v>
      </c>
      <c r="AC1465" t="s">
        <v>97</v>
      </c>
      <c r="AD1465" t="s">
        <v>1818</v>
      </c>
      <c r="AG1465" t="s">
        <v>2068</v>
      </c>
      <c r="AH1465">
        <v>0</v>
      </c>
      <c r="AI1465">
        <v>0</v>
      </c>
      <c r="AJ1465">
        <v>0</v>
      </c>
      <c r="AK1465">
        <v>24</v>
      </c>
      <c r="AL1465">
        <v>0.67</v>
      </c>
    </row>
    <row r="1466" spans="1:38" x14ac:dyDescent="0.3">
      <c r="A1466" t="s">
        <v>1813</v>
      </c>
      <c r="B1466">
        <v>104594</v>
      </c>
      <c r="C1466">
        <v>10</v>
      </c>
      <c r="D1466" t="s">
        <v>374</v>
      </c>
      <c r="E1466" t="s">
        <v>2065</v>
      </c>
      <c r="F1466">
        <v>36</v>
      </c>
      <c r="G1466">
        <v>16.309999999999999</v>
      </c>
      <c r="H1466">
        <v>53.92</v>
      </c>
      <c r="I1466">
        <v>14.37</v>
      </c>
      <c r="J1466">
        <v>47.51</v>
      </c>
      <c r="K1466">
        <v>4</v>
      </c>
      <c r="T1466">
        <v>2</v>
      </c>
      <c r="U1466">
        <v>1</v>
      </c>
      <c r="V1466" t="s">
        <v>211</v>
      </c>
      <c r="W1466" t="s">
        <v>1269</v>
      </c>
      <c r="X1466">
        <v>6</v>
      </c>
      <c r="Y1466">
        <v>3</v>
      </c>
      <c r="Z1466" t="s">
        <v>2066</v>
      </c>
      <c r="AA1466" t="s">
        <v>2067</v>
      </c>
      <c r="AB1466" t="s">
        <v>96</v>
      </c>
      <c r="AC1466" t="s">
        <v>97</v>
      </c>
      <c r="AD1466" t="s">
        <v>1818</v>
      </c>
      <c r="AG1466" t="s">
        <v>2068</v>
      </c>
      <c r="AH1466">
        <v>0</v>
      </c>
      <c r="AI1466">
        <v>0</v>
      </c>
      <c r="AJ1466">
        <v>0</v>
      </c>
      <c r="AK1466">
        <v>24</v>
      </c>
      <c r="AL1466">
        <v>0.67</v>
      </c>
    </row>
    <row r="1467" spans="1:38" x14ac:dyDescent="0.3">
      <c r="A1467" t="s">
        <v>1813</v>
      </c>
      <c r="B1467">
        <v>104594</v>
      </c>
      <c r="C1467">
        <v>11</v>
      </c>
      <c r="D1467" t="s">
        <v>374</v>
      </c>
      <c r="E1467" t="s">
        <v>2065</v>
      </c>
      <c r="F1467">
        <v>36</v>
      </c>
      <c r="G1467">
        <v>16.350000000000001</v>
      </c>
      <c r="H1467">
        <v>54.06</v>
      </c>
      <c r="I1467">
        <v>14.37</v>
      </c>
      <c r="J1467">
        <v>47.51</v>
      </c>
      <c r="K1467">
        <v>1</v>
      </c>
      <c r="T1467">
        <v>2</v>
      </c>
      <c r="U1467">
        <v>1</v>
      </c>
      <c r="V1467" t="s">
        <v>211</v>
      </c>
      <c r="W1467" t="s">
        <v>2074</v>
      </c>
      <c r="X1467">
        <v>6</v>
      </c>
      <c r="Y1467">
        <v>3</v>
      </c>
      <c r="Z1467" t="s">
        <v>2066</v>
      </c>
      <c r="AA1467" t="s">
        <v>2067</v>
      </c>
      <c r="AB1467" t="s">
        <v>96</v>
      </c>
      <c r="AC1467" t="s">
        <v>97</v>
      </c>
      <c r="AD1467" t="s">
        <v>1818</v>
      </c>
      <c r="AG1467" t="s">
        <v>2068</v>
      </c>
      <c r="AH1467">
        <v>0</v>
      </c>
      <c r="AI1467">
        <v>0</v>
      </c>
      <c r="AJ1467">
        <v>0</v>
      </c>
      <c r="AK1467">
        <v>24</v>
      </c>
      <c r="AL1467">
        <v>0.67</v>
      </c>
    </row>
    <row r="1468" spans="1:38" x14ac:dyDescent="0.3">
      <c r="A1468" t="s">
        <v>1813</v>
      </c>
      <c r="B1468">
        <v>104594</v>
      </c>
      <c r="C1468">
        <v>12</v>
      </c>
      <c r="D1468" t="s">
        <v>374</v>
      </c>
      <c r="E1468" t="s">
        <v>2065</v>
      </c>
      <c r="F1468">
        <v>36</v>
      </c>
      <c r="G1468">
        <v>17.27</v>
      </c>
      <c r="H1468">
        <v>57.12</v>
      </c>
      <c r="I1468">
        <v>15.22</v>
      </c>
      <c r="J1468">
        <v>50.33</v>
      </c>
      <c r="K1468">
        <v>4</v>
      </c>
      <c r="T1468">
        <v>2</v>
      </c>
      <c r="U1468">
        <v>1</v>
      </c>
      <c r="V1468" t="s">
        <v>211</v>
      </c>
      <c r="W1468" t="s">
        <v>353</v>
      </c>
      <c r="X1468">
        <v>6</v>
      </c>
      <c r="Y1468">
        <v>3</v>
      </c>
      <c r="Z1468" t="s">
        <v>2066</v>
      </c>
      <c r="AA1468" t="s">
        <v>2067</v>
      </c>
      <c r="AB1468" t="s">
        <v>96</v>
      </c>
      <c r="AC1468" t="s">
        <v>97</v>
      </c>
      <c r="AD1468" t="s">
        <v>1818</v>
      </c>
      <c r="AG1468" t="s">
        <v>2068</v>
      </c>
      <c r="AH1468">
        <v>0</v>
      </c>
      <c r="AI1468">
        <v>0</v>
      </c>
      <c r="AJ1468">
        <v>0</v>
      </c>
      <c r="AK1468">
        <v>24</v>
      </c>
      <c r="AL1468">
        <v>0.67</v>
      </c>
    </row>
    <row r="1469" spans="1:38" x14ac:dyDescent="0.3">
      <c r="A1469" t="s">
        <v>1813</v>
      </c>
      <c r="B1469">
        <v>104594</v>
      </c>
      <c r="C1469">
        <v>13</v>
      </c>
      <c r="D1469" t="s">
        <v>374</v>
      </c>
      <c r="E1469" t="s">
        <v>2065</v>
      </c>
      <c r="F1469">
        <v>36</v>
      </c>
      <c r="G1469">
        <v>17.32</v>
      </c>
      <c r="H1469">
        <v>57.27</v>
      </c>
      <c r="I1469">
        <v>15.22</v>
      </c>
      <c r="J1469">
        <v>50.33</v>
      </c>
      <c r="K1469">
        <v>2</v>
      </c>
      <c r="T1469">
        <v>2</v>
      </c>
      <c r="U1469">
        <v>1</v>
      </c>
      <c r="V1469" t="s">
        <v>211</v>
      </c>
      <c r="W1469" t="s">
        <v>349</v>
      </c>
      <c r="X1469">
        <v>6</v>
      </c>
      <c r="Y1469">
        <v>3</v>
      </c>
      <c r="Z1469" t="s">
        <v>2066</v>
      </c>
      <c r="AA1469" t="s">
        <v>2067</v>
      </c>
      <c r="AB1469" t="s">
        <v>96</v>
      </c>
      <c r="AC1469" t="s">
        <v>97</v>
      </c>
      <c r="AD1469" t="s">
        <v>1818</v>
      </c>
      <c r="AG1469" t="s">
        <v>2068</v>
      </c>
      <c r="AH1469">
        <v>0</v>
      </c>
      <c r="AI1469">
        <v>0</v>
      </c>
      <c r="AJ1469">
        <v>0</v>
      </c>
      <c r="AK1469">
        <v>24</v>
      </c>
      <c r="AL1469">
        <v>0.67</v>
      </c>
    </row>
    <row r="1470" spans="1:38" x14ac:dyDescent="0.3">
      <c r="A1470" t="s">
        <v>1813</v>
      </c>
      <c r="B1470">
        <v>104594</v>
      </c>
      <c r="C1470">
        <v>14</v>
      </c>
      <c r="D1470" t="s">
        <v>374</v>
      </c>
      <c r="E1470" t="s">
        <v>2065</v>
      </c>
      <c r="F1470">
        <v>36</v>
      </c>
      <c r="G1470">
        <v>19.3</v>
      </c>
      <c r="H1470">
        <v>63.82</v>
      </c>
      <c r="I1470">
        <v>16.96</v>
      </c>
      <c r="J1470">
        <v>56.09</v>
      </c>
      <c r="K1470">
        <v>1</v>
      </c>
      <c r="T1470">
        <v>2</v>
      </c>
      <c r="U1470">
        <v>1</v>
      </c>
      <c r="V1470" t="s">
        <v>211</v>
      </c>
      <c r="W1470">
        <v>63</v>
      </c>
      <c r="X1470">
        <v>6</v>
      </c>
      <c r="Y1470">
        <v>3</v>
      </c>
      <c r="Z1470" t="s">
        <v>2066</v>
      </c>
      <c r="AA1470" t="s">
        <v>2067</v>
      </c>
      <c r="AB1470" t="s">
        <v>96</v>
      </c>
      <c r="AC1470" t="s">
        <v>97</v>
      </c>
      <c r="AD1470" t="s">
        <v>1818</v>
      </c>
      <c r="AG1470" t="s">
        <v>2068</v>
      </c>
      <c r="AH1470">
        <v>0</v>
      </c>
      <c r="AI1470">
        <v>0</v>
      </c>
      <c r="AJ1470">
        <v>0</v>
      </c>
      <c r="AK1470">
        <v>24</v>
      </c>
      <c r="AL1470">
        <v>0.67</v>
      </c>
    </row>
    <row r="1471" spans="1:38" x14ac:dyDescent="0.3">
      <c r="A1471" t="s">
        <v>1813</v>
      </c>
      <c r="B1471">
        <v>104594</v>
      </c>
      <c r="C1471">
        <v>15</v>
      </c>
      <c r="D1471" t="s">
        <v>374</v>
      </c>
      <c r="E1471" t="s">
        <v>2065</v>
      </c>
      <c r="F1471">
        <v>36</v>
      </c>
      <c r="G1471">
        <v>20.32</v>
      </c>
      <c r="H1471">
        <v>67.2</v>
      </c>
      <c r="I1471">
        <v>17.91</v>
      </c>
      <c r="J1471">
        <v>59.21</v>
      </c>
      <c r="K1471">
        <v>4</v>
      </c>
      <c r="T1471">
        <v>2</v>
      </c>
      <c r="U1471">
        <v>1</v>
      </c>
      <c r="V1471" t="s">
        <v>211</v>
      </c>
      <c r="W1471" t="s">
        <v>395</v>
      </c>
      <c r="X1471">
        <v>6</v>
      </c>
      <c r="Y1471">
        <v>3</v>
      </c>
      <c r="Z1471" t="s">
        <v>2066</v>
      </c>
      <c r="AA1471" t="s">
        <v>2067</v>
      </c>
      <c r="AB1471" t="s">
        <v>96</v>
      </c>
      <c r="AC1471" t="s">
        <v>97</v>
      </c>
      <c r="AD1471" t="s">
        <v>1818</v>
      </c>
      <c r="AG1471" t="s">
        <v>2068</v>
      </c>
      <c r="AH1471">
        <v>0</v>
      </c>
      <c r="AI1471">
        <v>0</v>
      </c>
      <c r="AJ1471">
        <v>0</v>
      </c>
      <c r="AK1471">
        <v>24</v>
      </c>
      <c r="AL1471">
        <v>0.67</v>
      </c>
    </row>
    <row r="1472" spans="1:38" x14ac:dyDescent="0.3">
      <c r="A1472" t="s">
        <v>1813</v>
      </c>
      <c r="B1472">
        <v>104594</v>
      </c>
      <c r="C1472">
        <v>16</v>
      </c>
      <c r="D1472" t="s">
        <v>374</v>
      </c>
      <c r="E1472" t="s">
        <v>2065</v>
      </c>
      <c r="F1472">
        <v>36</v>
      </c>
      <c r="G1472">
        <v>20.38</v>
      </c>
      <c r="H1472">
        <v>67.38</v>
      </c>
      <c r="I1472">
        <v>17.91</v>
      </c>
      <c r="J1472">
        <v>59.21</v>
      </c>
      <c r="K1472">
        <v>1</v>
      </c>
      <c r="T1472">
        <v>2</v>
      </c>
      <c r="U1472">
        <v>1</v>
      </c>
      <c r="V1472" t="s">
        <v>211</v>
      </c>
      <c r="W1472" t="s">
        <v>858</v>
      </c>
      <c r="X1472">
        <v>6</v>
      </c>
      <c r="Y1472">
        <v>3</v>
      </c>
      <c r="Z1472" t="s">
        <v>2066</v>
      </c>
      <c r="AA1472" t="s">
        <v>2067</v>
      </c>
      <c r="AB1472" t="s">
        <v>96</v>
      </c>
      <c r="AC1472" t="s">
        <v>97</v>
      </c>
      <c r="AD1472" t="s">
        <v>1818</v>
      </c>
      <c r="AG1472" t="s">
        <v>2068</v>
      </c>
      <c r="AH1472">
        <v>0</v>
      </c>
      <c r="AI1472">
        <v>0</v>
      </c>
      <c r="AJ1472">
        <v>0</v>
      </c>
      <c r="AK1472">
        <v>24</v>
      </c>
      <c r="AL1472">
        <v>0.67</v>
      </c>
    </row>
    <row r="1473" spans="1:38" x14ac:dyDescent="0.3">
      <c r="A1473" t="s">
        <v>1813</v>
      </c>
      <c r="B1473">
        <v>103194</v>
      </c>
      <c r="C1473">
        <v>1</v>
      </c>
      <c r="D1473" t="s">
        <v>2075</v>
      </c>
      <c r="E1473" t="s">
        <v>138</v>
      </c>
      <c r="F1473">
        <v>129</v>
      </c>
      <c r="G1473">
        <v>6.42</v>
      </c>
      <c r="H1473">
        <v>21.25</v>
      </c>
      <c r="I1473">
        <v>4.05</v>
      </c>
      <c r="J1473">
        <v>13.39</v>
      </c>
      <c r="K1473">
        <v>1</v>
      </c>
      <c r="T1473">
        <v>1</v>
      </c>
      <c r="U1473">
        <v>1</v>
      </c>
      <c r="V1473" t="s">
        <v>132</v>
      </c>
      <c r="W1473" t="s">
        <v>2076</v>
      </c>
      <c r="X1473">
        <v>15</v>
      </c>
      <c r="Y1473">
        <v>7</v>
      </c>
      <c r="Z1473" t="s">
        <v>2077</v>
      </c>
      <c r="AA1473" t="s">
        <v>2078</v>
      </c>
      <c r="AB1473" t="s">
        <v>96</v>
      </c>
      <c r="AC1473" t="s">
        <v>97</v>
      </c>
      <c r="AD1473" t="s">
        <v>1818</v>
      </c>
      <c r="AG1473" t="s">
        <v>2079</v>
      </c>
      <c r="AH1473">
        <v>0</v>
      </c>
      <c r="AI1473">
        <v>674</v>
      </c>
      <c r="AJ1473">
        <v>78</v>
      </c>
      <c r="AK1473">
        <v>0</v>
      </c>
      <c r="AL1473">
        <v>0</v>
      </c>
    </row>
    <row r="1474" spans="1:38" x14ac:dyDescent="0.3">
      <c r="A1474" t="s">
        <v>1813</v>
      </c>
      <c r="B1474">
        <v>103194</v>
      </c>
      <c r="C1474">
        <v>2</v>
      </c>
      <c r="D1474" t="s">
        <v>2075</v>
      </c>
      <c r="E1474" t="s">
        <v>138</v>
      </c>
      <c r="F1474">
        <v>129</v>
      </c>
      <c r="G1474">
        <v>6.94</v>
      </c>
      <c r="H1474">
        <v>22.96</v>
      </c>
      <c r="I1474">
        <v>4.4800000000000004</v>
      </c>
      <c r="J1474">
        <v>14.83</v>
      </c>
      <c r="K1474">
        <v>5</v>
      </c>
      <c r="T1474">
        <v>1</v>
      </c>
      <c r="U1474">
        <v>1</v>
      </c>
      <c r="V1474" t="s">
        <v>132</v>
      </c>
      <c r="W1474" t="s">
        <v>2080</v>
      </c>
      <c r="X1474">
        <v>15</v>
      </c>
      <c r="Y1474">
        <v>7</v>
      </c>
      <c r="Z1474" t="s">
        <v>2077</v>
      </c>
      <c r="AA1474" t="s">
        <v>2078</v>
      </c>
      <c r="AB1474" t="s">
        <v>96</v>
      </c>
      <c r="AC1474" t="s">
        <v>97</v>
      </c>
      <c r="AD1474" t="s">
        <v>1818</v>
      </c>
      <c r="AG1474" t="s">
        <v>2079</v>
      </c>
      <c r="AH1474">
        <v>0</v>
      </c>
      <c r="AI1474">
        <v>674</v>
      </c>
      <c r="AJ1474">
        <v>78</v>
      </c>
      <c r="AK1474">
        <v>0</v>
      </c>
      <c r="AL1474">
        <v>0</v>
      </c>
    </row>
    <row r="1475" spans="1:38" x14ac:dyDescent="0.3">
      <c r="A1475" t="s">
        <v>1813</v>
      </c>
      <c r="B1475">
        <v>103194</v>
      </c>
      <c r="C1475">
        <v>3</v>
      </c>
      <c r="D1475" t="s">
        <v>2075</v>
      </c>
      <c r="E1475" t="s">
        <v>138</v>
      </c>
      <c r="F1475">
        <v>129</v>
      </c>
      <c r="G1475">
        <v>6.76</v>
      </c>
      <c r="H1475">
        <v>22.38</v>
      </c>
      <c r="I1475">
        <v>4.3600000000000003</v>
      </c>
      <c r="J1475">
        <v>14.43</v>
      </c>
      <c r="K1475">
        <v>2</v>
      </c>
      <c r="T1475">
        <v>1</v>
      </c>
      <c r="U1475">
        <v>1</v>
      </c>
      <c r="V1475" t="s">
        <v>132</v>
      </c>
      <c r="W1475" t="s">
        <v>2081</v>
      </c>
      <c r="X1475">
        <v>15</v>
      </c>
      <c r="Y1475">
        <v>7</v>
      </c>
      <c r="Z1475" t="s">
        <v>2077</v>
      </c>
      <c r="AA1475" t="s">
        <v>2078</v>
      </c>
      <c r="AB1475" t="s">
        <v>96</v>
      </c>
      <c r="AC1475" t="s">
        <v>97</v>
      </c>
      <c r="AD1475" t="s">
        <v>1818</v>
      </c>
      <c r="AG1475" t="s">
        <v>2079</v>
      </c>
      <c r="AH1475">
        <v>0</v>
      </c>
      <c r="AI1475">
        <v>674</v>
      </c>
      <c r="AJ1475">
        <v>78</v>
      </c>
      <c r="AK1475">
        <v>0</v>
      </c>
      <c r="AL1475">
        <v>0</v>
      </c>
    </row>
    <row r="1476" spans="1:38" x14ac:dyDescent="0.3">
      <c r="A1476" t="s">
        <v>1813</v>
      </c>
      <c r="B1476">
        <v>103194</v>
      </c>
      <c r="C1476">
        <v>4</v>
      </c>
      <c r="D1476" t="s">
        <v>2075</v>
      </c>
      <c r="E1476" t="s">
        <v>138</v>
      </c>
      <c r="F1476">
        <v>129</v>
      </c>
      <c r="G1476">
        <v>7.33</v>
      </c>
      <c r="H1476">
        <v>24.24</v>
      </c>
      <c r="I1476">
        <v>4.6500000000000004</v>
      </c>
      <c r="J1476">
        <v>15.4</v>
      </c>
      <c r="K1476">
        <v>1</v>
      </c>
      <c r="T1476">
        <v>1</v>
      </c>
      <c r="U1476">
        <v>1</v>
      </c>
      <c r="V1476" t="s">
        <v>132</v>
      </c>
      <c r="W1476" t="s">
        <v>2082</v>
      </c>
      <c r="X1476">
        <v>15</v>
      </c>
      <c r="Y1476">
        <v>7</v>
      </c>
      <c r="Z1476" t="s">
        <v>2077</v>
      </c>
      <c r="AA1476" t="s">
        <v>2078</v>
      </c>
      <c r="AB1476" t="s">
        <v>96</v>
      </c>
      <c r="AC1476" t="s">
        <v>97</v>
      </c>
      <c r="AD1476" t="s">
        <v>1818</v>
      </c>
      <c r="AG1476" t="s">
        <v>2079</v>
      </c>
      <c r="AH1476">
        <v>0</v>
      </c>
      <c r="AI1476">
        <v>674</v>
      </c>
      <c r="AJ1476">
        <v>78</v>
      </c>
      <c r="AK1476">
        <v>0</v>
      </c>
      <c r="AL1476">
        <v>0</v>
      </c>
    </row>
    <row r="1477" spans="1:38" x14ac:dyDescent="0.3">
      <c r="A1477" t="s">
        <v>1813</v>
      </c>
      <c r="B1477">
        <v>103194</v>
      </c>
      <c r="C1477">
        <v>5</v>
      </c>
      <c r="D1477" t="s">
        <v>2075</v>
      </c>
      <c r="E1477" t="s">
        <v>138</v>
      </c>
      <c r="F1477">
        <v>129</v>
      </c>
      <c r="G1477">
        <v>7.47</v>
      </c>
      <c r="H1477">
        <v>24.7</v>
      </c>
      <c r="I1477">
        <v>4.7699999999999996</v>
      </c>
      <c r="J1477">
        <v>15.79</v>
      </c>
      <c r="K1477">
        <v>1</v>
      </c>
      <c r="T1477">
        <v>1</v>
      </c>
      <c r="U1477">
        <v>1</v>
      </c>
      <c r="V1477" t="s">
        <v>132</v>
      </c>
      <c r="W1477" t="s">
        <v>2083</v>
      </c>
      <c r="X1477">
        <v>15</v>
      </c>
      <c r="Y1477">
        <v>7</v>
      </c>
      <c r="Z1477" t="s">
        <v>2077</v>
      </c>
      <c r="AA1477" t="s">
        <v>2078</v>
      </c>
      <c r="AB1477" t="s">
        <v>96</v>
      </c>
      <c r="AC1477" t="s">
        <v>97</v>
      </c>
      <c r="AD1477" t="s">
        <v>1818</v>
      </c>
      <c r="AG1477" t="s">
        <v>2079</v>
      </c>
      <c r="AH1477">
        <v>0</v>
      </c>
      <c r="AI1477">
        <v>674</v>
      </c>
      <c r="AJ1477">
        <v>78</v>
      </c>
      <c r="AK1477">
        <v>0</v>
      </c>
      <c r="AL1477">
        <v>0</v>
      </c>
    </row>
    <row r="1478" spans="1:38" x14ac:dyDescent="0.3">
      <c r="A1478" t="s">
        <v>1813</v>
      </c>
      <c r="B1478">
        <v>103194</v>
      </c>
      <c r="C1478">
        <v>6</v>
      </c>
      <c r="D1478" t="s">
        <v>2075</v>
      </c>
      <c r="E1478" t="s">
        <v>138</v>
      </c>
      <c r="F1478">
        <v>129</v>
      </c>
      <c r="G1478">
        <v>7.78</v>
      </c>
      <c r="H1478">
        <v>25.75</v>
      </c>
      <c r="I1478">
        <v>5.0199999999999996</v>
      </c>
      <c r="J1478">
        <v>16.600000000000001</v>
      </c>
      <c r="K1478">
        <v>8</v>
      </c>
      <c r="T1478">
        <v>1</v>
      </c>
      <c r="U1478">
        <v>1</v>
      </c>
      <c r="V1478" t="s">
        <v>132</v>
      </c>
      <c r="W1478" t="s">
        <v>2084</v>
      </c>
      <c r="X1478">
        <v>15</v>
      </c>
      <c r="Y1478">
        <v>7</v>
      </c>
      <c r="Z1478" t="s">
        <v>2077</v>
      </c>
      <c r="AA1478" t="s">
        <v>2078</v>
      </c>
      <c r="AB1478" t="s">
        <v>96</v>
      </c>
      <c r="AC1478" t="s">
        <v>97</v>
      </c>
      <c r="AD1478" t="s">
        <v>1818</v>
      </c>
      <c r="AG1478" t="s">
        <v>2079</v>
      </c>
      <c r="AH1478">
        <v>0</v>
      </c>
      <c r="AI1478">
        <v>674</v>
      </c>
      <c r="AJ1478">
        <v>78</v>
      </c>
      <c r="AK1478">
        <v>0</v>
      </c>
      <c r="AL1478">
        <v>0</v>
      </c>
    </row>
    <row r="1479" spans="1:38" x14ac:dyDescent="0.3">
      <c r="A1479" t="s">
        <v>1813</v>
      </c>
      <c r="B1479">
        <v>103194</v>
      </c>
      <c r="C1479">
        <v>7</v>
      </c>
      <c r="D1479" t="s">
        <v>2075</v>
      </c>
      <c r="E1479" t="s">
        <v>138</v>
      </c>
      <c r="F1479">
        <v>129</v>
      </c>
      <c r="G1479">
        <v>7.71</v>
      </c>
      <c r="H1479">
        <v>25.51</v>
      </c>
      <c r="I1479">
        <v>4.97</v>
      </c>
      <c r="J1479">
        <v>16.46</v>
      </c>
      <c r="K1479">
        <v>1</v>
      </c>
      <c r="T1479">
        <v>1</v>
      </c>
      <c r="U1479">
        <v>1</v>
      </c>
      <c r="V1479" t="s">
        <v>132</v>
      </c>
      <c r="W1479" t="s">
        <v>2085</v>
      </c>
      <c r="X1479">
        <v>15</v>
      </c>
      <c r="Y1479">
        <v>7</v>
      </c>
      <c r="Z1479" t="s">
        <v>2077</v>
      </c>
      <c r="AA1479" t="s">
        <v>2078</v>
      </c>
      <c r="AB1479" t="s">
        <v>96</v>
      </c>
      <c r="AC1479" t="s">
        <v>97</v>
      </c>
      <c r="AD1479" t="s">
        <v>1818</v>
      </c>
      <c r="AG1479" t="s">
        <v>2079</v>
      </c>
      <c r="AH1479">
        <v>0</v>
      </c>
      <c r="AI1479">
        <v>674</v>
      </c>
      <c r="AJ1479">
        <v>78</v>
      </c>
      <c r="AK1479">
        <v>0</v>
      </c>
      <c r="AL1479">
        <v>0</v>
      </c>
    </row>
    <row r="1480" spans="1:38" x14ac:dyDescent="0.3">
      <c r="A1480" t="s">
        <v>1813</v>
      </c>
      <c r="B1480">
        <v>103194</v>
      </c>
      <c r="C1480">
        <v>8</v>
      </c>
      <c r="D1480" t="s">
        <v>2075</v>
      </c>
      <c r="E1480" t="s">
        <v>138</v>
      </c>
      <c r="F1480">
        <v>129</v>
      </c>
      <c r="G1480">
        <v>7.78</v>
      </c>
      <c r="H1480">
        <v>25.75</v>
      </c>
      <c r="I1480">
        <v>5</v>
      </c>
      <c r="J1480">
        <v>16.559999999999999</v>
      </c>
      <c r="K1480">
        <v>1</v>
      </c>
      <c r="T1480">
        <v>1</v>
      </c>
      <c r="U1480">
        <v>1</v>
      </c>
      <c r="V1480" t="s">
        <v>132</v>
      </c>
      <c r="W1480" t="s">
        <v>2086</v>
      </c>
      <c r="X1480">
        <v>15</v>
      </c>
      <c r="Y1480">
        <v>7</v>
      </c>
      <c r="Z1480" t="s">
        <v>2077</v>
      </c>
      <c r="AA1480" t="s">
        <v>2078</v>
      </c>
      <c r="AB1480" t="s">
        <v>96</v>
      </c>
      <c r="AC1480" t="s">
        <v>97</v>
      </c>
      <c r="AD1480" t="s">
        <v>1818</v>
      </c>
      <c r="AG1480" t="s">
        <v>2079</v>
      </c>
      <c r="AH1480">
        <v>0</v>
      </c>
      <c r="AI1480">
        <v>674</v>
      </c>
      <c r="AJ1480">
        <v>78</v>
      </c>
      <c r="AK1480">
        <v>0</v>
      </c>
      <c r="AL1480">
        <v>0</v>
      </c>
    </row>
    <row r="1481" spans="1:38" x14ac:dyDescent="0.3">
      <c r="A1481" t="s">
        <v>1813</v>
      </c>
      <c r="B1481">
        <v>103194</v>
      </c>
      <c r="C1481">
        <v>9</v>
      </c>
      <c r="D1481" t="s">
        <v>2075</v>
      </c>
      <c r="E1481" t="s">
        <v>138</v>
      </c>
      <c r="F1481">
        <v>129</v>
      </c>
      <c r="G1481">
        <v>7.68</v>
      </c>
      <c r="H1481">
        <v>25.39</v>
      </c>
      <c r="I1481">
        <v>4.84</v>
      </c>
      <c r="J1481">
        <v>16.03</v>
      </c>
      <c r="K1481">
        <v>1</v>
      </c>
      <c r="T1481">
        <v>1</v>
      </c>
      <c r="U1481">
        <v>1</v>
      </c>
      <c r="V1481" t="s">
        <v>132</v>
      </c>
      <c r="W1481" t="s">
        <v>2087</v>
      </c>
      <c r="X1481">
        <v>15</v>
      </c>
      <c r="Y1481">
        <v>7</v>
      </c>
      <c r="Z1481" t="s">
        <v>2077</v>
      </c>
      <c r="AA1481" t="s">
        <v>2078</v>
      </c>
      <c r="AB1481" t="s">
        <v>96</v>
      </c>
      <c r="AC1481" t="s">
        <v>97</v>
      </c>
      <c r="AD1481" t="s">
        <v>1818</v>
      </c>
      <c r="AG1481" t="s">
        <v>2079</v>
      </c>
      <c r="AH1481">
        <v>0</v>
      </c>
      <c r="AI1481">
        <v>674</v>
      </c>
      <c r="AJ1481">
        <v>78</v>
      </c>
      <c r="AK1481">
        <v>0</v>
      </c>
      <c r="AL1481">
        <v>0</v>
      </c>
    </row>
    <row r="1482" spans="1:38" x14ac:dyDescent="0.3">
      <c r="A1482" t="s">
        <v>1813</v>
      </c>
      <c r="B1482">
        <v>103194</v>
      </c>
      <c r="C1482">
        <v>10</v>
      </c>
      <c r="D1482" t="s">
        <v>2075</v>
      </c>
      <c r="E1482" t="s">
        <v>138</v>
      </c>
      <c r="F1482">
        <v>129</v>
      </c>
      <c r="G1482">
        <v>7.79</v>
      </c>
      <c r="H1482">
        <v>25.78</v>
      </c>
      <c r="I1482">
        <v>4.9000000000000004</v>
      </c>
      <c r="J1482">
        <v>16.23</v>
      </c>
      <c r="K1482">
        <v>1</v>
      </c>
      <c r="T1482">
        <v>1</v>
      </c>
      <c r="U1482">
        <v>1</v>
      </c>
      <c r="V1482" t="s">
        <v>132</v>
      </c>
      <c r="W1482" t="s">
        <v>2088</v>
      </c>
      <c r="X1482">
        <v>15</v>
      </c>
      <c r="Y1482">
        <v>7</v>
      </c>
      <c r="Z1482" t="s">
        <v>2077</v>
      </c>
      <c r="AA1482" t="s">
        <v>2078</v>
      </c>
      <c r="AB1482" t="s">
        <v>96</v>
      </c>
      <c r="AC1482" t="s">
        <v>97</v>
      </c>
      <c r="AD1482" t="s">
        <v>1818</v>
      </c>
      <c r="AG1482" t="s">
        <v>2079</v>
      </c>
      <c r="AH1482">
        <v>0</v>
      </c>
      <c r="AI1482">
        <v>674</v>
      </c>
      <c r="AJ1482">
        <v>78</v>
      </c>
      <c r="AK1482">
        <v>0</v>
      </c>
      <c r="AL1482">
        <v>0</v>
      </c>
    </row>
    <row r="1483" spans="1:38" x14ac:dyDescent="0.3">
      <c r="A1483" t="s">
        <v>1813</v>
      </c>
      <c r="B1483">
        <v>103194</v>
      </c>
      <c r="C1483">
        <v>11</v>
      </c>
      <c r="D1483" t="s">
        <v>2075</v>
      </c>
      <c r="E1483" t="s">
        <v>138</v>
      </c>
      <c r="F1483">
        <v>129</v>
      </c>
      <c r="G1483">
        <v>7.95</v>
      </c>
      <c r="H1483">
        <v>26.31</v>
      </c>
      <c r="I1483">
        <v>5.16</v>
      </c>
      <c r="J1483">
        <v>17.09</v>
      </c>
      <c r="K1483">
        <v>61</v>
      </c>
      <c r="T1483">
        <v>1</v>
      </c>
      <c r="U1483">
        <v>1</v>
      </c>
      <c r="V1483" t="s">
        <v>132</v>
      </c>
      <c r="W1483" t="s">
        <v>2089</v>
      </c>
      <c r="X1483">
        <v>15</v>
      </c>
      <c r="Y1483">
        <v>7</v>
      </c>
      <c r="Z1483" t="s">
        <v>2077</v>
      </c>
      <c r="AA1483" t="s">
        <v>2078</v>
      </c>
      <c r="AB1483" t="s">
        <v>96</v>
      </c>
      <c r="AC1483" t="s">
        <v>97</v>
      </c>
      <c r="AD1483" t="s">
        <v>1818</v>
      </c>
      <c r="AG1483" t="s">
        <v>2079</v>
      </c>
      <c r="AH1483">
        <v>0</v>
      </c>
      <c r="AI1483">
        <v>674</v>
      </c>
      <c r="AJ1483">
        <v>78</v>
      </c>
      <c r="AK1483">
        <v>0</v>
      </c>
      <c r="AL1483">
        <v>0</v>
      </c>
    </row>
    <row r="1484" spans="1:38" x14ac:dyDescent="0.3">
      <c r="A1484" t="s">
        <v>1813</v>
      </c>
      <c r="B1484">
        <v>103194</v>
      </c>
      <c r="C1484">
        <v>12</v>
      </c>
      <c r="D1484" t="s">
        <v>2075</v>
      </c>
      <c r="E1484" t="s">
        <v>138</v>
      </c>
      <c r="F1484">
        <v>129</v>
      </c>
      <c r="G1484">
        <v>8.1199999999999992</v>
      </c>
      <c r="H1484">
        <v>26.87</v>
      </c>
      <c r="I1484">
        <v>5.24</v>
      </c>
      <c r="J1484">
        <v>17.350000000000001</v>
      </c>
      <c r="K1484">
        <v>1</v>
      </c>
      <c r="T1484">
        <v>1</v>
      </c>
      <c r="U1484">
        <v>1</v>
      </c>
      <c r="V1484" t="s">
        <v>132</v>
      </c>
      <c r="W1484" t="s">
        <v>2090</v>
      </c>
      <c r="X1484">
        <v>15</v>
      </c>
      <c r="Y1484">
        <v>7</v>
      </c>
      <c r="Z1484" t="s">
        <v>2077</v>
      </c>
      <c r="AA1484" t="s">
        <v>2078</v>
      </c>
      <c r="AB1484" t="s">
        <v>96</v>
      </c>
      <c r="AC1484" t="s">
        <v>97</v>
      </c>
      <c r="AD1484" t="s">
        <v>1818</v>
      </c>
      <c r="AG1484" t="s">
        <v>2079</v>
      </c>
      <c r="AH1484">
        <v>0</v>
      </c>
      <c r="AI1484">
        <v>674</v>
      </c>
      <c r="AJ1484">
        <v>78</v>
      </c>
      <c r="AK1484">
        <v>0</v>
      </c>
      <c r="AL1484">
        <v>0</v>
      </c>
    </row>
    <row r="1485" spans="1:38" x14ac:dyDescent="0.3">
      <c r="A1485" t="s">
        <v>1813</v>
      </c>
      <c r="B1485">
        <v>103194</v>
      </c>
      <c r="C1485">
        <v>13</v>
      </c>
      <c r="D1485" t="s">
        <v>2075</v>
      </c>
      <c r="E1485" t="s">
        <v>138</v>
      </c>
      <c r="F1485">
        <v>129</v>
      </c>
      <c r="G1485">
        <v>8.41</v>
      </c>
      <c r="H1485">
        <v>27.83</v>
      </c>
      <c r="I1485">
        <v>5.48</v>
      </c>
      <c r="J1485">
        <v>18.13</v>
      </c>
      <c r="K1485">
        <v>12</v>
      </c>
      <c r="T1485">
        <v>1</v>
      </c>
      <c r="U1485">
        <v>1</v>
      </c>
      <c r="V1485" t="s">
        <v>132</v>
      </c>
      <c r="W1485" t="s">
        <v>775</v>
      </c>
      <c r="X1485">
        <v>15</v>
      </c>
      <c r="Y1485">
        <v>7</v>
      </c>
      <c r="Z1485" t="s">
        <v>2077</v>
      </c>
      <c r="AA1485" t="s">
        <v>2078</v>
      </c>
      <c r="AB1485" t="s">
        <v>96</v>
      </c>
      <c r="AC1485" t="s">
        <v>97</v>
      </c>
      <c r="AD1485" t="s">
        <v>1818</v>
      </c>
      <c r="AG1485" t="s">
        <v>2079</v>
      </c>
      <c r="AH1485">
        <v>0</v>
      </c>
      <c r="AI1485">
        <v>674</v>
      </c>
      <c r="AJ1485">
        <v>78</v>
      </c>
      <c r="AK1485">
        <v>0</v>
      </c>
      <c r="AL1485">
        <v>0</v>
      </c>
    </row>
    <row r="1486" spans="1:38" x14ac:dyDescent="0.3">
      <c r="A1486" t="s">
        <v>1813</v>
      </c>
      <c r="B1486">
        <v>103194</v>
      </c>
      <c r="C1486">
        <v>14</v>
      </c>
      <c r="D1486" t="s">
        <v>2075</v>
      </c>
      <c r="E1486" t="s">
        <v>138</v>
      </c>
      <c r="F1486">
        <v>129</v>
      </c>
      <c r="G1486">
        <v>8.6199999999999992</v>
      </c>
      <c r="H1486">
        <v>28.52</v>
      </c>
      <c r="I1486">
        <v>5.6</v>
      </c>
      <c r="J1486">
        <v>18.53</v>
      </c>
      <c r="K1486">
        <v>6</v>
      </c>
      <c r="T1486">
        <v>1</v>
      </c>
      <c r="U1486">
        <v>1</v>
      </c>
      <c r="V1486" t="s">
        <v>132</v>
      </c>
      <c r="W1486" t="s">
        <v>2091</v>
      </c>
      <c r="X1486">
        <v>15</v>
      </c>
      <c r="Y1486">
        <v>7</v>
      </c>
      <c r="Z1486" t="s">
        <v>2077</v>
      </c>
      <c r="AA1486" t="s">
        <v>2078</v>
      </c>
      <c r="AB1486" t="s">
        <v>96</v>
      </c>
      <c r="AC1486" t="s">
        <v>97</v>
      </c>
      <c r="AD1486" t="s">
        <v>1818</v>
      </c>
      <c r="AG1486" t="s">
        <v>2079</v>
      </c>
      <c r="AH1486">
        <v>0</v>
      </c>
      <c r="AI1486">
        <v>674</v>
      </c>
      <c r="AJ1486">
        <v>78</v>
      </c>
      <c r="AK1486">
        <v>0</v>
      </c>
      <c r="AL1486">
        <v>0</v>
      </c>
    </row>
    <row r="1487" spans="1:38" x14ac:dyDescent="0.3">
      <c r="A1487" t="s">
        <v>1813</v>
      </c>
      <c r="B1487">
        <v>103194</v>
      </c>
      <c r="C1487">
        <v>15</v>
      </c>
      <c r="D1487" t="s">
        <v>2075</v>
      </c>
      <c r="E1487" t="s">
        <v>138</v>
      </c>
      <c r="F1487">
        <v>129</v>
      </c>
      <c r="G1487">
        <v>8.75</v>
      </c>
      <c r="H1487">
        <v>28.93</v>
      </c>
      <c r="I1487">
        <v>5.62</v>
      </c>
      <c r="J1487">
        <v>18.600000000000001</v>
      </c>
      <c r="K1487">
        <v>1</v>
      </c>
      <c r="T1487">
        <v>1</v>
      </c>
      <c r="U1487">
        <v>1</v>
      </c>
      <c r="V1487" t="s">
        <v>132</v>
      </c>
      <c r="W1487" t="s">
        <v>2092</v>
      </c>
      <c r="X1487">
        <v>15</v>
      </c>
      <c r="Y1487">
        <v>7</v>
      </c>
      <c r="Z1487" t="s">
        <v>2077</v>
      </c>
      <c r="AA1487" t="s">
        <v>2078</v>
      </c>
      <c r="AB1487" t="s">
        <v>96</v>
      </c>
      <c r="AC1487" t="s">
        <v>97</v>
      </c>
      <c r="AD1487" t="s">
        <v>1818</v>
      </c>
      <c r="AG1487" t="s">
        <v>2079</v>
      </c>
      <c r="AH1487">
        <v>0</v>
      </c>
      <c r="AI1487">
        <v>674</v>
      </c>
      <c r="AJ1487">
        <v>78</v>
      </c>
      <c r="AK1487">
        <v>0</v>
      </c>
      <c r="AL1487">
        <v>0</v>
      </c>
    </row>
    <row r="1488" spans="1:38" x14ac:dyDescent="0.3">
      <c r="A1488" t="s">
        <v>1813</v>
      </c>
      <c r="B1488">
        <v>103194</v>
      </c>
      <c r="C1488">
        <v>16</v>
      </c>
      <c r="D1488" t="s">
        <v>2075</v>
      </c>
      <c r="E1488" t="s">
        <v>138</v>
      </c>
      <c r="F1488">
        <v>129</v>
      </c>
      <c r="G1488">
        <v>9.64</v>
      </c>
      <c r="H1488">
        <v>31.88</v>
      </c>
      <c r="I1488">
        <v>6.19</v>
      </c>
      <c r="J1488">
        <v>20.49</v>
      </c>
      <c r="K1488">
        <v>1</v>
      </c>
      <c r="T1488">
        <v>1</v>
      </c>
      <c r="U1488">
        <v>1</v>
      </c>
      <c r="V1488" t="s">
        <v>132</v>
      </c>
      <c r="W1488" t="s">
        <v>1876</v>
      </c>
      <c r="X1488">
        <v>15</v>
      </c>
      <c r="Y1488">
        <v>7</v>
      </c>
      <c r="Z1488" t="s">
        <v>2077</v>
      </c>
      <c r="AA1488" t="s">
        <v>2078</v>
      </c>
      <c r="AB1488" t="s">
        <v>96</v>
      </c>
      <c r="AC1488" t="s">
        <v>97</v>
      </c>
      <c r="AD1488" t="s">
        <v>1818</v>
      </c>
      <c r="AG1488" t="s">
        <v>2079</v>
      </c>
      <c r="AH1488">
        <v>0</v>
      </c>
      <c r="AI1488">
        <v>674</v>
      </c>
      <c r="AJ1488">
        <v>78</v>
      </c>
      <c r="AK1488">
        <v>0</v>
      </c>
      <c r="AL1488">
        <v>0</v>
      </c>
    </row>
    <row r="1489" spans="1:38" x14ac:dyDescent="0.3">
      <c r="A1489" t="s">
        <v>1813</v>
      </c>
      <c r="B1489">
        <v>103194</v>
      </c>
      <c r="C1489">
        <v>17</v>
      </c>
      <c r="D1489" t="s">
        <v>2075</v>
      </c>
      <c r="E1489" t="s">
        <v>138</v>
      </c>
      <c r="F1489">
        <v>129</v>
      </c>
      <c r="G1489">
        <v>9.7799999999999994</v>
      </c>
      <c r="H1489">
        <v>32.35</v>
      </c>
      <c r="I1489">
        <v>6.3</v>
      </c>
      <c r="J1489">
        <v>20.83</v>
      </c>
      <c r="K1489">
        <v>1</v>
      </c>
      <c r="T1489">
        <v>1</v>
      </c>
      <c r="U1489">
        <v>1</v>
      </c>
      <c r="V1489" t="s">
        <v>132</v>
      </c>
      <c r="W1489" t="s">
        <v>2093</v>
      </c>
      <c r="X1489">
        <v>15</v>
      </c>
      <c r="Y1489">
        <v>7</v>
      </c>
      <c r="Z1489" t="s">
        <v>2077</v>
      </c>
      <c r="AA1489" t="s">
        <v>2078</v>
      </c>
      <c r="AB1489" t="s">
        <v>96</v>
      </c>
      <c r="AC1489" t="s">
        <v>97</v>
      </c>
      <c r="AD1489" t="s">
        <v>1818</v>
      </c>
      <c r="AG1489" t="s">
        <v>2079</v>
      </c>
      <c r="AH1489">
        <v>0</v>
      </c>
      <c r="AI1489">
        <v>674</v>
      </c>
      <c r="AJ1489">
        <v>78</v>
      </c>
      <c r="AK1489">
        <v>0</v>
      </c>
      <c r="AL1489">
        <v>0</v>
      </c>
    </row>
    <row r="1490" spans="1:38" x14ac:dyDescent="0.3">
      <c r="A1490" t="s">
        <v>1813</v>
      </c>
      <c r="B1490">
        <v>103194</v>
      </c>
      <c r="C1490">
        <v>18</v>
      </c>
      <c r="D1490" t="s">
        <v>2075</v>
      </c>
      <c r="E1490" t="s">
        <v>138</v>
      </c>
      <c r="F1490">
        <v>129</v>
      </c>
      <c r="G1490">
        <v>10.31</v>
      </c>
      <c r="H1490">
        <v>34.11</v>
      </c>
      <c r="I1490">
        <v>6.5</v>
      </c>
      <c r="J1490">
        <v>21.49</v>
      </c>
      <c r="K1490">
        <v>1</v>
      </c>
      <c r="T1490">
        <v>1</v>
      </c>
      <c r="U1490">
        <v>1</v>
      </c>
      <c r="V1490" t="s">
        <v>132</v>
      </c>
      <c r="W1490" t="s">
        <v>2094</v>
      </c>
      <c r="X1490">
        <v>15</v>
      </c>
      <c r="Y1490">
        <v>7</v>
      </c>
      <c r="Z1490" t="s">
        <v>2077</v>
      </c>
      <c r="AA1490" t="s">
        <v>2078</v>
      </c>
      <c r="AB1490" t="s">
        <v>96</v>
      </c>
      <c r="AC1490" t="s">
        <v>97</v>
      </c>
      <c r="AD1490" t="s">
        <v>1818</v>
      </c>
      <c r="AG1490" t="s">
        <v>2079</v>
      </c>
      <c r="AH1490">
        <v>0</v>
      </c>
      <c r="AI1490">
        <v>674</v>
      </c>
      <c r="AJ1490">
        <v>78</v>
      </c>
      <c r="AK1490">
        <v>0</v>
      </c>
      <c r="AL1490">
        <v>0</v>
      </c>
    </row>
    <row r="1491" spans="1:38" x14ac:dyDescent="0.3">
      <c r="A1491" t="s">
        <v>1813</v>
      </c>
      <c r="B1491">
        <v>103194</v>
      </c>
      <c r="C1491">
        <v>19</v>
      </c>
      <c r="D1491" t="s">
        <v>2075</v>
      </c>
      <c r="E1491" t="s">
        <v>138</v>
      </c>
      <c r="F1491">
        <v>129</v>
      </c>
      <c r="G1491">
        <v>11.27</v>
      </c>
      <c r="H1491">
        <v>37.26</v>
      </c>
      <c r="I1491">
        <v>7.18</v>
      </c>
      <c r="J1491">
        <v>23.76</v>
      </c>
      <c r="K1491">
        <v>1</v>
      </c>
      <c r="T1491">
        <v>1</v>
      </c>
      <c r="U1491">
        <v>1</v>
      </c>
      <c r="V1491" t="s">
        <v>132</v>
      </c>
      <c r="W1491" t="s">
        <v>2095</v>
      </c>
      <c r="X1491">
        <v>15</v>
      </c>
      <c r="Y1491">
        <v>7</v>
      </c>
      <c r="Z1491" t="s">
        <v>2077</v>
      </c>
      <c r="AA1491" t="s">
        <v>2078</v>
      </c>
      <c r="AB1491" t="s">
        <v>96</v>
      </c>
      <c r="AC1491" t="s">
        <v>97</v>
      </c>
      <c r="AD1491" t="s">
        <v>1818</v>
      </c>
      <c r="AG1491" t="s">
        <v>2079</v>
      </c>
      <c r="AH1491">
        <v>0</v>
      </c>
      <c r="AI1491">
        <v>674</v>
      </c>
      <c r="AJ1491">
        <v>78</v>
      </c>
      <c r="AK1491">
        <v>0</v>
      </c>
      <c r="AL1491">
        <v>0</v>
      </c>
    </row>
    <row r="1492" spans="1:38" x14ac:dyDescent="0.3">
      <c r="A1492" t="s">
        <v>1813</v>
      </c>
      <c r="B1492">
        <v>103194</v>
      </c>
      <c r="C1492">
        <v>20</v>
      </c>
      <c r="D1492" t="s">
        <v>2075</v>
      </c>
      <c r="E1492" t="s">
        <v>138</v>
      </c>
      <c r="F1492">
        <v>129</v>
      </c>
      <c r="G1492">
        <v>11.51</v>
      </c>
      <c r="H1492">
        <v>38.049999999999997</v>
      </c>
      <c r="I1492">
        <v>7.51</v>
      </c>
      <c r="J1492">
        <v>24.84</v>
      </c>
      <c r="K1492">
        <v>1</v>
      </c>
      <c r="T1492">
        <v>1</v>
      </c>
      <c r="U1492">
        <v>1</v>
      </c>
      <c r="V1492" t="s">
        <v>132</v>
      </c>
      <c r="W1492" t="s">
        <v>2096</v>
      </c>
      <c r="X1492">
        <v>15</v>
      </c>
      <c r="Y1492">
        <v>7</v>
      </c>
      <c r="Z1492" t="s">
        <v>2077</v>
      </c>
      <c r="AA1492" t="s">
        <v>2078</v>
      </c>
      <c r="AB1492" t="s">
        <v>96</v>
      </c>
      <c r="AC1492" t="s">
        <v>97</v>
      </c>
      <c r="AD1492" t="s">
        <v>1818</v>
      </c>
      <c r="AG1492" t="s">
        <v>2079</v>
      </c>
      <c r="AH1492">
        <v>0</v>
      </c>
      <c r="AI1492">
        <v>674</v>
      </c>
      <c r="AJ1492">
        <v>78</v>
      </c>
      <c r="AK1492">
        <v>0</v>
      </c>
      <c r="AL1492">
        <v>0</v>
      </c>
    </row>
    <row r="1493" spans="1:38" x14ac:dyDescent="0.3">
      <c r="A1493" t="s">
        <v>1813</v>
      </c>
      <c r="B1493">
        <v>103194</v>
      </c>
      <c r="C1493">
        <v>21</v>
      </c>
      <c r="D1493" t="s">
        <v>2075</v>
      </c>
      <c r="E1493" t="s">
        <v>138</v>
      </c>
      <c r="F1493">
        <v>129</v>
      </c>
      <c r="G1493">
        <v>11.82</v>
      </c>
      <c r="H1493">
        <v>39.090000000000003</v>
      </c>
      <c r="I1493">
        <v>7.75</v>
      </c>
      <c r="J1493">
        <v>25.62</v>
      </c>
      <c r="K1493">
        <v>2</v>
      </c>
      <c r="T1493">
        <v>1</v>
      </c>
      <c r="U1493">
        <v>1</v>
      </c>
      <c r="V1493" t="s">
        <v>132</v>
      </c>
      <c r="W1493" t="s">
        <v>2097</v>
      </c>
      <c r="X1493">
        <v>15</v>
      </c>
      <c r="Y1493">
        <v>7</v>
      </c>
      <c r="Z1493" t="s">
        <v>2077</v>
      </c>
      <c r="AA1493" t="s">
        <v>2078</v>
      </c>
      <c r="AB1493" t="s">
        <v>96</v>
      </c>
      <c r="AC1493" t="s">
        <v>97</v>
      </c>
      <c r="AD1493" t="s">
        <v>1818</v>
      </c>
      <c r="AG1493" t="s">
        <v>2079</v>
      </c>
      <c r="AH1493">
        <v>0</v>
      </c>
      <c r="AI1493">
        <v>674</v>
      </c>
      <c r="AJ1493">
        <v>78</v>
      </c>
      <c r="AK1493">
        <v>0</v>
      </c>
      <c r="AL1493">
        <v>0</v>
      </c>
    </row>
    <row r="1494" spans="1:38" x14ac:dyDescent="0.3">
      <c r="A1494" t="s">
        <v>1813</v>
      </c>
      <c r="B1494">
        <v>103194</v>
      </c>
      <c r="C1494">
        <v>22</v>
      </c>
      <c r="D1494" t="s">
        <v>2075</v>
      </c>
      <c r="E1494" t="s">
        <v>138</v>
      </c>
      <c r="F1494">
        <v>129</v>
      </c>
      <c r="G1494">
        <v>11.83</v>
      </c>
      <c r="H1494">
        <v>39.14</v>
      </c>
      <c r="I1494">
        <v>7.79</v>
      </c>
      <c r="J1494">
        <v>25.76</v>
      </c>
      <c r="K1494">
        <v>1</v>
      </c>
      <c r="T1494">
        <v>1</v>
      </c>
      <c r="U1494">
        <v>1</v>
      </c>
      <c r="V1494" t="s">
        <v>132</v>
      </c>
      <c r="W1494" t="s">
        <v>2098</v>
      </c>
      <c r="X1494">
        <v>15</v>
      </c>
      <c r="Y1494">
        <v>7</v>
      </c>
      <c r="Z1494" t="s">
        <v>2077</v>
      </c>
      <c r="AA1494" t="s">
        <v>2078</v>
      </c>
      <c r="AB1494" t="s">
        <v>96</v>
      </c>
      <c r="AC1494" t="s">
        <v>97</v>
      </c>
      <c r="AD1494" t="s">
        <v>1818</v>
      </c>
      <c r="AG1494" t="s">
        <v>2079</v>
      </c>
      <c r="AH1494">
        <v>0</v>
      </c>
      <c r="AI1494">
        <v>674</v>
      </c>
      <c r="AJ1494">
        <v>78</v>
      </c>
      <c r="AK1494">
        <v>0</v>
      </c>
      <c r="AL1494">
        <v>0</v>
      </c>
    </row>
    <row r="1495" spans="1:38" x14ac:dyDescent="0.3">
      <c r="A1495" t="s">
        <v>1813</v>
      </c>
      <c r="B1495">
        <v>103194</v>
      </c>
      <c r="C1495">
        <v>23</v>
      </c>
      <c r="D1495" t="s">
        <v>2075</v>
      </c>
      <c r="E1495" t="s">
        <v>138</v>
      </c>
      <c r="F1495">
        <v>129</v>
      </c>
      <c r="G1495">
        <v>12.01</v>
      </c>
      <c r="H1495">
        <v>39.729999999999997</v>
      </c>
      <c r="I1495">
        <v>7.87</v>
      </c>
      <c r="J1495">
        <v>26.03</v>
      </c>
      <c r="K1495">
        <v>1</v>
      </c>
      <c r="T1495">
        <v>1</v>
      </c>
      <c r="U1495">
        <v>1</v>
      </c>
      <c r="V1495" t="s">
        <v>132</v>
      </c>
      <c r="W1495" t="s">
        <v>2099</v>
      </c>
      <c r="X1495">
        <v>15</v>
      </c>
      <c r="Y1495">
        <v>7</v>
      </c>
      <c r="Z1495" t="s">
        <v>2077</v>
      </c>
      <c r="AA1495" t="s">
        <v>2078</v>
      </c>
      <c r="AB1495" t="s">
        <v>96</v>
      </c>
      <c r="AC1495" t="s">
        <v>97</v>
      </c>
      <c r="AD1495" t="s">
        <v>1818</v>
      </c>
      <c r="AG1495" t="s">
        <v>2079</v>
      </c>
      <c r="AH1495">
        <v>0</v>
      </c>
      <c r="AI1495">
        <v>674</v>
      </c>
      <c r="AJ1495">
        <v>78</v>
      </c>
      <c r="AK1495">
        <v>0</v>
      </c>
      <c r="AL1495">
        <v>0</v>
      </c>
    </row>
    <row r="1496" spans="1:38" x14ac:dyDescent="0.3">
      <c r="A1496" t="s">
        <v>1813</v>
      </c>
      <c r="B1496">
        <v>103194</v>
      </c>
      <c r="C1496">
        <v>24</v>
      </c>
      <c r="D1496" t="s">
        <v>2075</v>
      </c>
      <c r="E1496" t="s">
        <v>138</v>
      </c>
      <c r="F1496">
        <v>129</v>
      </c>
      <c r="G1496">
        <v>12.3</v>
      </c>
      <c r="H1496">
        <v>40.69</v>
      </c>
      <c r="I1496">
        <v>8.07</v>
      </c>
      <c r="J1496">
        <v>26.69</v>
      </c>
      <c r="K1496">
        <v>1</v>
      </c>
      <c r="T1496">
        <v>1</v>
      </c>
      <c r="U1496">
        <v>1</v>
      </c>
      <c r="V1496" t="s">
        <v>132</v>
      </c>
      <c r="W1496" t="s">
        <v>2100</v>
      </c>
      <c r="X1496">
        <v>15</v>
      </c>
      <c r="Y1496">
        <v>7</v>
      </c>
      <c r="Z1496" t="s">
        <v>2077</v>
      </c>
      <c r="AA1496" t="s">
        <v>2078</v>
      </c>
      <c r="AB1496" t="s">
        <v>96</v>
      </c>
      <c r="AC1496" t="s">
        <v>97</v>
      </c>
      <c r="AD1496" t="s">
        <v>1818</v>
      </c>
      <c r="AG1496" t="s">
        <v>2079</v>
      </c>
      <c r="AH1496">
        <v>0</v>
      </c>
      <c r="AI1496">
        <v>674</v>
      </c>
      <c r="AJ1496">
        <v>78</v>
      </c>
      <c r="AK1496">
        <v>0</v>
      </c>
      <c r="AL1496">
        <v>0</v>
      </c>
    </row>
    <row r="1497" spans="1:38" x14ac:dyDescent="0.3">
      <c r="A1497" t="s">
        <v>1813</v>
      </c>
      <c r="B1497">
        <v>103194</v>
      </c>
      <c r="C1497">
        <v>25</v>
      </c>
      <c r="D1497" t="s">
        <v>2075</v>
      </c>
      <c r="E1497" t="s">
        <v>138</v>
      </c>
      <c r="F1497">
        <v>129</v>
      </c>
      <c r="G1497">
        <v>12.38</v>
      </c>
      <c r="H1497">
        <v>40.94</v>
      </c>
      <c r="I1497">
        <v>8.17</v>
      </c>
      <c r="J1497">
        <v>27.01</v>
      </c>
      <c r="K1497">
        <v>1</v>
      </c>
      <c r="T1497">
        <v>1</v>
      </c>
      <c r="U1497">
        <v>1</v>
      </c>
      <c r="V1497" t="s">
        <v>132</v>
      </c>
      <c r="W1497" t="s">
        <v>2101</v>
      </c>
      <c r="X1497">
        <v>15</v>
      </c>
      <c r="Y1497">
        <v>7</v>
      </c>
      <c r="Z1497" t="s">
        <v>2077</v>
      </c>
      <c r="AA1497" t="s">
        <v>2078</v>
      </c>
      <c r="AB1497" t="s">
        <v>96</v>
      </c>
      <c r="AC1497" t="s">
        <v>97</v>
      </c>
      <c r="AD1497" t="s">
        <v>1818</v>
      </c>
      <c r="AG1497" t="s">
        <v>2079</v>
      </c>
      <c r="AH1497">
        <v>0</v>
      </c>
      <c r="AI1497">
        <v>674</v>
      </c>
      <c r="AJ1497">
        <v>78</v>
      </c>
      <c r="AK1497">
        <v>0</v>
      </c>
      <c r="AL1497">
        <v>0</v>
      </c>
    </row>
    <row r="1498" spans="1:38" x14ac:dyDescent="0.3">
      <c r="A1498" t="s">
        <v>1813</v>
      </c>
      <c r="B1498">
        <v>103194</v>
      </c>
      <c r="C1498">
        <v>26</v>
      </c>
      <c r="D1498" t="s">
        <v>2075</v>
      </c>
      <c r="E1498" t="s">
        <v>138</v>
      </c>
      <c r="F1498">
        <v>129</v>
      </c>
      <c r="G1498">
        <v>12.93</v>
      </c>
      <c r="H1498">
        <v>42.75</v>
      </c>
      <c r="I1498">
        <v>8.4600000000000009</v>
      </c>
      <c r="J1498">
        <v>27.97</v>
      </c>
      <c r="K1498">
        <v>1</v>
      </c>
      <c r="T1498">
        <v>1</v>
      </c>
      <c r="U1498">
        <v>1</v>
      </c>
      <c r="V1498" t="s">
        <v>132</v>
      </c>
      <c r="W1498" t="s">
        <v>2102</v>
      </c>
      <c r="X1498">
        <v>15</v>
      </c>
      <c r="Y1498">
        <v>7</v>
      </c>
      <c r="Z1498" t="s">
        <v>2077</v>
      </c>
      <c r="AA1498" t="s">
        <v>2078</v>
      </c>
      <c r="AB1498" t="s">
        <v>96</v>
      </c>
      <c r="AC1498" t="s">
        <v>97</v>
      </c>
      <c r="AD1498" t="s">
        <v>1818</v>
      </c>
      <c r="AG1498" t="s">
        <v>2079</v>
      </c>
      <c r="AH1498">
        <v>0</v>
      </c>
      <c r="AI1498">
        <v>674</v>
      </c>
      <c r="AJ1498">
        <v>78</v>
      </c>
      <c r="AK1498">
        <v>0</v>
      </c>
      <c r="AL1498">
        <v>0</v>
      </c>
    </row>
    <row r="1499" spans="1:38" x14ac:dyDescent="0.3">
      <c r="A1499" t="s">
        <v>1813</v>
      </c>
      <c r="B1499">
        <v>103194</v>
      </c>
      <c r="C1499">
        <v>27</v>
      </c>
      <c r="D1499" t="s">
        <v>2075</v>
      </c>
      <c r="E1499" t="s">
        <v>138</v>
      </c>
      <c r="F1499">
        <v>129</v>
      </c>
      <c r="G1499">
        <v>12.72</v>
      </c>
      <c r="H1499">
        <v>42.06</v>
      </c>
      <c r="I1499">
        <v>8.32</v>
      </c>
      <c r="J1499">
        <v>27.51</v>
      </c>
      <c r="K1499">
        <v>1</v>
      </c>
      <c r="T1499">
        <v>1</v>
      </c>
      <c r="U1499">
        <v>1</v>
      </c>
      <c r="V1499" t="s">
        <v>132</v>
      </c>
      <c r="W1499" t="s">
        <v>2103</v>
      </c>
      <c r="X1499">
        <v>15</v>
      </c>
      <c r="Y1499">
        <v>7</v>
      </c>
      <c r="Z1499" t="s">
        <v>2077</v>
      </c>
      <c r="AA1499" t="s">
        <v>2078</v>
      </c>
      <c r="AB1499" t="s">
        <v>96</v>
      </c>
      <c r="AC1499" t="s">
        <v>97</v>
      </c>
      <c r="AD1499" t="s">
        <v>1818</v>
      </c>
      <c r="AG1499" t="s">
        <v>2079</v>
      </c>
      <c r="AH1499">
        <v>0</v>
      </c>
      <c r="AI1499">
        <v>674</v>
      </c>
      <c r="AJ1499">
        <v>78</v>
      </c>
      <c r="AK1499">
        <v>0</v>
      </c>
      <c r="AL1499">
        <v>0</v>
      </c>
    </row>
    <row r="1500" spans="1:38" x14ac:dyDescent="0.3">
      <c r="A1500" t="s">
        <v>1813</v>
      </c>
      <c r="B1500">
        <v>103194</v>
      </c>
      <c r="C1500">
        <v>28</v>
      </c>
      <c r="D1500" t="s">
        <v>2075</v>
      </c>
      <c r="E1500" t="s">
        <v>138</v>
      </c>
      <c r="F1500">
        <v>129</v>
      </c>
      <c r="G1500">
        <v>13.02</v>
      </c>
      <c r="H1500">
        <v>43.07</v>
      </c>
      <c r="I1500">
        <v>8.56</v>
      </c>
      <c r="J1500">
        <v>28.33</v>
      </c>
      <c r="K1500">
        <v>1</v>
      </c>
      <c r="T1500">
        <v>1</v>
      </c>
      <c r="U1500">
        <v>1</v>
      </c>
      <c r="V1500" t="s">
        <v>132</v>
      </c>
      <c r="W1500" t="s">
        <v>2104</v>
      </c>
      <c r="X1500">
        <v>15</v>
      </c>
      <c r="Y1500">
        <v>7</v>
      </c>
      <c r="Z1500" t="s">
        <v>2077</v>
      </c>
      <c r="AA1500" t="s">
        <v>2078</v>
      </c>
      <c r="AB1500" t="s">
        <v>96</v>
      </c>
      <c r="AC1500" t="s">
        <v>97</v>
      </c>
      <c r="AD1500" t="s">
        <v>1818</v>
      </c>
      <c r="AG1500" t="s">
        <v>2079</v>
      </c>
      <c r="AH1500">
        <v>0</v>
      </c>
      <c r="AI1500">
        <v>674</v>
      </c>
      <c r="AJ1500">
        <v>78</v>
      </c>
      <c r="AK1500">
        <v>0</v>
      </c>
      <c r="AL1500">
        <v>0</v>
      </c>
    </row>
    <row r="1501" spans="1:38" x14ac:dyDescent="0.3">
      <c r="A1501" t="s">
        <v>1813</v>
      </c>
      <c r="B1501">
        <v>103194</v>
      </c>
      <c r="C1501">
        <v>29</v>
      </c>
      <c r="D1501" t="s">
        <v>2075</v>
      </c>
      <c r="E1501" t="s">
        <v>138</v>
      </c>
      <c r="F1501">
        <v>129</v>
      </c>
      <c r="G1501">
        <v>13.81</v>
      </c>
      <c r="H1501">
        <v>45.66</v>
      </c>
      <c r="I1501">
        <v>8.91</v>
      </c>
      <c r="J1501">
        <v>29.46</v>
      </c>
      <c r="K1501">
        <v>1</v>
      </c>
      <c r="T1501">
        <v>1</v>
      </c>
      <c r="U1501">
        <v>1</v>
      </c>
      <c r="V1501" t="s">
        <v>132</v>
      </c>
      <c r="W1501" t="s">
        <v>2105</v>
      </c>
      <c r="X1501">
        <v>15</v>
      </c>
      <c r="Y1501">
        <v>7</v>
      </c>
      <c r="Z1501" t="s">
        <v>2077</v>
      </c>
      <c r="AA1501" t="s">
        <v>2078</v>
      </c>
      <c r="AB1501" t="s">
        <v>96</v>
      </c>
      <c r="AC1501" t="s">
        <v>97</v>
      </c>
      <c r="AD1501" t="s">
        <v>1818</v>
      </c>
      <c r="AG1501" t="s">
        <v>2079</v>
      </c>
      <c r="AH1501">
        <v>0</v>
      </c>
      <c r="AI1501">
        <v>674</v>
      </c>
      <c r="AJ1501">
        <v>78</v>
      </c>
      <c r="AK1501">
        <v>0</v>
      </c>
      <c r="AL1501">
        <v>0</v>
      </c>
    </row>
    <row r="1502" spans="1:38" x14ac:dyDescent="0.3">
      <c r="A1502" t="s">
        <v>1813</v>
      </c>
      <c r="B1502">
        <v>103194</v>
      </c>
      <c r="C1502">
        <v>30</v>
      </c>
      <c r="D1502" t="s">
        <v>2075</v>
      </c>
      <c r="E1502" t="s">
        <v>138</v>
      </c>
      <c r="F1502">
        <v>129</v>
      </c>
      <c r="G1502">
        <v>14.42</v>
      </c>
      <c r="H1502">
        <v>47.7</v>
      </c>
      <c r="I1502">
        <v>9.48</v>
      </c>
      <c r="J1502">
        <v>31.36</v>
      </c>
      <c r="K1502">
        <v>1</v>
      </c>
      <c r="T1502">
        <v>1</v>
      </c>
      <c r="U1502">
        <v>1</v>
      </c>
      <c r="V1502" t="s">
        <v>132</v>
      </c>
      <c r="W1502" t="s">
        <v>2106</v>
      </c>
      <c r="X1502">
        <v>15</v>
      </c>
      <c r="Y1502">
        <v>7</v>
      </c>
      <c r="Z1502" t="s">
        <v>2077</v>
      </c>
      <c r="AA1502" t="s">
        <v>2078</v>
      </c>
      <c r="AB1502" t="s">
        <v>96</v>
      </c>
      <c r="AC1502" t="s">
        <v>97</v>
      </c>
      <c r="AD1502" t="s">
        <v>1818</v>
      </c>
      <c r="AG1502" t="s">
        <v>2079</v>
      </c>
      <c r="AH1502">
        <v>0</v>
      </c>
      <c r="AI1502">
        <v>674</v>
      </c>
      <c r="AJ1502">
        <v>78</v>
      </c>
      <c r="AK1502">
        <v>0</v>
      </c>
      <c r="AL1502">
        <v>0</v>
      </c>
    </row>
    <row r="1503" spans="1:38" x14ac:dyDescent="0.3">
      <c r="A1503" t="s">
        <v>1813</v>
      </c>
      <c r="B1503">
        <v>103194</v>
      </c>
      <c r="C1503">
        <v>31</v>
      </c>
      <c r="D1503" t="s">
        <v>2075</v>
      </c>
      <c r="E1503" t="s">
        <v>138</v>
      </c>
      <c r="F1503">
        <v>129</v>
      </c>
      <c r="G1503">
        <v>14.86</v>
      </c>
      <c r="H1503">
        <v>49.13</v>
      </c>
      <c r="I1503">
        <v>9.7899999999999991</v>
      </c>
      <c r="J1503">
        <v>32.369999999999997</v>
      </c>
      <c r="K1503">
        <v>2</v>
      </c>
      <c r="T1503">
        <v>1</v>
      </c>
      <c r="U1503">
        <v>1</v>
      </c>
      <c r="V1503" t="s">
        <v>132</v>
      </c>
      <c r="W1503" t="s">
        <v>249</v>
      </c>
      <c r="X1503">
        <v>15</v>
      </c>
      <c r="Y1503">
        <v>7</v>
      </c>
      <c r="Z1503" t="s">
        <v>2077</v>
      </c>
      <c r="AA1503" t="s">
        <v>2078</v>
      </c>
      <c r="AB1503" t="s">
        <v>96</v>
      </c>
      <c r="AC1503" t="s">
        <v>97</v>
      </c>
      <c r="AD1503" t="s">
        <v>1818</v>
      </c>
      <c r="AG1503" t="s">
        <v>2079</v>
      </c>
      <c r="AH1503">
        <v>0</v>
      </c>
      <c r="AI1503">
        <v>674</v>
      </c>
      <c r="AJ1503">
        <v>78</v>
      </c>
      <c r="AK1503">
        <v>0</v>
      </c>
      <c r="AL1503">
        <v>0</v>
      </c>
    </row>
    <row r="1504" spans="1:38" x14ac:dyDescent="0.3">
      <c r="A1504" t="s">
        <v>1813</v>
      </c>
      <c r="B1504">
        <v>103194</v>
      </c>
      <c r="C1504">
        <v>32</v>
      </c>
      <c r="D1504" t="s">
        <v>2075</v>
      </c>
      <c r="E1504" t="s">
        <v>138</v>
      </c>
      <c r="F1504">
        <v>129</v>
      </c>
      <c r="G1504">
        <v>16.82</v>
      </c>
      <c r="H1504">
        <v>55.62</v>
      </c>
      <c r="I1504">
        <v>11.12</v>
      </c>
      <c r="J1504">
        <v>36.79</v>
      </c>
      <c r="K1504">
        <v>2</v>
      </c>
      <c r="T1504">
        <v>1</v>
      </c>
      <c r="U1504">
        <v>1</v>
      </c>
      <c r="V1504" t="s">
        <v>132</v>
      </c>
      <c r="W1504" t="s">
        <v>1986</v>
      </c>
      <c r="X1504">
        <v>15</v>
      </c>
      <c r="Y1504">
        <v>7</v>
      </c>
      <c r="Z1504" t="s">
        <v>2077</v>
      </c>
      <c r="AA1504" t="s">
        <v>2078</v>
      </c>
      <c r="AB1504" t="s">
        <v>96</v>
      </c>
      <c r="AC1504" t="s">
        <v>97</v>
      </c>
      <c r="AD1504" t="s">
        <v>1818</v>
      </c>
      <c r="AG1504" t="s">
        <v>2079</v>
      </c>
      <c r="AH1504">
        <v>0</v>
      </c>
      <c r="AI1504">
        <v>674</v>
      </c>
      <c r="AJ1504">
        <v>78</v>
      </c>
      <c r="AK1504">
        <v>0</v>
      </c>
      <c r="AL1504">
        <v>0</v>
      </c>
    </row>
    <row r="1505" spans="1:38" x14ac:dyDescent="0.3">
      <c r="A1505" t="s">
        <v>1813</v>
      </c>
      <c r="B1505">
        <v>103194</v>
      </c>
      <c r="C1505">
        <v>33</v>
      </c>
      <c r="D1505" t="s">
        <v>2075</v>
      </c>
      <c r="E1505" t="s">
        <v>138</v>
      </c>
      <c r="F1505">
        <v>129</v>
      </c>
      <c r="G1505">
        <v>18.489999999999998</v>
      </c>
      <c r="H1505">
        <v>61.14</v>
      </c>
      <c r="I1505">
        <v>12.2</v>
      </c>
      <c r="J1505">
        <v>40.340000000000003</v>
      </c>
      <c r="K1505">
        <v>6</v>
      </c>
      <c r="T1505">
        <v>1</v>
      </c>
      <c r="U1505">
        <v>1</v>
      </c>
      <c r="V1505" t="s">
        <v>132</v>
      </c>
      <c r="W1505" t="s">
        <v>693</v>
      </c>
      <c r="X1505">
        <v>15</v>
      </c>
      <c r="Y1505">
        <v>7</v>
      </c>
      <c r="Z1505" t="s">
        <v>2077</v>
      </c>
      <c r="AA1505" t="s">
        <v>2078</v>
      </c>
      <c r="AB1505" t="s">
        <v>96</v>
      </c>
      <c r="AC1505" t="s">
        <v>97</v>
      </c>
      <c r="AD1505" t="s">
        <v>1818</v>
      </c>
      <c r="AG1505" t="s">
        <v>2079</v>
      </c>
      <c r="AH1505">
        <v>0</v>
      </c>
      <c r="AI1505">
        <v>674</v>
      </c>
      <c r="AJ1505">
        <v>78</v>
      </c>
      <c r="AK1505">
        <v>0</v>
      </c>
      <c r="AL1505">
        <v>0</v>
      </c>
    </row>
    <row r="1506" spans="1:38" x14ac:dyDescent="0.3">
      <c r="A1506" t="s">
        <v>1813</v>
      </c>
      <c r="B1506">
        <v>9667</v>
      </c>
      <c r="C1506">
        <v>1</v>
      </c>
      <c r="D1506" t="s">
        <v>2107</v>
      </c>
      <c r="E1506" t="s">
        <v>2108</v>
      </c>
      <c r="F1506">
        <v>170</v>
      </c>
      <c r="G1506">
        <v>14.67</v>
      </c>
      <c r="H1506">
        <v>48.52</v>
      </c>
      <c r="I1506">
        <v>12.27</v>
      </c>
      <c r="J1506">
        <v>40.590000000000003</v>
      </c>
      <c r="K1506">
        <v>20</v>
      </c>
      <c r="T1506">
        <v>3</v>
      </c>
      <c r="U1506">
        <v>1</v>
      </c>
      <c r="V1506" t="s">
        <v>93</v>
      </c>
      <c r="W1506">
        <v>48</v>
      </c>
      <c r="X1506">
        <v>5</v>
      </c>
      <c r="Y1506">
        <v>5</v>
      </c>
      <c r="Z1506" t="s">
        <v>2109</v>
      </c>
      <c r="AA1506" t="s">
        <v>2110</v>
      </c>
      <c r="AB1506" t="s">
        <v>96</v>
      </c>
      <c r="AC1506" t="s">
        <v>97</v>
      </c>
      <c r="AD1506" t="s">
        <v>1818</v>
      </c>
      <c r="AG1506" t="s">
        <v>2111</v>
      </c>
      <c r="AH1506">
        <v>0</v>
      </c>
      <c r="AI1506">
        <v>136</v>
      </c>
      <c r="AJ1506">
        <v>27</v>
      </c>
      <c r="AK1506">
        <v>0</v>
      </c>
      <c r="AL1506">
        <v>0</v>
      </c>
    </row>
    <row r="1507" spans="1:38" x14ac:dyDescent="0.3">
      <c r="A1507" t="s">
        <v>1813</v>
      </c>
      <c r="B1507">
        <v>9667</v>
      </c>
      <c r="C1507">
        <v>2</v>
      </c>
      <c r="D1507" t="s">
        <v>2107</v>
      </c>
      <c r="E1507" t="s">
        <v>2108</v>
      </c>
      <c r="F1507">
        <v>170</v>
      </c>
      <c r="G1507">
        <v>17.45</v>
      </c>
      <c r="H1507">
        <v>57.7</v>
      </c>
      <c r="I1507">
        <v>14.59</v>
      </c>
      <c r="J1507">
        <v>48.24</v>
      </c>
      <c r="K1507">
        <v>10</v>
      </c>
      <c r="T1507">
        <v>3</v>
      </c>
      <c r="U1507">
        <v>1</v>
      </c>
      <c r="V1507" t="s">
        <v>93</v>
      </c>
      <c r="W1507">
        <v>57</v>
      </c>
      <c r="X1507">
        <v>5</v>
      </c>
      <c r="Y1507">
        <v>5</v>
      </c>
      <c r="Z1507" t="s">
        <v>2109</v>
      </c>
      <c r="AA1507" t="s">
        <v>2110</v>
      </c>
      <c r="AB1507" t="s">
        <v>96</v>
      </c>
      <c r="AC1507" t="s">
        <v>97</v>
      </c>
      <c r="AD1507" t="s">
        <v>1818</v>
      </c>
      <c r="AG1507" t="s">
        <v>2111</v>
      </c>
      <c r="AH1507">
        <v>0</v>
      </c>
      <c r="AI1507">
        <v>136</v>
      </c>
      <c r="AJ1507">
        <v>27</v>
      </c>
      <c r="AK1507">
        <v>0</v>
      </c>
      <c r="AL1507">
        <v>0</v>
      </c>
    </row>
    <row r="1508" spans="1:38" x14ac:dyDescent="0.3">
      <c r="A1508" t="s">
        <v>1813</v>
      </c>
      <c r="B1508">
        <v>9667</v>
      </c>
      <c r="C1508">
        <v>3</v>
      </c>
      <c r="D1508" t="s">
        <v>2107</v>
      </c>
      <c r="E1508" t="s">
        <v>2108</v>
      </c>
      <c r="F1508">
        <v>170</v>
      </c>
      <c r="G1508">
        <v>23.93</v>
      </c>
      <c r="H1508">
        <v>79.12</v>
      </c>
      <c r="I1508">
        <v>19.989999999999998</v>
      </c>
      <c r="J1508">
        <v>66.09</v>
      </c>
      <c r="K1508">
        <v>140</v>
      </c>
      <c r="T1508">
        <v>3</v>
      </c>
      <c r="U1508">
        <v>1</v>
      </c>
      <c r="V1508" t="s">
        <v>93</v>
      </c>
      <c r="W1508">
        <v>79</v>
      </c>
      <c r="X1508">
        <v>5</v>
      </c>
      <c r="Y1508">
        <v>5</v>
      </c>
      <c r="Z1508" t="s">
        <v>2109</v>
      </c>
      <c r="AA1508" t="s">
        <v>2110</v>
      </c>
      <c r="AB1508" t="s">
        <v>96</v>
      </c>
      <c r="AC1508" t="s">
        <v>97</v>
      </c>
      <c r="AD1508" t="s">
        <v>1818</v>
      </c>
      <c r="AG1508" t="s">
        <v>2111</v>
      </c>
      <c r="AH1508">
        <v>0</v>
      </c>
      <c r="AI1508">
        <v>136</v>
      </c>
      <c r="AJ1508">
        <v>27</v>
      </c>
      <c r="AK1508">
        <v>0</v>
      </c>
      <c r="AL1508">
        <v>0</v>
      </c>
    </row>
    <row r="1509" spans="1:38" x14ac:dyDescent="0.3">
      <c r="A1509" t="s">
        <v>1813</v>
      </c>
      <c r="B1509">
        <v>109720</v>
      </c>
      <c r="C1509">
        <v>1</v>
      </c>
      <c r="D1509" t="s">
        <v>2112</v>
      </c>
      <c r="E1509" t="s">
        <v>2034</v>
      </c>
      <c r="F1509">
        <v>14</v>
      </c>
      <c r="G1509">
        <v>25.23</v>
      </c>
      <c r="H1509">
        <v>83.43</v>
      </c>
      <c r="I1509">
        <v>20.11</v>
      </c>
      <c r="J1509">
        <v>66.510000000000005</v>
      </c>
      <c r="K1509">
        <v>14</v>
      </c>
      <c r="T1509">
        <v>3</v>
      </c>
      <c r="U1509">
        <v>2</v>
      </c>
      <c r="V1509" t="s">
        <v>93</v>
      </c>
      <c r="W1509">
        <v>83</v>
      </c>
      <c r="X1509">
        <v>10</v>
      </c>
      <c r="Y1509">
        <v>10</v>
      </c>
      <c r="Z1509" t="s">
        <v>2113</v>
      </c>
      <c r="AA1509" t="s">
        <v>2114</v>
      </c>
      <c r="AB1509" t="s">
        <v>96</v>
      </c>
      <c r="AC1509" t="s">
        <v>97</v>
      </c>
      <c r="AD1509" t="s">
        <v>1818</v>
      </c>
      <c r="AG1509" t="s">
        <v>2115</v>
      </c>
      <c r="AH1509">
        <v>0</v>
      </c>
      <c r="AI1509">
        <v>363</v>
      </c>
      <c r="AJ1509">
        <v>56</v>
      </c>
      <c r="AK1509">
        <v>14</v>
      </c>
      <c r="AL1509">
        <v>1</v>
      </c>
    </row>
    <row r="1510" spans="1:38" x14ac:dyDescent="0.3">
      <c r="A1510" t="s">
        <v>1813</v>
      </c>
      <c r="B1510">
        <v>125012</v>
      </c>
      <c r="C1510">
        <v>1</v>
      </c>
      <c r="D1510" t="s">
        <v>567</v>
      </c>
      <c r="E1510" t="s">
        <v>732</v>
      </c>
      <c r="F1510">
        <v>52</v>
      </c>
      <c r="G1510">
        <v>16.72</v>
      </c>
      <c r="H1510">
        <v>55.29</v>
      </c>
      <c r="I1510">
        <v>15.03</v>
      </c>
      <c r="J1510">
        <v>49.7</v>
      </c>
      <c r="K1510">
        <v>1</v>
      </c>
      <c r="T1510">
        <v>2</v>
      </c>
      <c r="U1510">
        <v>1</v>
      </c>
      <c r="V1510" t="s">
        <v>93</v>
      </c>
      <c r="W1510" t="s">
        <v>177</v>
      </c>
      <c r="X1510">
        <v>14</v>
      </c>
      <c r="Y1510">
        <v>14</v>
      </c>
      <c r="Z1510" t="s">
        <v>2116</v>
      </c>
      <c r="AA1510" t="s">
        <v>2117</v>
      </c>
      <c r="AB1510" t="s">
        <v>96</v>
      </c>
      <c r="AC1510" t="s">
        <v>97</v>
      </c>
      <c r="AD1510" t="s">
        <v>1818</v>
      </c>
      <c r="AG1510" t="s">
        <v>2118</v>
      </c>
      <c r="AH1510">
        <v>0</v>
      </c>
      <c r="AI1510">
        <v>619</v>
      </c>
      <c r="AJ1510">
        <v>73</v>
      </c>
      <c r="AK1510">
        <v>33</v>
      </c>
      <c r="AL1510">
        <v>0.63</v>
      </c>
    </row>
    <row r="1511" spans="1:38" x14ac:dyDescent="0.3">
      <c r="A1511" t="s">
        <v>1813</v>
      </c>
      <c r="B1511">
        <v>125012</v>
      </c>
      <c r="C1511">
        <v>2</v>
      </c>
      <c r="D1511" t="s">
        <v>567</v>
      </c>
      <c r="E1511" t="s">
        <v>732</v>
      </c>
      <c r="F1511">
        <v>52</v>
      </c>
      <c r="G1511">
        <v>17.149999999999999</v>
      </c>
      <c r="H1511">
        <v>56.7</v>
      </c>
      <c r="I1511">
        <v>14.14</v>
      </c>
      <c r="J1511">
        <v>46.75</v>
      </c>
      <c r="K1511">
        <v>13</v>
      </c>
      <c r="T1511">
        <v>2</v>
      </c>
      <c r="U1511">
        <v>1</v>
      </c>
      <c r="V1511" t="s">
        <v>93</v>
      </c>
      <c r="W1511" t="s">
        <v>687</v>
      </c>
      <c r="X1511">
        <v>14</v>
      </c>
      <c r="Y1511">
        <v>14</v>
      </c>
      <c r="Z1511" t="s">
        <v>2116</v>
      </c>
      <c r="AA1511" t="s">
        <v>2117</v>
      </c>
      <c r="AB1511" t="s">
        <v>96</v>
      </c>
      <c r="AC1511" t="s">
        <v>97</v>
      </c>
      <c r="AD1511" t="s">
        <v>1818</v>
      </c>
      <c r="AG1511" t="s">
        <v>2118</v>
      </c>
      <c r="AH1511">
        <v>0</v>
      </c>
      <c r="AI1511">
        <v>619</v>
      </c>
      <c r="AJ1511">
        <v>73</v>
      </c>
      <c r="AK1511">
        <v>33</v>
      </c>
      <c r="AL1511">
        <v>0.63</v>
      </c>
    </row>
    <row r="1512" spans="1:38" x14ac:dyDescent="0.3">
      <c r="A1512" t="s">
        <v>1813</v>
      </c>
      <c r="B1512">
        <v>125012</v>
      </c>
      <c r="C1512">
        <v>3</v>
      </c>
      <c r="D1512" t="s">
        <v>567</v>
      </c>
      <c r="E1512" t="s">
        <v>732</v>
      </c>
      <c r="F1512">
        <v>52</v>
      </c>
      <c r="G1512">
        <v>18.28</v>
      </c>
      <c r="H1512">
        <v>60.43</v>
      </c>
      <c r="I1512">
        <v>15</v>
      </c>
      <c r="J1512">
        <v>49.6</v>
      </c>
      <c r="K1512">
        <v>13</v>
      </c>
      <c r="T1512">
        <v>2</v>
      </c>
      <c r="U1512">
        <v>1</v>
      </c>
      <c r="V1512" t="s">
        <v>93</v>
      </c>
      <c r="W1512" t="s">
        <v>254</v>
      </c>
      <c r="X1512">
        <v>14</v>
      </c>
      <c r="Y1512">
        <v>14</v>
      </c>
      <c r="Z1512" t="s">
        <v>2116</v>
      </c>
      <c r="AA1512" t="s">
        <v>2117</v>
      </c>
      <c r="AB1512" t="s">
        <v>96</v>
      </c>
      <c r="AC1512" t="s">
        <v>97</v>
      </c>
      <c r="AD1512" t="s">
        <v>1818</v>
      </c>
      <c r="AG1512" t="s">
        <v>2118</v>
      </c>
      <c r="AH1512">
        <v>0</v>
      </c>
      <c r="AI1512">
        <v>619</v>
      </c>
      <c r="AJ1512">
        <v>73</v>
      </c>
      <c r="AK1512">
        <v>33</v>
      </c>
      <c r="AL1512">
        <v>0.63</v>
      </c>
    </row>
    <row r="1513" spans="1:38" x14ac:dyDescent="0.3">
      <c r="A1513" t="s">
        <v>1813</v>
      </c>
      <c r="B1513">
        <v>125012</v>
      </c>
      <c r="C1513">
        <v>4</v>
      </c>
      <c r="D1513" t="s">
        <v>567</v>
      </c>
      <c r="E1513" t="s">
        <v>732</v>
      </c>
      <c r="F1513">
        <v>52</v>
      </c>
      <c r="G1513">
        <v>18.149999999999999</v>
      </c>
      <c r="H1513">
        <v>60</v>
      </c>
      <c r="I1513">
        <v>15.01</v>
      </c>
      <c r="J1513">
        <v>49.62</v>
      </c>
      <c r="K1513">
        <v>13</v>
      </c>
      <c r="T1513">
        <v>2</v>
      </c>
      <c r="U1513">
        <v>1</v>
      </c>
      <c r="V1513" t="s">
        <v>93</v>
      </c>
      <c r="W1513" t="s">
        <v>179</v>
      </c>
      <c r="X1513">
        <v>14</v>
      </c>
      <c r="Y1513">
        <v>14</v>
      </c>
      <c r="Z1513" t="s">
        <v>2116</v>
      </c>
      <c r="AA1513" t="s">
        <v>2117</v>
      </c>
      <c r="AB1513" t="s">
        <v>96</v>
      </c>
      <c r="AC1513" t="s">
        <v>97</v>
      </c>
      <c r="AD1513" t="s">
        <v>1818</v>
      </c>
      <c r="AG1513" t="s">
        <v>2118</v>
      </c>
      <c r="AH1513">
        <v>0</v>
      </c>
      <c r="AI1513">
        <v>619</v>
      </c>
      <c r="AJ1513">
        <v>73</v>
      </c>
      <c r="AK1513">
        <v>33</v>
      </c>
      <c r="AL1513">
        <v>0.63</v>
      </c>
    </row>
    <row r="1514" spans="1:38" x14ac:dyDescent="0.3">
      <c r="A1514" t="s">
        <v>1813</v>
      </c>
      <c r="B1514">
        <v>125012</v>
      </c>
      <c r="C1514">
        <v>5</v>
      </c>
      <c r="D1514" t="s">
        <v>567</v>
      </c>
      <c r="E1514" t="s">
        <v>732</v>
      </c>
      <c r="F1514">
        <v>52</v>
      </c>
      <c r="G1514">
        <v>18.39</v>
      </c>
      <c r="H1514">
        <v>60.82</v>
      </c>
      <c r="I1514">
        <v>15.05</v>
      </c>
      <c r="J1514">
        <v>49.77</v>
      </c>
      <c r="K1514">
        <v>12</v>
      </c>
      <c r="T1514">
        <v>2</v>
      </c>
      <c r="U1514">
        <v>1</v>
      </c>
      <c r="V1514" t="s">
        <v>93</v>
      </c>
      <c r="W1514" t="s">
        <v>1435</v>
      </c>
      <c r="X1514">
        <v>14</v>
      </c>
      <c r="Y1514">
        <v>14</v>
      </c>
      <c r="Z1514" t="s">
        <v>2116</v>
      </c>
      <c r="AA1514" t="s">
        <v>2117</v>
      </c>
      <c r="AB1514" t="s">
        <v>96</v>
      </c>
      <c r="AC1514" t="s">
        <v>97</v>
      </c>
      <c r="AD1514" t="s">
        <v>1818</v>
      </c>
      <c r="AG1514" t="s">
        <v>2118</v>
      </c>
      <c r="AH1514">
        <v>0</v>
      </c>
      <c r="AI1514">
        <v>619</v>
      </c>
      <c r="AJ1514">
        <v>73</v>
      </c>
      <c r="AK1514">
        <v>33</v>
      </c>
      <c r="AL1514">
        <v>0.63</v>
      </c>
    </row>
    <row r="1515" spans="1:38" x14ac:dyDescent="0.3">
      <c r="A1515" t="s">
        <v>1813</v>
      </c>
      <c r="B1515">
        <v>104613</v>
      </c>
      <c r="C1515">
        <v>1</v>
      </c>
      <c r="D1515" t="s">
        <v>2119</v>
      </c>
      <c r="E1515" t="s">
        <v>205</v>
      </c>
      <c r="F1515">
        <v>13</v>
      </c>
      <c r="G1515">
        <v>24.26</v>
      </c>
      <c r="H1515">
        <v>80.209999999999994</v>
      </c>
      <c r="I1515">
        <v>21.58</v>
      </c>
      <c r="J1515">
        <v>71.36</v>
      </c>
      <c r="K1515">
        <v>1</v>
      </c>
      <c r="T1515">
        <v>3</v>
      </c>
      <c r="U1515">
        <v>2</v>
      </c>
      <c r="V1515" t="s">
        <v>211</v>
      </c>
      <c r="W1515">
        <v>80</v>
      </c>
      <c r="X1515">
        <v>8</v>
      </c>
      <c r="Y1515">
        <v>7</v>
      </c>
      <c r="Z1515" t="s">
        <v>2120</v>
      </c>
      <c r="AA1515" t="s">
        <v>2121</v>
      </c>
      <c r="AB1515" t="s">
        <v>96</v>
      </c>
      <c r="AC1515" t="s">
        <v>97</v>
      </c>
      <c r="AD1515" t="s">
        <v>1818</v>
      </c>
      <c r="AG1515" t="s">
        <v>2122</v>
      </c>
      <c r="AH1515">
        <v>0</v>
      </c>
      <c r="AI1515">
        <v>249</v>
      </c>
      <c r="AJ1515">
        <v>48</v>
      </c>
      <c r="AK1515">
        <v>13</v>
      </c>
      <c r="AL1515">
        <v>1</v>
      </c>
    </row>
    <row r="1516" spans="1:38" x14ac:dyDescent="0.3">
      <c r="A1516" t="s">
        <v>1813</v>
      </c>
      <c r="B1516">
        <v>104613</v>
      </c>
      <c r="C1516">
        <v>2</v>
      </c>
      <c r="D1516" t="s">
        <v>2119</v>
      </c>
      <c r="E1516" t="s">
        <v>205</v>
      </c>
      <c r="F1516">
        <v>13</v>
      </c>
      <c r="G1516">
        <v>25.1</v>
      </c>
      <c r="H1516">
        <v>83</v>
      </c>
      <c r="I1516">
        <v>22.33</v>
      </c>
      <c r="J1516">
        <v>73.84</v>
      </c>
      <c r="K1516">
        <v>11</v>
      </c>
      <c r="T1516">
        <v>3</v>
      </c>
      <c r="U1516">
        <v>2</v>
      </c>
      <c r="V1516" t="s">
        <v>211</v>
      </c>
      <c r="W1516">
        <v>83</v>
      </c>
      <c r="X1516">
        <v>8</v>
      </c>
      <c r="Y1516">
        <v>7</v>
      </c>
      <c r="Z1516" t="s">
        <v>2120</v>
      </c>
      <c r="AA1516" t="s">
        <v>2121</v>
      </c>
      <c r="AB1516" t="s">
        <v>96</v>
      </c>
      <c r="AC1516" t="s">
        <v>97</v>
      </c>
      <c r="AD1516" t="s">
        <v>1818</v>
      </c>
      <c r="AG1516" t="s">
        <v>2122</v>
      </c>
      <c r="AH1516">
        <v>0</v>
      </c>
      <c r="AI1516">
        <v>249</v>
      </c>
      <c r="AJ1516">
        <v>48</v>
      </c>
      <c r="AK1516">
        <v>13</v>
      </c>
      <c r="AL1516">
        <v>1</v>
      </c>
    </row>
    <row r="1517" spans="1:38" x14ac:dyDescent="0.3">
      <c r="A1517" t="s">
        <v>1813</v>
      </c>
      <c r="B1517">
        <v>104613</v>
      </c>
      <c r="C1517">
        <v>3</v>
      </c>
      <c r="D1517" t="s">
        <v>2119</v>
      </c>
      <c r="E1517" t="s">
        <v>205</v>
      </c>
      <c r="F1517">
        <v>13</v>
      </c>
      <c r="G1517">
        <v>33.75</v>
      </c>
      <c r="H1517">
        <v>111.6</v>
      </c>
      <c r="I1517">
        <v>30.03</v>
      </c>
      <c r="J1517">
        <v>99.29</v>
      </c>
      <c r="K1517">
        <v>1</v>
      </c>
      <c r="T1517">
        <v>3</v>
      </c>
      <c r="U1517">
        <v>2</v>
      </c>
      <c r="V1517" t="s">
        <v>211</v>
      </c>
      <c r="W1517">
        <v>111</v>
      </c>
      <c r="X1517">
        <v>8</v>
      </c>
      <c r="Y1517">
        <v>7</v>
      </c>
      <c r="Z1517" t="s">
        <v>2120</v>
      </c>
      <c r="AA1517" t="s">
        <v>2121</v>
      </c>
      <c r="AB1517" t="s">
        <v>96</v>
      </c>
      <c r="AC1517" t="s">
        <v>97</v>
      </c>
      <c r="AD1517" t="s">
        <v>1818</v>
      </c>
      <c r="AG1517" t="s">
        <v>2122</v>
      </c>
      <c r="AH1517">
        <v>0</v>
      </c>
      <c r="AI1517">
        <v>249</v>
      </c>
      <c r="AJ1517">
        <v>48</v>
      </c>
      <c r="AK1517">
        <v>13</v>
      </c>
      <c r="AL1517">
        <v>1</v>
      </c>
    </row>
    <row r="1518" spans="1:38" x14ac:dyDescent="0.3">
      <c r="A1518" t="s">
        <v>1813</v>
      </c>
      <c r="B1518">
        <v>120070</v>
      </c>
      <c r="C1518">
        <v>1</v>
      </c>
      <c r="D1518" t="s">
        <v>2123</v>
      </c>
      <c r="E1518" t="s">
        <v>414</v>
      </c>
      <c r="F1518">
        <v>65</v>
      </c>
      <c r="G1518">
        <v>19.14</v>
      </c>
      <c r="H1518">
        <v>63.28</v>
      </c>
      <c r="I1518">
        <v>15.37</v>
      </c>
      <c r="J1518">
        <v>50.81</v>
      </c>
      <c r="K1518">
        <v>13</v>
      </c>
      <c r="T1518">
        <v>3</v>
      </c>
      <c r="U1518">
        <v>2</v>
      </c>
      <c r="V1518" t="s">
        <v>93</v>
      </c>
      <c r="W1518">
        <v>63</v>
      </c>
      <c r="X1518">
        <v>14</v>
      </c>
      <c r="Y1518">
        <v>14</v>
      </c>
      <c r="Z1518" t="s">
        <v>2124</v>
      </c>
      <c r="AA1518" t="s">
        <v>2125</v>
      </c>
      <c r="AB1518" t="s">
        <v>96</v>
      </c>
      <c r="AC1518" t="s">
        <v>97</v>
      </c>
      <c r="AD1518" t="s">
        <v>1818</v>
      </c>
      <c r="AG1518" t="s">
        <v>2126</v>
      </c>
      <c r="AH1518">
        <v>0</v>
      </c>
      <c r="AI1518">
        <v>698</v>
      </c>
      <c r="AJ1518">
        <v>72</v>
      </c>
      <c r="AK1518">
        <v>58</v>
      </c>
      <c r="AL1518">
        <v>0.89</v>
      </c>
    </row>
    <row r="1519" spans="1:38" x14ac:dyDescent="0.3">
      <c r="A1519" t="s">
        <v>1813</v>
      </c>
      <c r="B1519">
        <v>120070</v>
      </c>
      <c r="C1519">
        <v>2</v>
      </c>
      <c r="D1519" t="s">
        <v>2123</v>
      </c>
      <c r="E1519" t="s">
        <v>414</v>
      </c>
      <c r="F1519">
        <v>65</v>
      </c>
      <c r="G1519">
        <v>21.55</v>
      </c>
      <c r="H1519">
        <v>71.27</v>
      </c>
      <c r="I1519">
        <v>17.329999999999998</v>
      </c>
      <c r="J1519">
        <v>57.3</v>
      </c>
      <c r="K1519">
        <v>13</v>
      </c>
      <c r="T1519">
        <v>3</v>
      </c>
      <c r="U1519">
        <v>2</v>
      </c>
      <c r="V1519" t="s">
        <v>93</v>
      </c>
      <c r="W1519" t="s">
        <v>460</v>
      </c>
      <c r="X1519">
        <v>14</v>
      </c>
      <c r="Y1519">
        <v>14</v>
      </c>
      <c r="Z1519" t="s">
        <v>2124</v>
      </c>
      <c r="AA1519" t="s">
        <v>2125</v>
      </c>
      <c r="AB1519" t="s">
        <v>96</v>
      </c>
      <c r="AC1519" t="s">
        <v>97</v>
      </c>
      <c r="AD1519" t="s">
        <v>1818</v>
      </c>
      <c r="AG1519" t="s">
        <v>2126</v>
      </c>
      <c r="AH1519">
        <v>0</v>
      </c>
      <c r="AI1519">
        <v>698</v>
      </c>
      <c r="AJ1519">
        <v>72</v>
      </c>
      <c r="AK1519">
        <v>58</v>
      </c>
      <c r="AL1519">
        <v>0.89</v>
      </c>
    </row>
    <row r="1520" spans="1:38" x14ac:dyDescent="0.3">
      <c r="A1520" t="s">
        <v>1813</v>
      </c>
      <c r="B1520">
        <v>120070</v>
      </c>
      <c r="C1520">
        <v>3</v>
      </c>
      <c r="D1520" t="s">
        <v>2123</v>
      </c>
      <c r="E1520" t="s">
        <v>414</v>
      </c>
      <c r="F1520">
        <v>65</v>
      </c>
      <c r="G1520">
        <v>21.67</v>
      </c>
      <c r="H1520">
        <v>71.650000000000006</v>
      </c>
      <c r="I1520">
        <v>17.79</v>
      </c>
      <c r="J1520">
        <v>58.81</v>
      </c>
      <c r="K1520">
        <v>13</v>
      </c>
      <c r="T1520">
        <v>3</v>
      </c>
      <c r="U1520">
        <v>2</v>
      </c>
      <c r="V1520" t="s">
        <v>93</v>
      </c>
      <c r="W1520" t="s">
        <v>2127</v>
      </c>
      <c r="X1520">
        <v>14</v>
      </c>
      <c r="Y1520">
        <v>14</v>
      </c>
      <c r="Z1520" t="s">
        <v>2124</v>
      </c>
      <c r="AA1520" t="s">
        <v>2125</v>
      </c>
      <c r="AB1520" t="s">
        <v>96</v>
      </c>
      <c r="AC1520" t="s">
        <v>97</v>
      </c>
      <c r="AD1520" t="s">
        <v>1818</v>
      </c>
      <c r="AG1520" t="s">
        <v>2126</v>
      </c>
      <c r="AH1520">
        <v>0</v>
      </c>
      <c r="AI1520">
        <v>698</v>
      </c>
      <c r="AJ1520">
        <v>72</v>
      </c>
      <c r="AK1520">
        <v>58</v>
      </c>
      <c r="AL1520">
        <v>0.89</v>
      </c>
    </row>
    <row r="1521" spans="1:38" x14ac:dyDescent="0.3">
      <c r="A1521" t="s">
        <v>1813</v>
      </c>
      <c r="B1521">
        <v>120070</v>
      </c>
      <c r="C1521">
        <v>4</v>
      </c>
      <c r="D1521" t="s">
        <v>2123</v>
      </c>
      <c r="E1521" t="s">
        <v>414</v>
      </c>
      <c r="F1521">
        <v>65</v>
      </c>
      <c r="G1521">
        <v>22.61</v>
      </c>
      <c r="H1521">
        <v>74.77</v>
      </c>
      <c r="I1521">
        <v>18.13</v>
      </c>
      <c r="J1521">
        <v>59.96</v>
      </c>
      <c r="K1521">
        <v>12</v>
      </c>
      <c r="T1521">
        <v>3</v>
      </c>
      <c r="U1521">
        <v>2</v>
      </c>
      <c r="V1521" t="s">
        <v>93</v>
      </c>
      <c r="W1521" t="s">
        <v>406</v>
      </c>
      <c r="X1521">
        <v>14</v>
      </c>
      <c r="Y1521">
        <v>14</v>
      </c>
      <c r="Z1521" t="s">
        <v>2124</v>
      </c>
      <c r="AA1521" t="s">
        <v>2125</v>
      </c>
      <c r="AB1521" t="s">
        <v>96</v>
      </c>
      <c r="AC1521" t="s">
        <v>97</v>
      </c>
      <c r="AD1521" t="s">
        <v>1818</v>
      </c>
      <c r="AG1521" t="s">
        <v>2126</v>
      </c>
      <c r="AH1521">
        <v>0</v>
      </c>
      <c r="AI1521">
        <v>698</v>
      </c>
      <c r="AJ1521">
        <v>72</v>
      </c>
      <c r="AK1521">
        <v>58</v>
      </c>
      <c r="AL1521">
        <v>0.89</v>
      </c>
    </row>
    <row r="1522" spans="1:38" x14ac:dyDescent="0.3">
      <c r="A1522" t="s">
        <v>1813</v>
      </c>
      <c r="B1522">
        <v>120070</v>
      </c>
      <c r="C1522">
        <v>5</v>
      </c>
      <c r="D1522" t="s">
        <v>2123</v>
      </c>
      <c r="E1522" t="s">
        <v>414</v>
      </c>
      <c r="F1522">
        <v>65</v>
      </c>
      <c r="G1522">
        <v>22.62</v>
      </c>
      <c r="H1522">
        <v>74.78</v>
      </c>
      <c r="I1522">
        <v>18.13</v>
      </c>
      <c r="J1522">
        <v>59.96</v>
      </c>
      <c r="K1522">
        <v>1</v>
      </c>
      <c r="T1522">
        <v>3</v>
      </c>
      <c r="U1522">
        <v>2</v>
      </c>
      <c r="V1522" t="s">
        <v>93</v>
      </c>
      <c r="W1522" t="s">
        <v>876</v>
      </c>
      <c r="X1522">
        <v>14</v>
      </c>
      <c r="Y1522">
        <v>14</v>
      </c>
      <c r="Z1522" t="s">
        <v>2124</v>
      </c>
      <c r="AA1522" t="s">
        <v>2125</v>
      </c>
      <c r="AB1522" t="s">
        <v>96</v>
      </c>
      <c r="AC1522" t="s">
        <v>97</v>
      </c>
      <c r="AD1522" t="s">
        <v>1818</v>
      </c>
      <c r="AG1522" t="s">
        <v>2126</v>
      </c>
      <c r="AH1522">
        <v>0</v>
      </c>
      <c r="AI1522">
        <v>698</v>
      </c>
      <c r="AJ1522">
        <v>72</v>
      </c>
      <c r="AK1522">
        <v>58</v>
      </c>
      <c r="AL1522">
        <v>0.89</v>
      </c>
    </row>
    <row r="1523" spans="1:38" x14ac:dyDescent="0.3">
      <c r="A1523" t="s">
        <v>1813</v>
      </c>
      <c r="B1523">
        <v>120070</v>
      </c>
      <c r="C1523">
        <v>6</v>
      </c>
      <c r="D1523" t="s">
        <v>2123</v>
      </c>
      <c r="E1523" t="s">
        <v>414</v>
      </c>
      <c r="F1523">
        <v>65</v>
      </c>
      <c r="G1523">
        <v>25.46</v>
      </c>
      <c r="H1523">
        <v>84.19</v>
      </c>
      <c r="I1523">
        <v>20.73</v>
      </c>
      <c r="J1523">
        <v>68.55</v>
      </c>
      <c r="K1523">
        <v>13</v>
      </c>
      <c r="T1523">
        <v>3</v>
      </c>
      <c r="U1523">
        <v>2</v>
      </c>
      <c r="V1523" t="s">
        <v>93</v>
      </c>
      <c r="W1523">
        <v>84</v>
      </c>
      <c r="X1523">
        <v>14</v>
      </c>
      <c r="Y1523">
        <v>14</v>
      </c>
      <c r="Z1523" t="s">
        <v>2124</v>
      </c>
      <c r="AA1523" t="s">
        <v>2125</v>
      </c>
      <c r="AB1523" t="s">
        <v>96</v>
      </c>
      <c r="AC1523" t="s">
        <v>97</v>
      </c>
      <c r="AD1523" t="s">
        <v>1818</v>
      </c>
      <c r="AG1523" t="s">
        <v>2126</v>
      </c>
      <c r="AH1523">
        <v>0</v>
      </c>
      <c r="AI1523">
        <v>698</v>
      </c>
      <c r="AJ1523">
        <v>72</v>
      </c>
      <c r="AK1523">
        <v>58</v>
      </c>
      <c r="AL1523">
        <v>0.89</v>
      </c>
    </row>
    <row r="1524" spans="1:38" x14ac:dyDescent="0.3">
      <c r="A1524" t="s">
        <v>1813</v>
      </c>
      <c r="B1524">
        <v>9226</v>
      </c>
      <c r="C1524">
        <v>1</v>
      </c>
      <c r="D1524" t="s">
        <v>2128</v>
      </c>
      <c r="E1524" t="s">
        <v>1101</v>
      </c>
      <c r="F1524">
        <v>55</v>
      </c>
      <c r="G1524">
        <v>16.82</v>
      </c>
      <c r="H1524">
        <v>55.62</v>
      </c>
      <c r="I1524">
        <v>13.66</v>
      </c>
      <c r="J1524">
        <v>45.18</v>
      </c>
      <c r="K1524">
        <v>16</v>
      </c>
      <c r="T1524">
        <v>2</v>
      </c>
      <c r="U1524">
        <v>1</v>
      </c>
      <c r="V1524" t="s">
        <v>211</v>
      </c>
      <c r="W1524">
        <v>55</v>
      </c>
      <c r="X1524">
        <v>5</v>
      </c>
      <c r="Y1524">
        <v>4</v>
      </c>
      <c r="Z1524" t="s">
        <v>2129</v>
      </c>
      <c r="AA1524" t="s">
        <v>2130</v>
      </c>
      <c r="AB1524" t="s">
        <v>96</v>
      </c>
      <c r="AC1524" t="s">
        <v>97</v>
      </c>
      <c r="AD1524" t="s">
        <v>1818</v>
      </c>
      <c r="AG1524" t="s">
        <v>2131</v>
      </c>
      <c r="AH1524">
        <v>0</v>
      </c>
      <c r="AI1524">
        <v>0</v>
      </c>
      <c r="AJ1524">
        <v>0</v>
      </c>
      <c r="AK1524">
        <v>0</v>
      </c>
      <c r="AL1524">
        <v>0</v>
      </c>
    </row>
    <row r="1525" spans="1:38" x14ac:dyDescent="0.3">
      <c r="A1525" t="s">
        <v>1813</v>
      </c>
      <c r="B1525">
        <v>9226</v>
      </c>
      <c r="C1525">
        <v>2</v>
      </c>
      <c r="D1525" t="s">
        <v>2128</v>
      </c>
      <c r="E1525" t="s">
        <v>1101</v>
      </c>
      <c r="F1525">
        <v>55</v>
      </c>
      <c r="G1525">
        <v>18.510000000000002</v>
      </c>
      <c r="H1525">
        <v>61.22</v>
      </c>
      <c r="I1525">
        <v>15.01</v>
      </c>
      <c r="J1525">
        <v>49.62</v>
      </c>
      <c r="K1525">
        <v>4</v>
      </c>
      <c r="T1525">
        <v>2</v>
      </c>
      <c r="U1525">
        <v>1</v>
      </c>
      <c r="V1525" t="s">
        <v>93</v>
      </c>
      <c r="W1525">
        <v>61</v>
      </c>
      <c r="X1525">
        <v>5</v>
      </c>
      <c r="Y1525">
        <v>4</v>
      </c>
      <c r="Z1525" t="s">
        <v>2129</v>
      </c>
      <c r="AA1525" t="s">
        <v>2130</v>
      </c>
      <c r="AB1525" t="s">
        <v>96</v>
      </c>
      <c r="AC1525" t="s">
        <v>97</v>
      </c>
      <c r="AD1525" t="s">
        <v>1818</v>
      </c>
      <c r="AG1525" t="s">
        <v>2131</v>
      </c>
      <c r="AH1525">
        <v>0</v>
      </c>
      <c r="AI1525">
        <v>0</v>
      </c>
      <c r="AJ1525">
        <v>0</v>
      </c>
      <c r="AK1525">
        <v>0</v>
      </c>
      <c r="AL1525">
        <v>0</v>
      </c>
    </row>
    <row r="1526" spans="1:38" x14ac:dyDescent="0.3">
      <c r="A1526" t="s">
        <v>1813</v>
      </c>
      <c r="B1526">
        <v>9226</v>
      </c>
      <c r="C1526">
        <v>3</v>
      </c>
      <c r="D1526" t="s">
        <v>2128</v>
      </c>
      <c r="E1526" t="s">
        <v>1101</v>
      </c>
      <c r="F1526">
        <v>55</v>
      </c>
      <c r="G1526">
        <v>19.78</v>
      </c>
      <c r="H1526">
        <v>65.39</v>
      </c>
      <c r="I1526">
        <v>16</v>
      </c>
      <c r="J1526">
        <v>52.92</v>
      </c>
      <c r="K1526">
        <v>30</v>
      </c>
      <c r="T1526">
        <v>3</v>
      </c>
      <c r="U1526">
        <v>1</v>
      </c>
      <c r="V1526" t="s">
        <v>93</v>
      </c>
      <c r="W1526">
        <v>65</v>
      </c>
      <c r="X1526">
        <v>5</v>
      </c>
      <c r="Y1526">
        <v>4</v>
      </c>
      <c r="Z1526" t="s">
        <v>2129</v>
      </c>
      <c r="AA1526" t="s">
        <v>2130</v>
      </c>
      <c r="AB1526" t="s">
        <v>96</v>
      </c>
      <c r="AC1526" t="s">
        <v>97</v>
      </c>
      <c r="AD1526" t="s">
        <v>1818</v>
      </c>
      <c r="AG1526" t="s">
        <v>2131</v>
      </c>
      <c r="AH1526">
        <v>0</v>
      </c>
      <c r="AI1526">
        <v>0</v>
      </c>
      <c r="AJ1526">
        <v>0</v>
      </c>
      <c r="AK1526">
        <v>0</v>
      </c>
      <c r="AL1526">
        <v>0</v>
      </c>
    </row>
    <row r="1527" spans="1:38" x14ac:dyDescent="0.3">
      <c r="A1527" t="s">
        <v>1813</v>
      </c>
      <c r="B1527">
        <v>9226</v>
      </c>
      <c r="C1527">
        <v>4</v>
      </c>
      <c r="D1527" t="s">
        <v>2128</v>
      </c>
      <c r="E1527" t="s">
        <v>1101</v>
      </c>
      <c r="F1527">
        <v>55</v>
      </c>
      <c r="G1527">
        <v>20.83</v>
      </c>
      <c r="H1527">
        <v>68.86</v>
      </c>
      <c r="I1527">
        <v>16.84</v>
      </c>
      <c r="J1527">
        <v>55.68</v>
      </c>
      <c r="K1527">
        <v>4</v>
      </c>
      <c r="T1527">
        <v>3</v>
      </c>
      <c r="U1527">
        <v>1</v>
      </c>
      <c r="V1527" t="s">
        <v>93</v>
      </c>
      <c r="W1527">
        <v>68</v>
      </c>
      <c r="X1527">
        <v>5</v>
      </c>
      <c r="Y1527">
        <v>4</v>
      </c>
      <c r="Z1527" t="s">
        <v>2129</v>
      </c>
      <c r="AA1527" t="s">
        <v>2130</v>
      </c>
      <c r="AB1527" t="s">
        <v>96</v>
      </c>
      <c r="AC1527" t="s">
        <v>97</v>
      </c>
      <c r="AD1527" t="s">
        <v>1818</v>
      </c>
      <c r="AG1527" t="s">
        <v>2131</v>
      </c>
      <c r="AH1527">
        <v>0</v>
      </c>
      <c r="AI1527">
        <v>0</v>
      </c>
      <c r="AJ1527">
        <v>0</v>
      </c>
      <c r="AK1527">
        <v>0</v>
      </c>
      <c r="AL1527">
        <v>0</v>
      </c>
    </row>
    <row r="1528" spans="1:38" x14ac:dyDescent="0.3">
      <c r="A1528" t="s">
        <v>1813</v>
      </c>
      <c r="B1528">
        <v>9226</v>
      </c>
      <c r="C1528">
        <v>5</v>
      </c>
      <c r="D1528" t="s">
        <v>2128</v>
      </c>
      <c r="E1528" t="s">
        <v>1101</v>
      </c>
      <c r="F1528">
        <v>55</v>
      </c>
      <c r="G1528">
        <v>22.39</v>
      </c>
      <c r="H1528">
        <v>74.02</v>
      </c>
      <c r="I1528">
        <v>18.399999999999999</v>
      </c>
      <c r="J1528">
        <v>60.84</v>
      </c>
      <c r="K1528">
        <v>1</v>
      </c>
      <c r="T1528">
        <v>3</v>
      </c>
      <c r="U1528">
        <v>1</v>
      </c>
      <c r="V1528" t="s">
        <v>93</v>
      </c>
      <c r="W1528">
        <v>74</v>
      </c>
      <c r="X1528">
        <v>5</v>
      </c>
      <c r="Y1528">
        <v>4</v>
      </c>
      <c r="Z1528" t="s">
        <v>2129</v>
      </c>
      <c r="AA1528" t="s">
        <v>2130</v>
      </c>
      <c r="AB1528" t="s">
        <v>96</v>
      </c>
      <c r="AC1528" t="s">
        <v>97</v>
      </c>
      <c r="AD1528" t="s">
        <v>1818</v>
      </c>
      <c r="AG1528" t="s">
        <v>2131</v>
      </c>
      <c r="AH1528">
        <v>0</v>
      </c>
      <c r="AI1528">
        <v>0</v>
      </c>
      <c r="AJ1528">
        <v>0</v>
      </c>
      <c r="AK1528">
        <v>0</v>
      </c>
      <c r="AL1528">
        <v>0</v>
      </c>
    </row>
    <row r="1529" spans="1:38" x14ac:dyDescent="0.3">
      <c r="A1529" t="s">
        <v>1813</v>
      </c>
      <c r="B1529">
        <v>118967</v>
      </c>
      <c r="C1529">
        <v>1</v>
      </c>
      <c r="D1529" t="s">
        <v>2132</v>
      </c>
      <c r="E1529" t="s">
        <v>2133</v>
      </c>
      <c r="F1529">
        <v>12</v>
      </c>
      <c r="G1529">
        <v>24.59</v>
      </c>
      <c r="H1529">
        <v>81.290000000000006</v>
      </c>
      <c r="I1529">
        <v>19.82</v>
      </c>
      <c r="J1529">
        <v>65.53</v>
      </c>
      <c r="K1529">
        <v>12</v>
      </c>
      <c r="T1529">
        <v>3</v>
      </c>
      <c r="U1529">
        <v>2</v>
      </c>
      <c r="V1529" t="s">
        <v>93</v>
      </c>
      <c r="W1529">
        <v>81</v>
      </c>
      <c r="X1529">
        <v>10</v>
      </c>
      <c r="Y1529">
        <v>10</v>
      </c>
      <c r="Z1529" t="s">
        <v>2134</v>
      </c>
      <c r="AA1529" t="s">
        <v>2135</v>
      </c>
      <c r="AB1529" t="s">
        <v>96</v>
      </c>
      <c r="AC1529" t="s">
        <v>97</v>
      </c>
      <c r="AD1529" t="s">
        <v>1818</v>
      </c>
      <c r="AG1529" t="s">
        <v>2136</v>
      </c>
      <c r="AH1529">
        <v>0</v>
      </c>
      <c r="AI1529">
        <v>431</v>
      </c>
      <c r="AJ1529">
        <v>59</v>
      </c>
      <c r="AK1529">
        <v>14</v>
      </c>
      <c r="AL1529">
        <v>1.17</v>
      </c>
    </row>
    <row r="1530" spans="1:38" x14ac:dyDescent="0.3">
      <c r="A1530" t="s">
        <v>1813</v>
      </c>
      <c r="B1530">
        <v>123391</v>
      </c>
      <c r="C1530">
        <v>1</v>
      </c>
      <c r="D1530" t="s">
        <v>2137</v>
      </c>
      <c r="E1530" t="s">
        <v>981</v>
      </c>
      <c r="F1530">
        <v>27</v>
      </c>
      <c r="G1530">
        <v>18.68</v>
      </c>
      <c r="H1530">
        <v>61.76</v>
      </c>
      <c r="I1530">
        <v>15.76</v>
      </c>
      <c r="J1530">
        <v>52.13</v>
      </c>
      <c r="K1530">
        <v>9</v>
      </c>
      <c r="T1530">
        <v>2</v>
      </c>
      <c r="U1530">
        <v>1</v>
      </c>
      <c r="V1530" t="s">
        <v>93</v>
      </c>
      <c r="W1530">
        <v>61</v>
      </c>
      <c r="X1530">
        <v>10</v>
      </c>
      <c r="Y1530">
        <v>10</v>
      </c>
      <c r="Z1530" t="s">
        <v>2138</v>
      </c>
      <c r="AA1530" t="s">
        <v>2139</v>
      </c>
      <c r="AB1530" t="s">
        <v>96</v>
      </c>
      <c r="AC1530" t="s">
        <v>97</v>
      </c>
      <c r="AD1530" t="s">
        <v>1818</v>
      </c>
      <c r="AG1530" t="s">
        <v>2140</v>
      </c>
      <c r="AH1530">
        <v>0</v>
      </c>
      <c r="AI1530">
        <v>584</v>
      </c>
      <c r="AJ1530">
        <v>63</v>
      </c>
      <c r="AK1530">
        <v>27</v>
      </c>
      <c r="AL1530">
        <v>1</v>
      </c>
    </row>
    <row r="1531" spans="1:38" x14ac:dyDescent="0.3">
      <c r="A1531" t="s">
        <v>1813</v>
      </c>
      <c r="B1531">
        <v>123391</v>
      </c>
      <c r="C1531">
        <v>2</v>
      </c>
      <c r="D1531" t="s">
        <v>2137</v>
      </c>
      <c r="E1531" t="s">
        <v>981</v>
      </c>
      <c r="F1531">
        <v>27</v>
      </c>
      <c r="G1531">
        <v>24.66</v>
      </c>
      <c r="H1531">
        <v>81.53</v>
      </c>
      <c r="I1531">
        <v>20.91</v>
      </c>
      <c r="J1531">
        <v>69.13</v>
      </c>
      <c r="K1531">
        <v>9</v>
      </c>
      <c r="T1531">
        <v>3</v>
      </c>
      <c r="U1531">
        <v>2</v>
      </c>
      <c r="V1531" t="s">
        <v>93</v>
      </c>
      <c r="W1531" t="s">
        <v>502</v>
      </c>
      <c r="X1531">
        <v>10</v>
      </c>
      <c r="Y1531">
        <v>10</v>
      </c>
      <c r="Z1531" t="s">
        <v>2138</v>
      </c>
      <c r="AA1531" t="s">
        <v>2139</v>
      </c>
      <c r="AB1531" t="s">
        <v>96</v>
      </c>
      <c r="AC1531" t="s">
        <v>97</v>
      </c>
      <c r="AD1531" t="s">
        <v>1818</v>
      </c>
      <c r="AG1531" t="s">
        <v>2140</v>
      </c>
      <c r="AH1531">
        <v>0</v>
      </c>
      <c r="AI1531">
        <v>584</v>
      </c>
      <c r="AJ1531">
        <v>63</v>
      </c>
      <c r="AK1531">
        <v>27</v>
      </c>
      <c r="AL1531">
        <v>1</v>
      </c>
    </row>
    <row r="1532" spans="1:38" x14ac:dyDescent="0.3">
      <c r="A1532" t="s">
        <v>1813</v>
      </c>
      <c r="B1532">
        <v>123391</v>
      </c>
      <c r="C1532">
        <v>3</v>
      </c>
      <c r="D1532" t="s">
        <v>2137</v>
      </c>
      <c r="E1532" t="s">
        <v>981</v>
      </c>
      <c r="F1532">
        <v>27</v>
      </c>
      <c r="G1532">
        <v>25.01</v>
      </c>
      <c r="H1532">
        <v>82.71</v>
      </c>
      <c r="I1532">
        <v>21.1</v>
      </c>
      <c r="J1532">
        <v>69.760000000000005</v>
      </c>
      <c r="K1532">
        <v>9</v>
      </c>
      <c r="T1532">
        <v>3</v>
      </c>
      <c r="U1532">
        <v>2</v>
      </c>
      <c r="V1532" t="s">
        <v>93</v>
      </c>
      <c r="W1532" t="s">
        <v>503</v>
      </c>
      <c r="X1532">
        <v>10</v>
      </c>
      <c r="Y1532">
        <v>10</v>
      </c>
      <c r="Z1532" t="s">
        <v>2138</v>
      </c>
      <c r="AA1532" t="s">
        <v>2139</v>
      </c>
      <c r="AB1532" t="s">
        <v>96</v>
      </c>
      <c r="AC1532" t="s">
        <v>97</v>
      </c>
      <c r="AD1532" t="s">
        <v>1818</v>
      </c>
      <c r="AG1532" t="s">
        <v>2140</v>
      </c>
      <c r="AH1532">
        <v>0</v>
      </c>
      <c r="AI1532">
        <v>584</v>
      </c>
      <c r="AJ1532">
        <v>63</v>
      </c>
      <c r="AK1532">
        <v>27</v>
      </c>
      <c r="AL1532">
        <v>1</v>
      </c>
    </row>
    <row r="1533" spans="1:38" x14ac:dyDescent="0.3">
      <c r="A1533" t="s">
        <v>1813</v>
      </c>
      <c r="B1533">
        <v>14802</v>
      </c>
      <c r="C1533">
        <v>1</v>
      </c>
      <c r="D1533" t="s">
        <v>2141</v>
      </c>
      <c r="E1533" t="s">
        <v>2142</v>
      </c>
      <c r="F1533">
        <v>150</v>
      </c>
      <c r="G1533">
        <v>17.79</v>
      </c>
      <c r="H1533">
        <v>58.81</v>
      </c>
      <c r="I1533">
        <v>16.13</v>
      </c>
      <c r="J1533">
        <v>53.34</v>
      </c>
      <c r="K1533">
        <v>150</v>
      </c>
      <c r="T1533">
        <v>3</v>
      </c>
      <c r="U1533">
        <v>1</v>
      </c>
      <c r="V1533" t="s">
        <v>93</v>
      </c>
      <c r="W1533">
        <v>58</v>
      </c>
      <c r="X1533">
        <v>5</v>
      </c>
      <c r="Y1533">
        <v>5</v>
      </c>
      <c r="Z1533" t="s">
        <v>2143</v>
      </c>
      <c r="AA1533" t="s">
        <v>2144</v>
      </c>
      <c r="AB1533" t="s">
        <v>96</v>
      </c>
      <c r="AC1533" t="s">
        <v>97</v>
      </c>
      <c r="AD1533" t="s">
        <v>1818</v>
      </c>
      <c r="AG1533" t="s">
        <v>2145</v>
      </c>
      <c r="AH1533">
        <v>0</v>
      </c>
      <c r="AI1533">
        <v>125</v>
      </c>
      <c r="AJ1533">
        <v>23</v>
      </c>
      <c r="AK1533">
        <v>0</v>
      </c>
      <c r="AL1533">
        <v>0</v>
      </c>
    </row>
    <row r="1534" spans="1:38" x14ac:dyDescent="0.3">
      <c r="A1534" t="s">
        <v>1813</v>
      </c>
      <c r="B1534">
        <v>123549</v>
      </c>
      <c r="C1534">
        <v>1</v>
      </c>
      <c r="D1534" t="s">
        <v>2146</v>
      </c>
      <c r="E1534" t="s">
        <v>1025</v>
      </c>
      <c r="F1534">
        <v>42</v>
      </c>
      <c r="G1534">
        <v>21.58</v>
      </c>
      <c r="H1534">
        <v>71.34</v>
      </c>
      <c r="I1534">
        <v>17.02</v>
      </c>
      <c r="J1534">
        <v>56.27</v>
      </c>
      <c r="K1534">
        <v>13</v>
      </c>
      <c r="T1534">
        <v>3</v>
      </c>
      <c r="U1534">
        <v>2</v>
      </c>
      <c r="V1534" t="s">
        <v>93</v>
      </c>
      <c r="W1534" t="s">
        <v>2127</v>
      </c>
      <c r="X1534">
        <v>15</v>
      </c>
      <c r="Y1534">
        <v>15</v>
      </c>
      <c r="Z1534" t="s">
        <v>2147</v>
      </c>
      <c r="AA1534" t="s">
        <v>2148</v>
      </c>
      <c r="AB1534" t="s">
        <v>96</v>
      </c>
      <c r="AC1534" t="s">
        <v>97</v>
      </c>
      <c r="AD1534" t="s">
        <v>1818</v>
      </c>
      <c r="AG1534" t="s">
        <v>2149</v>
      </c>
      <c r="AH1534">
        <v>0</v>
      </c>
      <c r="AI1534">
        <v>846</v>
      </c>
      <c r="AJ1534">
        <v>77</v>
      </c>
      <c r="AK1534">
        <v>36</v>
      </c>
      <c r="AL1534">
        <v>0.86</v>
      </c>
    </row>
    <row r="1535" spans="1:38" x14ac:dyDescent="0.3">
      <c r="A1535" t="s">
        <v>1813</v>
      </c>
      <c r="B1535">
        <v>123549</v>
      </c>
      <c r="C1535">
        <v>2</v>
      </c>
      <c r="D1535" t="s">
        <v>2146</v>
      </c>
      <c r="E1535" t="s">
        <v>1025</v>
      </c>
      <c r="F1535">
        <v>42</v>
      </c>
      <c r="G1535">
        <v>21.56</v>
      </c>
      <c r="H1535">
        <v>71.290000000000006</v>
      </c>
      <c r="I1535">
        <v>16.93</v>
      </c>
      <c r="J1535">
        <v>55.99</v>
      </c>
      <c r="K1535">
        <v>1</v>
      </c>
      <c r="T1535">
        <v>3</v>
      </c>
      <c r="U1535">
        <v>2</v>
      </c>
      <c r="V1535" t="s">
        <v>93</v>
      </c>
      <c r="W1535" t="s">
        <v>460</v>
      </c>
      <c r="X1535">
        <v>15</v>
      </c>
      <c r="Y1535">
        <v>15</v>
      </c>
      <c r="Z1535" t="s">
        <v>2147</v>
      </c>
      <c r="AA1535" t="s">
        <v>2148</v>
      </c>
      <c r="AB1535" t="s">
        <v>96</v>
      </c>
      <c r="AC1535" t="s">
        <v>97</v>
      </c>
      <c r="AD1535" t="s">
        <v>1818</v>
      </c>
      <c r="AG1535" t="s">
        <v>2149</v>
      </c>
      <c r="AH1535">
        <v>0</v>
      </c>
      <c r="AI1535">
        <v>846</v>
      </c>
      <c r="AJ1535">
        <v>77</v>
      </c>
      <c r="AK1535">
        <v>36</v>
      </c>
      <c r="AL1535">
        <v>0.86</v>
      </c>
    </row>
    <row r="1536" spans="1:38" x14ac:dyDescent="0.3">
      <c r="A1536" t="s">
        <v>1813</v>
      </c>
      <c r="B1536">
        <v>123549</v>
      </c>
      <c r="C1536">
        <v>3</v>
      </c>
      <c r="D1536" t="s">
        <v>2146</v>
      </c>
      <c r="E1536" t="s">
        <v>1025</v>
      </c>
      <c r="F1536">
        <v>42</v>
      </c>
      <c r="G1536">
        <v>21.9</v>
      </c>
      <c r="H1536">
        <v>72.400000000000006</v>
      </c>
      <c r="I1536">
        <v>17.350000000000001</v>
      </c>
      <c r="J1536">
        <v>57.36</v>
      </c>
      <c r="K1536">
        <v>13</v>
      </c>
      <c r="T1536">
        <v>3</v>
      </c>
      <c r="U1536">
        <v>2</v>
      </c>
      <c r="V1536" t="s">
        <v>93</v>
      </c>
      <c r="W1536" t="s">
        <v>623</v>
      </c>
      <c r="X1536">
        <v>15</v>
      </c>
      <c r="Y1536">
        <v>15</v>
      </c>
      <c r="Z1536" t="s">
        <v>2147</v>
      </c>
      <c r="AA1536" t="s">
        <v>2148</v>
      </c>
      <c r="AB1536" t="s">
        <v>96</v>
      </c>
      <c r="AC1536" t="s">
        <v>97</v>
      </c>
      <c r="AD1536" t="s">
        <v>1818</v>
      </c>
      <c r="AG1536" t="s">
        <v>2149</v>
      </c>
      <c r="AH1536">
        <v>0</v>
      </c>
      <c r="AI1536">
        <v>846</v>
      </c>
      <c r="AJ1536">
        <v>77</v>
      </c>
      <c r="AK1536">
        <v>36</v>
      </c>
      <c r="AL1536">
        <v>0.86</v>
      </c>
    </row>
    <row r="1537" spans="1:38" x14ac:dyDescent="0.3">
      <c r="A1537" t="s">
        <v>1813</v>
      </c>
      <c r="B1537">
        <v>123549</v>
      </c>
      <c r="C1537">
        <v>4</v>
      </c>
      <c r="D1537" t="s">
        <v>2146</v>
      </c>
      <c r="E1537" t="s">
        <v>1025</v>
      </c>
      <c r="F1537">
        <v>42</v>
      </c>
      <c r="G1537">
        <v>21.87</v>
      </c>
      <c r="H1537">
        <v>72.319999999999993</v>
      </c>
      <c r="I1537">
        <v>17.21</v>
      </c>
      <c r="J1537">
        <v>56.9</v>
      </c>
      <c r="K1537">
        <v>1</v>
      </c>
      <c r="T1537">
        <v>3</v>
      </c>
      <c r="U1537">
        <v>2</v>
      </c>
      <c r="V1537" t="s">
        <v>93</v>
      </c>
      <c r="W1537" t="s">
        <v>607</v>
      </c>
      <c r="X1537">
        <v>15</v>
      </c>
      <c r="Y1537">
        <v>15</v>
      </c>
      <c r="Z1537" t="s">
        <v>2147</v>
      </c>
      <c r="AA1537" t="s">
        <v>2148</v>
      </c>
      <c r="AB1537" t="s">
        <v>96</v>
      </c>
      <c r="AC1537" t="s">
        <v>97</v>
      </c>
      <c r="AD1537" t="s">
        <v>1818</v>
      </c>
      <c r="AG1537" t="s">
        <v>2149</v>
      </c>
      <c r="AH1537">
        <v>0</v>
      </c>
      <c r="AI1537">
        <v>846</v>
      </c>
      <c r="AJ1537">
        <v>77</v>
      </c>
      <c r="AK1537">
        <v>36</v>
      </c>
      <c r="AL1537">
        <v>0.86</v>
      </c>
    </row>
    <row r="1538" spans="1:38" x14ac:dyDescent="0.3">
      <c r="A1538" t="s">
        <v>1813</v>
      </c>
      <c r="B1538">
        <v>123549</v>
      </c>
      <c r="C1538">
        <v>5</v>
      </c>
      <c r="D1538" t="s">
        <v>2146</v>
      </c>
      <c r="E1538" t="s">
        <v>1025</v>
      </c>
      <c r="F1538">
        <v>42</v>
      </c>
      <c r="G1538">
        <v>22.77</v>
      </c>
      <c r="H1538">
        <v>75.3</v>
      </c>
      <c r="I1538">
        <v>18.11</v>
      </c>
      <c r="J1538">
        <v>59.88</v>
      </c>
      <c r="K1538">
        <v>14</v>
      </c>
      <c r="T1538">
        <v>3</v>
      </c>
      <c r="U1538">
        <v>2</v>
      </c>
      <c r="V1538" t="s">
        <v>93</v>
      </c>
      <c r="W1538">
        <v>75</v>
      </c>
      <c r="X1538">
        <v>15</v>
      </c>
      <c r="Y1538">
        <v>15</v>
      </c>
      <c r="Z1538" t="s">
        <v>2147</v>
      </c>
      <c r="AA1538" t="s">
        <v>2148</v>
      </c>
      <c r="AB1538" t="s">
        <v>96</v>
      </c>
      <c r="AC1538" t="s">
        <v>97</v>
      </c>
      <c r="AD1538" t="s">
        <v>1818</v>
      </c>
      <c r="AG1538" t="s">
        <v>2149</v>
      </c>
      <c r="AH1538">
        <v>0</v>
      </c>
      <c r="AI1538">
        <v>846</v>
      </c>
      <c r="AJ1538">
        <v>77</v>
      </c>
      <c r="AK1538">
        <v>36</v>
      </c>
      <c r="AL1538">
        <v>0.86</v>
      </c>
    </row>
    <row r="1539" spans="1:38" x14ac:dyDescent="0.3">
      <c r="A1539" t="s">
        <v>1813</v>
      </c>
      <c r="B1539">
        <v>10411</v>
      </c>
      <c r="C1539">
        <v>1</v>
      </c>
      <c r="D1539" t="s">
        <v>2150</v>
      </c>
      <c r="E1539" t="s">
        <v>2151</v>
      </c>
      <c r="F1539">
        <v>273</v>
      </c>
      <c r="G1539">
        <v>24.42</v>
      </c>
      <c r="H1539">
        <v>80.73</v>
      </c>
      <c r="I1539">
        <v>18.14</v>
      </c>
      <c r="J1539">
        <v>59.98</v>
      </c>
      <c r="K1539">
        <v>180</v>
      </c>
      <c r="T1539">
        <v>3</v>
      </c>
      <c r="U1539">
        <v>1</v>
      </c>
      <c r="V1539" t="s">
        <v>132</v>
      </c>
      <c r="W1539">
        <v>80</v>
      </c>
      <c r="X1539">
        <v>18</v>
      </c>
      <c r="Y1539">
        <v>8</v>
      </c>
      <c r="Z1539" t="s">
        <v>2152</v>
      </c>
      <c r="AA1539" t="s">
        <v>2153</v>
      </c>
      <c r="AB1539" t="s">
        <v>96</v>
      </c>
      <c r="AC1539" t="s">
        <v>97</v>
      </c>
      <c r="AD1539" t="s">
        <v>1818</v>
      </c>
      <c r="AG1539" t="s">
        <v>2154</v>
      </c>
      <c r="AH1539">
        <v>0</v>
      </c>
      <c r="AI1539">
        <v>0</v>
      </c>
      <c r="AJ1539">
        <v>0</v>
      </c>
      <c r="AK1539">
        <v>273</v>
      </c>
      <c r="AL1539">
        <v>1</v>
      </c>
    </row>
    <row r="1540" spans="1:38" x14ac:dyDescent="0.3">
      <c r="A1540" t="s">
        <v>1813</v>
      </c>
      <c r="B1540">
        <v>10411</v>
      </c>
      <c r="C1540">
        <v>2</v>
      </c>
      <c r="D1540" t="s">
        <v>2150</v>
      </c>
      <c r="E1540" t="s">
        <v>2151</v>
      </c>
      <c r="F1540">
        <v>273</v>
      </c>
      <c r="G1540">
        <v>25.74</v>
      </c>
      <c r="H1540">
        <v>85.1</v>
      </c>
      <c r="I1540">
        <v>19.12</v>
      </c>
      <c r="J1540">
        <v>63.22</v>
      </c>
      <c r="K1540">
        <v>75</v>
      </c>
      <c r="T1540">
        <v>3</v>
      </c>
      <c r="U1540">
        <v>1</v>
      </c>
      <c r="V1540" t="s">
        <v>132</v>
      </c>
      <c r="W1540">
        <v>85</v>
      </c>
      <c r="X1540">
        <v>18</v>
      </c>
      <c r="Y1540">
        <v>8</v>
      </c>
      <c r="Z1540" t="s">
        <v>2152</v>
      </c>
      <c r="AA1540" t="s">
        <v>2153</v>
      </c>
      <c r="AB1540" t="s">
        <v>96</v>
      </c>
      <c r="AC1540" t="s">
        <v>97</v>
      </c>
      <c r="AD1540" t="s">
        <v>1818</v>
      </c>
      <c r="AG1540" t="s">
        <v>2154</v>
      </c>
      <c r="AH1540">
        <v>0</v>
      </c>
      <c r="AI1540">
        <v>0</v>
      </c>
      <c r="AJ1540">
        <v>0</v>
      </c>
      <c r="AK1540">
        <v>273</v>
      </c>
      <c r="AL1540">
        <v>1</v>
      </c>
    </row>
    <row r="1541" spans="1:38" x14ac:dyDescent="0.3">
      <c r="A1541" t="s">
        <v>1813</v>
      </c>
      <c r="B1541">
        <v>10411</v>
      </c>
      <c r="C1541">
        <v>3</v>
      </c>
      <c r="D1541" t="s">
        <v>2150</v>
      </c>
      <c r="E1541" t="s">
        <v>2151</v>
      </c>
      <c r="F1541">
        <v>273</v>
      </c>
      <c r="G1541">
        <v>29.82</v>
      </c>
      <c r="H1541">
        <v>98.59</v>
      </c>
      <c r="I1541">
        <v>22.17</v>
      </c>
      <c r="J1541">
        <v>73.3</v>
      </c>
      <c r="K1541">
        <v>18</v>
      </c>
      <c r="T1541">
        <v>3</v>
      </c>
      <c r="U1541">
        <v>1</v>
      </c>
      <c r="V1541" t="s">
        <v>132</v>
      </c>
      <c r="W1541">
        <v>98</v>
      </c>
      <c r="X1541">
        <v>18</v>
      </c>
      <c r="Y1541">
        <v>8</v>
      </c>
      <c r="Z1541" t="s">
        <v>2152</v>
      </c>
      <c r="AA1541" t="s">
        <v>2153</v>
      </c>
      <c r="AB1541" t="s">
        <v>96</v>
      </c>
      <c r="AC1541" t="s">
        <v>97</v>
      </c>
      <c r="AD1541" t="s">
        <v>1818</v>
      </c>
      <c r="AG1541" t="s">
        <v>2154</v>
      </c>
      <c r="AH1541">
        <v>0</v>
      </c>
      <c r="AI1541">
        <v>0</v>
      </c>
      <c r="AJ1541">
        <v>0</v>
      </c>
      <c r="AK1541">
        <v>273</v>
      </c>
      <c r="AL1541">
        <v>1</v>
      </c>
    </row>
    <row r="1542" spans="1:38" x14ac:dyDescent="0.3">
      <c r="A1542" t="s">
        <v>1813</v>
      </c>
      <c r="B1542">
        <v>11522</v>
      </c>
      <c r="C1542">
        <v>1</v>
      </c>
      <c r="D1542" t="s">
        <v>997</v>
      </c>
      <c r="E1542" t="s">
        <v>2155</v>
      </c>
      <c r="F1542">
        <v>338</v>
      </c>
      <c r="G1542">
        <v>26.33</v>
      </c>
      <c r="H1542">
        <v>87.06</v>
      </c>
      <c r="I1542">
        <v>18.78</v>
      </c>
      <c r="J1542">
        <v>62.1</v>
      </c>
      <c r="K1542">
        <v>117</v>
      </c>
      <c r="T1542">
        <v>3</v>
      </c>
      <c r="U1542">
        <v>1</v>
      </c>
      <c r="V1542" t="s">
        <v>132</v>
      </c>
      <c r="W1542">
        <v>87</v>
      </c>
      <c r="X1542">
        <v>13</v>
      </c>
      <c r="Y1542">
        <v>13</v>
      </c>
      <c r="Z1542" t="s">
        <v>2156</v>
      </c>
      <c r="AA1542" t="s">
        <v>2157</v>
      </c>
      <c r="AB1542" t="s">
        <v>96</v>
      </c>
      <c r="AC1542" t="s">
        <v>97</v>
      </c>
      <c r="AD1542" t="s">
        <v>1818</v>
      </c>
      <c r="AG1542" t="s">
        <v>2158</v>
      </c>
      <c r="AH1542">
        <v>0</v>
      </c>
      <c r="AI1542">
        <v>230</v>
      </c>
      <c r="AJ1542">
        <v>35</v>
      </c>
      <c r="AK1542">
        <v>338</v>
      </c>
      <c r="AL1542">
        <v>1</v>
      </c>
    </row>
    <row r="1543" spans="1:38" x14ac:dyDescent="0.3">
      <c r="A1543" t="s">
        <v>1813</v>
      </c>
      <c r="B1543">
        <v>11522</v>
      </c>
      <c r="C1543">
        <v>2</v>
      </c>
      <c r="D1543" t="s">
        <v>997</v>
      </c>
      <c r="E1543" t="s">
        <v>2155</v>
      </c>
      <c r="F1543">
        <v>338</v>
      </c>
      <c r="G1543">
        <v>34.33</v>
      </c>
      <c r="H1543">
        <v>113.51</v>
      </c>
      <c r="I1543">
        <v>25.5</v>
      </c>
      <c r="J1543">
        <v>84.33</v>
      </c>
      <c r="K1543">
        <v>169</v>
      </c>
      <c r="T1543">
        <v>3</v>
      </c>
      <c r="U1543">
        <v>1</v>
      </c>
      <c r="V1543" t="s">
        <v>132</v>
      </c>
      <c r="W1543">
        <v>113</v>
      </c>
      <c r="X1543">
        <v>13</v>
      </c>
      <c r="Y1543">
        <v>13</v>
      </c>
      <c r="Z1543" t="s">
        <v>2156</v>
      </c>
      <c r="AA1543" t="s">
        <v>2157</v>
      </c>
      <c r="AB1543" t="s">
        <v>96</v>
      </c>
      <c r="AC1543" t="s">
        <v>97</v>
      </c>
      <c r="AD1543" t="s">
        <v>1818</v>
      </c>
      <c r="AG1543" t="s">
        <v>2158</v>
      </c>
      <c r="AH1543">
        <v>0</v>
      </c>
      <c r="AI1543">
        <v>230</v>
      </c>
      <c r="AJ1543">
        <v>35</v>
      </c>
      <c r="AK1543">
        <v>338</v>
      </c>
      <c r="AL1543">
        <v>1</v>
      </c>
    </row>
    <row r="1544" spans="1:38" x14ac:dyDescent="0.3">
      <c r="A1544" t="s">
        <v>1813</v>
      </c>
      <c r="B1544">
        <v>11522</v>
      </c>
      <c r="C1544">
        <v>3</v>
      </c>
      <c r="D1544" t="s">
        <v>997</v>
      </c>
      <c r="E1544" t="s">
        <v>2155</v>
      </c>
      <c r="F1544">
        <v>338</v>
      </c>
      <c r="G1544">
        <v>46.25</v>
      </c>
      <c r="H1544">
        <v>152.91999999999999</v>
      </c>
      <c r="I1544">
        <v>34.17</v>
      </c>
      <c r="J1544">
        <v>112.98</v>
      </c>
      <c r="K1544">
        <v>52</v>
      </c>
      <c r="T1544">
        <v>4</v>
      </c>
      <c r="U1544">
        <v>2</v>
      </c>
      <c r="V1544" t="s">
        <v>132</v>
      </c>
      <c r="W1544">
        <v>152</v>
      </c>
      <c r="X1544">
        <v>13</v>
      </c>
      <c r="Y1544">
        <v>13</v>
      </c>
      <c r="Z1544" t="s">
        <v>2156</v>
      </c>
      <c r="AA1544" t="s">
        <v>2157</v>
      </c>
      <c r="AB1544" t="s">
        <v>96</v>
      </c>
      <c r="AC1544" t="s">
        <v>97</v>
      </c>
      <c r="AD1544" t="s">
        <v>1818</v>
      </c>
      <c r="AG1544" t="s">
        <v>2158</v>
      </c>
      <c r="AH1544">
        <v>0</v>
      </c>
      <c r="AI1544">
        <v>230</v>
      </c>
      <c r="AJ1544">
        <v>35</v>
      </c>
      <c r="AK1544">
        <v>338</v>
      </c>
      <c r="AL1544">
        <v>1</v>
      </c>
    </row>
    <row r="1545" spans="1:38" x14ac:dyDescent="0.3">
      <c r="A1545" t="s">
        <v>1813</v>
      </c>
      <c r="B1545">
        <v>101818</v>
      </c>
      <c r="C1545">
        <v>1</v>
      </c>
      <c r="D1545" t="s">
        <v>2159</v>
      </c>
      <c r="E1545" t="s">
        <v>2065</v>
      </c>
      <c r="F1545">
        <v>12</v>
      </c>
      <c r="G1545">
        <v>14.93</v>
      </c>
      <c r="H1545">
        <v>49.38</v>
      </c>
      <c r="I1545">
        <v>12.81</v>
      </c>
      <c r="J1545">
        <v>42.38</v>
      </c>
      <c r="K1545">
        <v>1</v>
      </c>
      <c r="T1545">
        <v>3</v>
      </c>
      <c r="U1545">
        <v>1</v>
      </c>
      <c r="V1545" t="s">
        <v>93</v>
      </c>
      <c r="W1545">
        <v>49</v>
      </c>
      <c r="X1545">
        <v>5</v>
      </c>
      <c r="Y1545">
        <v>5</v>
      </c>
      <c r="Z1545" t="s">
        <v>2160</v>
      </c>
      <c r="AA1545" t="s">
        <v>2161</v>
      </c>
      <c r="AB1545" t="s">
        <v>96</v>
      </c>
      <c r="AC1545" t="s">
        <v>97</v>
      </c>
      <c r="AD1545" t="s">
        <v>1818</v>
      </c>
      <c r="AG1545" t="s">
        <v>2162</v>
      </c>
      <c r="AH1545">
        <v>0</v>
      </c>
      <c r="AI1545">
        <v>312</v>
      </c>
      <c r="AJ1545">
        <v>75</v>
      </c>
      <c r="AK1545">
        <v>4</v>
      </c>
      <c r="AL1545">
        <v>0.33</v>
      </c>
    </row>
    <row r="1546" spans="1:38" x14ac:dyDescent="0.3">
      <c r="A1546" t="s">
        <v>1813</v>
      </c>
      <c r="B1546">
        <v>101818</v>
      </c>
      <c r="C1546">
        <v>2</v>
      </c>
      <c r="D1546" t="s">
        <v>2159</v>
      </c>
      <c r="E1546" t="s">
        <v>2065</v>
      </c>
      <c r="F1546">
        <v>12</v>
      </c>
      <c r="G1546">
        <v>16.66</v>
      </c>
      <c r="H1546">
        <v>55.1</v>
      </c>
      <c r="I1546">
        <v>14.3</v>
      </c>
      <c r="J1546">
        <v>47.29</v>
      </c>
      <c r="K1546">
        <v>8</v>
      </c>
      <c r="T1546">
        <v>3</v>
      </c>
      <c r="U1546">
        <v>1</v>
      </c>
      <c r="V1546" t="s">
        <v>93</v>
      </c>
      <c r="W1546" t="s">
        <v>1986</v>
      </c>
      <c r="X1546">
        <v>5</v>
      </c>
      <c r="Y1546">
        <v>5</v>
      </c>
      <c r="Z1546" t="s">
        <v>2160</v>
      </c>
      <c r="AA1546" t="s">
        <v>2161</v>
      </c>
      <c r="AB1546" t="s">
        <v>96</v>
      </c>
      <c r="AC1546" t="s">
        <v>97</v>
      </c>
      <c r="AD1546" t="s">
        <v>1818</v>
      </c>
      <c r="AG1546" t="s">
        <v>2162</v>
      </c>
      <c r="AH1546">
        <v>0</v>
      </c>
      <c r="AI1546">
        <v>312</v>
      </c>
      <c r="AJ1546">
        <v>75</v>
      </c>
      <c r="AK1546">
        <v>4</v>
      </c>
      <c r="AL1546">
        <v>0.33</v>
      </c>
    </row>
    <row r="1547" spans="1:38" x14ac:dyDescent="0.3">
      <c r="A1547" t="s">
        <v>1813</v>
      </c>
      <c r="B1547">
        <v>101818</v>
      </c>
      <c r="C1547">
        <v>3</v>
      </c>
      <c r="D1547" t="s">
        <v>2159</v>
      </c>
      <c r="E1547" t="s">
        <v>2065</v>
      </c>
      <c r="F1547">
        <v>12</v>
      </c>
      <c r="G1547">
        <v>17.12</v>
      </c>
      <c r="H1547">
        <v>56.62</v>
      </c>
      <c r="I1547">
        <v>14.69</v>
      </c>
      <c r="J1547">
        <v>48.58</v>
      </c>
      <c r="K1547">
        <v>3</v>
      </c>
      <c r="T1547">
        <v>3</v>
      </c>
      <c r="U1547">
        <v>1</v>
      </c>
      <c r="V1547" t="s">
        <v>93</v>
      </c>
      <c r="W1547" t="s">
        <v>920</v>
      </c>
      <c r="X1547">
        <v>5</v>
      </c>
      <c r="Y1547">
        <v>5</v>
      </c>
      <c r="Z1547" t="s">
        <v>2160</v>
      </c>
      <c r="AA1547" t="s">
        <v>2161</v>
      </c>
      <c r="AB1547" t="s">
        <v>96</v>
      </c>
      <c r="AC1547" t="s">
        <v>97</v>
      </c>
      <c r="AD1547" t="s">
        <v>1818</v>
      </c>
      <c r="AG1547" t="s">
        <v>2162</v>
      </c>
      <c r="AH1547">
        <v>0</v>
      </c>
      <c r="AI1547">
        <v>312</v>
      </c>
      <c r="AJ1547">
        <v>75</v>
      </c>
      <c r="AK1547">
        <v>4</v>
      </c>
      <c r="AL1547">
        <v>0.33</v>
      </c>
    </row>
    <row r="1548" spans="1:38" x14ac:dyDescent="0.3">
      <c r="A1548" t="s">
        <v>1813</v>
      </c>
      <c r="B1548">
        <v>142482</v>
      </c>
      <c r="C1548">
        <v>1</v>
      </c>
      <c r="D1548" t="s">
        <v>2163</v>
      </c>
      <c r="E1548" t="s">
        <v>1035</v>
      </c>
      <c r="F1548">
        <v>15</v>
      </c>
      <c r="G1548">
        <v>18.84</v>
      </c>
      <c r="H1548">
        <v>62.29</v>
      </c>
      <c r="I1548">
        <v>15.51</v>
      </c>
      <c r="J1548">
        <v>51.3</v>
      </c>
      <c r="K1548">
        <v>8</v>
      </c>
      <c r="T1548">
        <v>2</v>
      </c>
      <c r="U1548">
        <v>1</v>
      </c>
      <c r="V1548" t="s">
        <v>93</v>
      </c>
      <c r="W1548">
        <v>62</v>
      </c>
      <c r="X1548">
        <v>9</v>
      </c>
      <c r="Y1548">
        <v>9</v>
      </c>
      <c r="Z1548" t="s">
        <v>2164</v>
      </c>
      <c r="AA1548" t="s">
        <v>2165</v>
      </c>
      <c r="AB1548" t="s">
        <v>96</v>
      </c>
      <c r="AC1548" t="s">
        <v>97</v>
      </c>
      <c r="AD1548" t="s">
        <v>1818</v>
      </c>
      <c r="AG1548" t="s">
        <v>2166</v>
      </c>
      <c r="AH1548">
        <v>0</v>
      </c>
      <c r="AI1548">
        <v>449</v>
      </c>
      <c r="AJ1548">
        <v>70</v>
      </c>
      <c r="AK1548">
        <v>12</v>
      </c>
      <c r="AL1548">
        <v>0.8</v>
      </c>
    </row>
    <row r="1549" spans="1:38" x14ac:dyDescent="0.3">
      <c r="A1549" t="s">
        <v>1813</v>
      </c>
      <c r="B1549">
        <v>142482</v>
      </c>
      <c r="C1549">
        <v>2</v>
      </c>
      <c r="D1549" t="s">
        <v>2163</v>
      </c>
      <c r="E1549" t="s">
        <v>1035</v>
      </c>
      <c r="F1549">
        <v>15</v>
      </c>
      <c r="G1549">
        <v>20.37</v>
      </c>
      <c r="H1549">
        <v>67.34</v>
      </c>
      <c r="I1549">
        <v>16.48</v>
      </c>
      <c r="J1549">
        <v>54.5</v>
      </c>
      <c r="K1549">
        <v>7</v>
      </c>
      <c r="T1549">
        <v>3</v>
      </c>
      <c r="U1549">
        <v>1</v>
      </c>
      <c r="V1549" t="s">
        <v>93</v>
      </c>
      <c r="W1549">
        <v>67</v>
      </c>
      <c r="X1549">
        <v>9</v>
      </c>
      <c r="Y1549">
        <v>9</v>
      </c>
      <c r="Z1549" t="s">
        <v>2164</v>
      </c>
      <c r="AA1549" t="s">
        <v>2165</v>
      </c>
      <c r="AB1549" t="s">
        <v>96</v>
      </c>
      <c r="AC1549" t="s">
        <v>97</v>
      </c>
      <c r="AD1549" t="s">
        <v>1818</v>
      </c>
      <c r="AG1549" t="s">
        <v>2166</v>
      </c>
      <c r="AH1549">
        <v>0</v>
      </c>
      <c r="AI1549">
        <v>449</v>
      </c>
      <c r="AJ1549">
        <v>70</v>
      </c>
      <c r="AK1549">
        <v>12</v>
      </c>
      <c r="AL1549">
        <v>0.8</v>
      </c>
    </row>
    <row r="1550" spans="1:38" x14ac:dyDescent="0.3">
      <c r="A1550" t="s">
        <v>1813</v>
      </c>
      <c r="B1550">
        <v>103692</v>
      </c>
      <c r="C1550">
        <v>1</v>
      </c>
      <c r="D1550" t="s">
        <v>2167</v>
      </c>
      <c r="E1550" t="s">
        <v>2168</v>
      </c>
      <c r="F1550">
        <v>99</v>
      </c>
      <c r="G1550">
        <v>7.92</v>
      </c>
      <c r="H1550">
        <v>26.21</v>
      </c>
      <c r="I1550">
        <v>4.83</v>
      </c>
      <c r="J1550">
        <v>15.99</v>
      </c>
      <c r="K1550">
        <v>11</v>
      </c>
      <c r="T1550">
        <v>1</v>
      </c>
      <c r="U1550">
        <v>1</v>
      </c>
      <c r="V1550" t="s">
        <v>132</v>
      </c>
      <c r="W1550">
        <v>26</v>
      </c>
      <c r="X1550">
        <v>12</v>
      </c>
      <c r="Y1550">
        <v>12</v>
      </c>
      <c r="Z1550" t="s">
        <v>2169</v>
      </c>
      <c r="AA1550" t="s">
        <v>2170</v>
      </c>
      <c r="AB1550" t="s">
        <v>96</v>
      </c>
      <c r="AC1550" t="s">
        <v>97</v>
      </c>
      <c r="AD1550" t="s">
        <v>1818</v>
      </c>
      <c r="AG1550" t="s">
        <v>2171</v>
      </c>
      <c r="AH1550">
        <v>0</v>
      </c>
      <c r="AI1550">
        <v>683</v>
      </c>
      <c r="AJ1550">
        <v>79</v>
      </c>
      <c r="AK1550">
        <v>32</v>
      </c>
      <c r="AL1550">
        <v>0.32</v>
      </c>
    </row>
    <row r="1551" spans="1:38" x14ac:dyDescent="0.3">
      <c r="A1551" t="s">
        <v>1813</v>
      </c>
      <c r="B1551">
        <v>103692</v>
      </c>
      <c r="C1551">
        <v>2</v>
      </c>
      <c r="D1551" t="s">
        <v>2167</v>
      </c>
      <c r="E1551" t="s">
        <v>2168</v>
      </c>
      <c r="F1551">
        <v>99</v>
      </c>
      <c r="G1551">
        <v>8.66</v>
      </c>
      <c r="H1551">
        <v>28.63</v>
      </c>
      <c r="I1551">
        <v>5.29</v>
      </c>
      <c r="J1551">
        <v>17.489999999999998</v>
      </c>
      <c r="K1551">
        <v>22</v>
      </c>
      <c r="T1551">
        <v>1</v>
      </c>
      <c r="U1551">
        <v>1</v>
      </c>
      <c r="V1551" t="s">
        <v>132</v>
      </c>
      <c r="W1551" t="s">
        <v>2172</v>
      </c>
      <c r="X1551">
        <v>12</v>
      </c>
      <c r="Y1551">
        <v>12</v>
      </c>
      <c r="Z1551" t="s">
        <v>2169</v>
      </c>
      <c r="AA1551" t="s">
        <v>2170</v>
      </c>
      <c r="AB1551" t="s">
        <v>96</v>
      </c>
      <c r="AC1551" t="s">
        <v>97</v>
      </c>
      <c r="AD1551" t="s">
        <v>1818</v>
      </c>
      <c r="AG1551" t="s">
        <v>2171</v>
      </c>
      <c r="AH1551">
        <v>0</v>
      </c>
      <c r="AI1551">
        <v>683</v>
      </c>
      <c r="AJ1551">
        <v>79</v>
      </c>
      <c r="AK1551">
        <v>32</v>
      </c>
      <c r="AL1551">
        <v>0.32</v>
      </c>
    </row>
    <row r="1552" spans="1:38" x14ac:dyDescent="0.3">
      <c r="A1552" t="s">
        <v>1813</v>
      </c>
      <c r="B1552">
        <v>103692</v>
      </c>
      <c r="C1552">
        <v>3</v>
      </c>
      <c r="D1552" t="s">
        <v>2167</v>
      </c>
      <c r="E1552" t="s">
        <v>2168</v>
      </c>
      <c r="F1552">
        <v>99</v>
      </c>
      <c r="G1552">
        <v>8.66</v>
      </c>
      <c r="H1552">
        <v>28.66</v>
      </c>
      <c r="I1552">
        <v>5.29</v>
      </c>
      <c r="J1552">
        <v>17.510000000000002</v>
      </c>
      <c r="K1552">
        <v>22</v>
      </c>
      <c r="T1552">
        <v>1</v>
      </c>
      <c r="U1552">
        <v>1</v>
      </c>
      <c r="V1552" t="s">
        <v>132</v>
      </c>
      <c r="W1552" t="s">
        <v>2173</v>
      </c>
      <c r="X1552">
        <v>12</v>
      </c>
      <c r="Y1552">
        <v>12</v>
      </c>
      <c r="Z1552" t="s">
        <v>2169</v>
      </c>
      <c r="AA1552" t="s">
        <v>2170</v>
      </c>
      <c r="AB1552" t="s">
        <v>96</v>
      </c>
      <c r="AC1552" t="s">
        <v>97</v>
      </c>
      <c r="AD1552" t="s">
        <v>1818</v>
      </c>
      <c r="AG1552" t="s">
        <v>2171</v>
      </c>
      <c r="AH1552">
        <v>0</v>
      </c>
      <c r="AI1552">
        <v>683</v>
      </c>
      <c r="AJ1552">
        <v>79</v>
      </c>
      <c r="AK1552">
        <v>32</v>
      </c>
      <c r="AL1552">
        <v>0.32</v>
      </c>
    </row>
    <row r="1553" spans="1:38" x14ac:dyDescent="0.3">
      <c r="A1553" t="s">
        <v>1813</v>
      </c>
      <c r="B1553">
        <v>103692</v>
      </c>
      <c r="C1553">
        <v>4</v>
      </c>
      <c r="D1553" t="s">
        <v>2167</v>
      </c>
      <c r="E1553" t="s">
        <v>2168</v>
      </c>
      <c r="F1553">
        <v>99</v>
      </c>
      <c r="G1553">
        <v>8.67</v>
      </c>
      <c r="H1553">
        <v>28.68</v>
      </c>
      <c r="I1553">
        <v>5.3</v>
      </c>
      <c r="J1553">
        <v>17.54</v>
      </c>
      <c r="K1553">
        <v>22</v>
      </c>
      <c r="T1553">
        <v>1</v>
      </c>
      <c r="U1553">
        <v>1</v>
      </c>
      <c r="V1553" t="s">
        <v>132</v>
      </c>
      <c r="W1553" t="s">
        <v>2092</v>
      </c>
      <c r="X1553">
        <v>12</v>
      </c>
      <c r="Y1553">
        <v>12</v>
      </c>
      <c r="Z1553" t="s">
        <v>2169</v>
      </c>
      <c r="AA1553" t="s">
        <v>2170</v>
      </c>
      <c r="AB1553" t="s">
        <v>96</v>
      </c>
      <c r="AC1553" t="s">
        <v>97</v>
      </c>
      <c r="AD1553" t="s">
        <v>1818</v>
      </c>
      <c r="AG1553" t="s">
        <v>2171</v>
      </c>
      <c r="AH1553">
        <v>0</v>
      </c>
      <c r="AI1553">
        <v>683</v>
      </c>
      <c r="AJ1553">
        <v>79</v>
      </c>
      <c r="AK1553">
        <v>32</v>
      </c>
      <c r="AL1553">
        <v>0.32</v>
      </c>
    </row>
    <row r="1554" spans="1:38" x14ac:dyDescent="0.3">
      <c r="A1554" t="s">
        <v>1813</v>
      </c>
      <c r="B1554">
        <v>103692</v>
      </c>
      <c r="C1554">
        <v>5</v>
      </c>
      <c r="D1554" t="s">
        <v>2167</v>
      </c>
      <c r="E1554" t="s">
        <v>2168</v>
      </c>
      <c r="F1554">
        <v>99</v>
      </c>
      <c r="G1554">
        <v>8.76</v>
      </c>
      <c r="H1554">
        <v>28.96</v>
      </c>
      <c r="I1554">
        <v>5.3</v>
      </c>
      <c r="J1554">
        <v>17.55</v>
      </c>
      <c r="K1554">
        <v>22</v>
      </c>
      <c r="T1554">
        <v>1</v>
      </c>
      <c r="U1554">
        <v>1</v>
      </c>
      <c r="V1554" t="s">
        <v>132</v>
      </c>
      <c r="W1554" t="s">
        <v>2174</v>
      </c>
      <c r="X1554">
        <v>12</v>
      </c>
      <c r="Y1554">
        <v>12</v>
      </c>
      <c r="Z1554" t="s">
        <v>2169</v>
      </c>
      <c r="AA1554" t="s">
        <v>2170</v>
      </c>
      <c r="AB1554" t="s">
        <v>96</v>
      </c>
      <c r="AC1554" t="s">
        <v>97</v>
      </c>
      <c r="AD1554" t="s">
        <v>1818</v>
      </c>
      <c r="AG1554" t="s">
        <v>2171</v>
      </c>
      <c r="AH1554">
        <v>0</v>
      </c>
      <c r="AI1554">
        <v>683</v>
      </c>
      <c r="AJ1554">
        <v>79</v>
      </c>
      <c r="AK1554">
        <v>32</v>
      </c>
      <c r="AL1554">
        <v>0.32</v>
      </c>
    </row>
    <row r="1555" spans="1:38" x14ac:dyDescent="0.3">
      <c r="A1555" t="s">
        <v>1813</v>
      </c>
      <c r="B1555">
        <v>13770</v>
      </c>
      <c r="C1555">
        <v>1</v>
      </c>
      <c r="D1555" t="s">
        <v>2175</v>
      </c>
      <c r="E1555" t="s">
        <v>890</v>
      </c>
      <c r="F1555">
        <v>85</v>
      </c>
      <c r="G1555">
        <v>24.75</v>
      </c>
      <c r="H1555">
        <v>81.819999999999993</v>
      </c>
      <c r="I1555">
        <v>18.13</v>
      </c>
      <c r="J1555">
        <v>59.95</v>
      </c>
      <c r="K1555">
        <v>56</v>
      </c>
      <c r="T1555">
        <v>3</v>
      </c>
      <c r="U1555">
        <v>2</v>
      </c>
      <c r="V1555" t="s">
        <v>93</v>
      </c>
      <c r="W1555">
        <v>81</v>
      </c>
      <c r="X1555">
        <v>15</v>
      </c>
      <c r="Y1555">
        <v>15</v>
      </c>
      <c r="Z1555" t="s">
        <v>2176</v>
      </c>
      <c r="AA1555" t="s">
        <v>2177</v>
      </c>
      <c r="AB1555" t="s">
        <v>96</v>
      </c>
      <c r="AC1555" t="s">
        <v>97</v>
      </c>
      <c r="AD1555" t="s">
        <v>1818</v>
      </c>
      <c r="AG1555" t="s">
        <v>2178</v>
      </c>
      <c r="AH1555">
        <v>0</v>
      </c>
      <c r="AI1555">
        <v>561</v>
      </c>
      <c r="AJ1555">
        <v>42</v>
      </c>
      <c r="AK1555">
        <v>171</v>
      </c>
      <c r="AL1555">
        <v>2.0099999999999998</v>
      </c>
    </row>
    <row r="1556" spans="1:38" x14ac:dyDescent="0.3">
      <c r="A1556" t="s">
        <v>1813</v>
      </c>
      <c r="B1556">
        <v>13770</v>
      </c>
      <c r="C1556">
        <v>2</v>
      </c>
      <c r="D1556" t="s">
        <v>2175</v>
      </c>
      <c r="E1556" t="s">
        <v>890</v>
      </c>
      <c r="F1556">
        <v>85</v>
      </c>
      <c r="G1556">
        <v>31.45</v>
      </c>
      <c r="H1556">
        <v>103.99</v>
      </c>
      <c r="I1556">
        <v>25.7</v>
      </c>
      <c r="J1556">
        <v>84.97</v>
      </c>
      <c r="K1556">
        <v>29</v>
      </c>
      <c r="T1556">
        <v>3</v>
      </c>
      <c r="U1556">
        <v>2</v>
      </c>
      <c r="V1556" t="s">
        <v>93</v>
      </c>
      <c r="W1556">
        <v>103</v>
      </c>
      <c r="X1556">
        <v>15</v>
      </c>
      <c r="Y1556">
        <v>15</v>
      </c>
      <c r="Z1556" t="s">
        <v>2176</v>
      </c>
      <c r="AA1556" t="s">
        <v>2177</v>
      </c>
      <c r="AB1556" t="s">
        <v>96</v>
      </c>
      <c r="AC1556" t="s">
        <v>97</v>
      </c>
      <c r="AD1556" t="s">
        <v>1818</v>
      </c>
      <c r="AG1556" t="s">
        <v>2178</v>
      </c>
      <c r="AH1556">
        <v>0</v>
      </c>
      <c r="AI1556">
        <v>561</v>
      </c>
      <c r="AJ1556">
        <v>42</v>
      </c>
      <c r="AK1556">
        <v>171</v>
      </c>
      <c r="AL1556">
        <v>2.0099999999999998</v>
      </c>
    </row>
    <row r="1557" spans="1:38" x14ac:dyDescent="0.3">
      <c r="A1557" t="s">
        <v>1813</v>
      </c>
      <c r="B1557">
        <v>18409</v>
      </c>
      <c r="C1557">
        <v>1</v>
      </c>
      <c r="D1557" t="s">
        <v>2179</v>
      </c>
      <c r="E1557" t="s">
        <v>1820</v>
      </c>
      <c r="F1557">
        <v>40</v>
      </c>
      <c r="G1557">
        <v>19.440000000000001</v>
      </c>
      <c r="H1557">
        <v>64.290000000000006</v>
      </c>
      <c r="I1557">
        <v>16.329999999999998</v>
      </c>
      <c r="J1557">
        <v>54</v>
      </c>
      <c r="K1557">
        <v>40</v>
      </c>
      <c r="T1557">
        <v>3</v>
      </c>
      <c r="U1557">
        <v>1</v>
      </c>
      <c r="V1557" t="s">
        <v>93</v>
      </c>
      <c r="W1557">
        <v>64</v>
      </c>
      <c r="X1557">
        <v>5</v>
      </c>
      <c r="Y1557">
        <v>5</v>
      </c>
      <c r="Z1557" t="s">
        <v>2180</v>
      </c>
      <c r="AA1557" t="s">
        <v>2181</v>
      </c>
      <c r="AB1557" t="s">
        <v>96</v>
      </c>
      <c r="AC1557" t="s">
        <v>97</v>
      </c>
      <c r="AD1557" t="s">
        <v>1818</v>
      </c>
      <c r="AG1557" t="s">
        <v>2182</v>
      </c>
      <c r="AH1557">
        <v>0</v>
      </c>
      <c r="AI1557">
        <v>0</v>
      </c>
      <c r="AJ1557">
        <v>0</v>
      </c>
      <c r="AK1557">
        <v>0</v>
      </c>
      <c r="AL1557">
        <v>0</v>
      </c>
    </row>
    <row r="1558" spans="1:38" x14ac:dyDescent="0.3">
      <c r="A1558" t="s">
        <v>1813</v>
      </c>
      <c r="B1558">
        <v>16575</v>
      </c>
      <c r="C1558">
        <v>1</v>
      </c>
      <c r="D1558" t="s">
        <v>1527</v>
      </c>
      <c r="E1558" t="s">
        <v>1490</v>
      </c>
      <c r="F1558">
        <v>108</v>
      </c>
      <c r="G1558">
        <v>15.98</v>
      </c>
      <c r="H1558">
        <v>52.85</v>
      </c>
      <c r="I1558">
        <v>13.55</v>
      </c>
      <c r="J1558">
        <v>44.81</v>
      </c>
      <c r="K1558">
        <v>72</v>
      </c>
      <c r="T1558">
        <v>3</v>
      </c>
      <c r="U1558">
        <v>1</v>
      </c>
      <c r="V1558" t="s">
        <v>132</v>
      </c>
      <c r="W1558">
        <v>52</v>
      </c>
      <c r="X1558">
        <v>6</v>
      </c>
      <c r="Y1558">
        <v>6</v>
      </c>
      <c r="Z1558" t="s">
        <v>2183</v>
      </c>
      <c r="AA1558" t="s">
        <v>2184</v>
      </c>
      <c r="AB1558" t="s">
        <v>96</v>
      </c>
      <c r="AC1558" t="s">
        <v>97</v>
      </c>
      <c r="AD1558" t="s">
        <v>1818</v>
      </c>
      <c r="AG1558" t="s">
        <v>2185</v>
      </c>
      <c r="AH1558">
        <v>0</v>
      </c>
      <c r="AI1558">
        <v>176</v>
      </c>
      <c r="AJ1558">
        <v>33</v>
      </c>
      <c r="AK1558">
        <v>0</v>
      </c>
      <c r="AL1558">
        <v>0</v>
      </c>
    </row>
    <row r="1559" spans="1:38" x14ac:dyDescent="0.3">
      <c r="A1559" t="s">
        <v>1813</v>
      </c>
      <c r="B1559">
        <v>16575</v>
      </c>
      <c r="C1559">
        <v>2</v>
      </c>
      <c r="D1559" t="s">
        <v>1527</v>
      </c>
      <c r="E1559" t="s">
        <v>1490</v>
      </c>
      <c r="F1559">
        <v>108</v>
      </c>
      <c r="G1559">
        <v>22.07</v>
      </c>
      <c r="H1559">
        <v>72.98</v>
      </c>
      <c r="I1559">
        <v>17.38</v>
      </c>
      <c r="J1559">
        <v>57.46</v>
      </c>
      <c r="K1559">
        <v>36</v>
      </c>
      <c r="T1559">
        <v>3</v>
      </c>
      <c r="U1559">
        <v>1</v>
      </c>
      <c r="V1559" t="s">
        <v>93</v>
      </c>
      <c r="W1559">
        <v>72</v>
      </c>
      <c r="X1559">
        <v>6</v>
      </c>
      <c r="Y1559">
        <v>6</v>
      </c>
      <c r="Z1559" t="s">
        <v>2183</v>
      </c>
      <c r="AA1559" t="s">
        <v>2184</v>
      </c>
      <c r="AB1559" t="s">
        <v>96</v>
      </c>
      <c r="AC1559" t="s">
        <v>97</v>
      </c>
      <c r="AD1559" t="s">
        <v>1818</v>
      </c>
      <c r="AG1559" t="s">
        <v>2185</v>
      </c>
      <c r="AH1559">
        <v>0</v>
      </c>
      <c r="AI1559">
        <v>176</v>
      </c>
      <c r="AJ1559">
        <v>33</v>
      </c>
      <c r="AK1559">
        <v>0</v>
      </c>
      <c r="AL1559">
        <v>0</v>
      </c>
    </row>
    <row r="1560" spans="1:38" x14ac:dyDescent="0.3">
      <c r="A1560" t="s">
        <v>1813</v>
      </c>
      <c r="B1560">
        <v>111733</v>
      </c>
      <c r="C1560">
        <v>1</v>
      </c>
      <c r="D1560" t="s">
        <v>1339</v>
      </c>
      <c r="E1560" t="s">
        <v>414</v>
      </c>
      <c r="F1560">
        <v>56</v>
      </c>
      <c r="G1560">
        <v>24.66</v>
      </c>
      <c r="H1560">
        <v>81.55</v>
      </c>
      <c r="I1560">
        <v>20.03</v>
      </c>
      <c r="J1560">
        <v>66.22</v>
      </c>
      <c r="K1560">
        <v>14</v>
      </c>
      <c r="T1560">
        <v>3</v>
      </c>
      <c r="U1560">
        <v>2</v>
      </c>
      <c r="V1560" t="s">
        <v>132</v>
      </c>
      <c r="W1560" t="s">
        <v>746</v>
      </c>
      <c r="X1560">
        <v>15</v>
      </c>
      <c r="Y1560">
        <v>15</v>
      </c>
      <c r="Z1560" t="s">
        <v>2186</v>
      </c>
      <c r="AA1560" t="s">
        <v>2187</v>
      </c>
      <c r="AB1560" t="s">
        <v>96</v>
      </c>
      <c r="AC1560" t="s">
        <v>97</v>
      </c>
      <c r="AD1560" t="s">
        <v>1818</v>
      </c>
      <c r="AG1560" t="s">
        <v>2188</v>
      </c>
      <c r="AH1560">
        <v>0</v>
      </c>
      <c r="AI1560">
        <v>798</v>
      </c>
      <c r="AJ1560">
        <v>77</v>
      </c>
      <c r="AK1560">
        <v>57</v>
      </c>
      <c r="AL1560">
        <v>1.02</v>
      </c>
    </row>
    <row r="1561" spans="1:38" x14ac:dyDescent="0.3">
      <c r="A1561" t="s">
        <v>1813</v>
      </c>
      <c r="B1561">
        <v>111733</v>
      </c>
      <c r="C1561">
        <v>2</v>
      </c>
      <c r="D1561" t="s">
        <v>1339</v>
      </c>
      <c r="E1561" t="s">
        <v>414</v>
      </c>
      <c r="F1561">
        <v>56</v>
      </c>
      <c r="G1561">
        <v>24.87</v>
      </c>
      <c r="H1561">
        <v>82.23</v>
      </c>
      <c r="I1561">
        <v>19.64</v>
      </c>
      <c r="J1561">
        <v>64.930000000000007</v>
      </c>
      <c r="K1561">
        <v>11</v>
      </c>
      <c r="T1561">
        <v>3</v>
      </c>
      <c r="U1561">
        <v>2</v>
      </c>
      <c r="V1561" t="s">
        <v>132</v>
      </c>
      <c r="W1561" t="s">
        <v>152</v>
      </c>
      <c r="X1561">
        <v>15</v>
      </c>
      <c r="Y1561">
        <v>15</v>
      </c>
      <c r="Z1561" t="s">
        <v>2186</v>
      </c>
      <c r="AA1561" t="s">
        <v>2187</v>
      </c>
      <c r="AB1561" t="s">
        <v>96</v>
      </c>
      <c r="AC1561" t="s">
        <v>97</v>
      </c>
      <c r="AD1561" t="s">
        <v>1818</v>
      </c>
      <c r="AG1561" t="s">
        <v>2188</v>
      </c>
      <c r="AH1561">
        <v>0</v>
      </c>
      <c r="AI1561">
        <v>798</v>
      </c>
      <c r="AJ1561">
        <v>77</v>
      </c>
      <c r="AK1561">
        <v>57</v>
      </c>
      <c r="AL1561">
        <v>1.02</v>
      </c>
    </row>
    <row r="1562" spans="1:38" x14ac:dyDescent="0.3">
      <c r="A1562" t="s">
        <v>1813</v>
      </c>
      <c r="B1562">
        <v>111733</v>
      </c>
      <c r="C1562">
        <v>3</v>
      </c>
      <c r="D1562" t="s">
        <v>1339</v>
      </c>
      <c r="E1562" t="s">
        <v>414</v>
      </c>
      <c r="F1562">
        <v>56</v>
      </c>
      <c r="G1562">
        <v>25.34</v>
      </c>
      <c r="H1562">
        <v>83.78</v>
      </c>
      <c r="I1562">
        <v>20.329999999999998</v>
      </c>
      <c r="J1562">
        <v>67.209999999999994</v>
      </c>
      <c r="K1562">
        <v>3</v>
      </c>
      <c r="T1562">
        <v>3</v>
      </c>
      <c r="U1562">
        <v>2</v>
      </c>
      <c r="V1562" t="s">
        <v>132</v>
      </c>
      <c r="W1562" t="s">
        <v>505</v>
      </c>
      <c r="X1562">
        <v>15</v>
      </c>
      <c r="Y1562">
        <v>15</v>
      </c>
      <c r="Z1562" t="s">
        <v>2186</v>
      </c>
      <c r="AA1562" t="s">
        <v>2187</v>
      </c>
      <c r="AB1562" t="s">
        <v>96</v>
      </c>
      <c r="AC1562" t="s">
        <v>97</v>
      </c>
      <c r="AD1562" t="s">
        <v>1818</v>
      </c>
      <c r="AG1562" t="s">
        <v>2188</v>
      </c>
      <c r="AH1562">
        <v>0</v>
      </c>
      <c r="AI1562">
        <v>798</v>
      </c>
      <c r="AJ1562">
        <v>77</v>
      </c>
      <c r="AK1562">
        <v>57</v>
      </c>
      <c r="AL1562">
        <v>1.02</v>
      </c>
    </row>
    <row r="1563" spans="1:38" x14ac:dyDescent="0.3">
      <c r="A1563" t="s">
        <v>1813</v>
      </c>
      <c r="B1563">
        <v>111733</v>
      </c>
      <c r="C1563">
        <v>4</v>
      </c>
      <c r="D1563" t="s">
        <v>1339</v>
      </c>
      <c r="E1563" t="s">
        <v>414</v>
      </c>
      <c r="F1563">
        <v>56</v>
      </c>
      <c r="G1563">
        <v>26.32</v>
      </c>
      <c r="H1563">
        <v>87.01</v>
      </c>
      <c r="I1563">
        <v>21.47</v>
      </c>
      <c r="J1563">
        <v>70.989999999999995</v>
      </c>
      <c r="K1563">
        <v>11</v>
      </c>
      <c r="T1563">
        <v>3</v>
      </c>
      <c r="U1563">
        <v>2</v>
      </c>
      <c r="V1563" t="s">
        <v>132</v>
      </c>
      <c r="W1563">
        <v>87</v>
      </c>
      <c r="X1563">
        <v>15</v>
      </c>
      <c r="Y1563">
        <v>15</v>
      </c>
      <c r="Z1563" t="s">
        <v>2186</v>
      </c>
      <c r="AA1563" t="s">
        <v>2187</v>
      </c>
      <c r="AB1563" t="s">
        <v>96</v>
      </c>
      <c r="AC1563" t="s">
        <v>97</v>
      </c>
      <c r="AD1563" t="s">
        <v>1818</v>
      </c>
      <c r="AG1563" t="s">
        <v>2188</v>
      </c>
      <c r="AH1563">
        <v>0</v>
      </c>
      <c r="AI1563">
        <v>798</v>
      </c>
      <c r="AJ1563">
        <v>77</v>
      </c>
      <c r="AK1563">
        <v>57</v>
      </c>
      <c r="AL1563">
        <v>1.02</v>
      </c>
    </row>
    <row r="1564" spans="1:38" x14ac:dyDescent="0.3">
      <c r="A1564" t="s">
        <v>1813</v>
      </c>
      <c r="B1564">
        <v>111733</v>
      </c>
      <c r="C1564">
        <v>5</v>
      </c>
      <c r="D1564" t="s">
        <v>1339</v>
      </c>
      <c r="E1564" t="s">
        <v>414</v>
      </c>
      <c r="F1564">
        <v>56</v>
      </c>
      <c r="G1564">
        <v>27.55</v>
      </c>
      <c r="H1564">
        <v>91.08</v>
      </c>
      <c r="I1564">
        <v>21.46</v>
      </c>
      <c r="J1564">
        <v>70.97</v>
      </c>
      <c r="K1564">
        <v>14</v>
      </c>
      <c r="T1564">
        <v>3</v>
      </c>
      <c r="U1564">
        <v>2</v>
      </c>
      <c r="V1564" t="s">
        <v>132</v>
      </c>
      <c r="W1564" t="s">
        <v>476</v>
      </c>
      <c r="X1564">
        <v>15</v>
      </c>
      <c r="Y1564">
        <v>15</v>
      </c>
      <c r="Z1564" t="s">
        <v>2186</v>
      </c>
      <c r="AA1564" t="s">
        <v>2187</v>
      </c>
      <c r="AB1564" t="s">
        <v>96</v>
      </c>
      <c r="AC1564" t="s">
        <v>97</v>
      </c>
      <c r="AD1564" t="s">
        <v>1818</v>
      </c>
      <c r="AG1564" t="s">
        <v>2188</v>
      </c>
      <c r="AH1564">
        <v>0</v>
      </c>
      <c r="AI1564">
        <v>798</v>
      </c>
      <c r="AJ1564">
        <v>77</v>
      </c>
      <c r="AK1564">
        <v>57</v>
      </c>
      <c r="AL1564">
        <v>1.02</v>
      </c>
    </row>
    <row r="1565" spans="1:38" x14ac:dyDescent="0.3">
      <c r="A1565" t="s">
        <v>1813</v>
      </c>
      <c r="B1565">
        <v>111733</v>
      </c>
      <c r="C1565">
        <v>6</v>
      </c>
      <c r="D1565" t="s">
        <v>1339</v>
      </c>
      <c r="E1565" t="s">
        <v>414</v>
      </c>
      <c r="F1565">
        <v>56</v>
      </c>
      <c r="G1565">
        <v>27.54</v>
      </c>
      <c r="H1565">
        <v>91.06</v>
      </c>
      <c r="I1565">
        <v>22.49</v>
      </c>
      <c r="J1565">
        <v>74.36</v>
      </c>
      <c r="K1565">
        <v>3</v>
      </c>
      <c r="T1565">
        <v>3</v>
      </c>
      <c r="U1565">
        <v>2</v>
      </c>
      <c r="V1565" t="s">
        <v>132</v>
      </c>
      <c r="W1565" t="s">
        <v>1700</v>
      </c>
      <c r="X1565">
        <v>15</v>
      </c>
      <c r="Y1565">
        <v>15</v>
      </c>
      <c r="Z1565" t="s">
        <v>2186</v>
      </c>
      <c r="AA1565" t="s">
        <v>2187</v>
      </c>
      <c r="AB1565" t="s">
        <v>96</v>
      </c>
      <c r="AC1565" t="s">
        <v>97</v>
      </c>
      <c r="AD1565" t="s">
        <v>1818</v>
      </c>
      <c r="AG1565" t="s">
        <v>2188</v>
      </c>
      <c r="AH1565">
        <v>0</v>
      </c>
      <c r="AI1565">
        <v>798</v>
      </c>
      <c r="AJ1565">
        <v>77</v>
      </c>
      <c r="AK1565">
        <v>57</v>
      </c>
      <c r="AL1565">
        <v>1.02</v>
      </c>
    </row>
    <row r="1566" spans="1:38" x14ac:dyDescent="0.3">
      <c r="A1566" t="s">
        <v>1813</v>
      </c>
      <c r="B1566">
        <v>101431</v>
      </c>
      <c r="C1566">
        <v>1</v>
      </c>
      <c r="D1566" t="s">
        <v>2189</v>
      </c>
      <c r="E1566" t="s">
        <v>238</v>
      </c>
      <c r="F1566">
        <v>17</v>
      </c>
      <c r="G1566">
        <v>16.600000000000001</v>
      </c>
      <c r="H1566">
        <v>54.88</v>
      </c>
      <c r="I1566">
        <v>15</v>
      </c>
      <c r="J1566">
        <v>49.6</v>
      </c>
      <c r="K1566">
        <v>1</v>
      </c>
      <c r="T1566">
        <v>2</v>
      </c>
      <c r="U1566">
        <v>1</v>
      </c>
      <c r="V1566" t="s">
        <v>93</v>
      </c>
      <c r="W1566">
        <v>54</v>
      </c>
      <c r="X1566">
        <v>9</v>
      </c>
      <c r="Y1566">
        <v>9</v>
      </c>
      <c r="Z1566" t="s">
        <v>2190</v>
      </c>
      <c r="AA1566" t="s">
        <v>2191</v>
      </c>
      <c r="AB1566" t="s">
        <v>96</v>
      </c>
      <c r="AC1566" t="s">
        <v>97</v>
      </c>
      <c r="AD1566" t="s">
        <v>1818</v>
      </c>
      <c r="AG1566" t="s">
        <v>2192</v>
      </c>
      <c r="AH1566">
        <v>0</v>
      </c>
      <c r="AI1566">
        <v>365</v>
      </c>
      <c r="AJ1566">
        <v>56</v>
      </c>
      <c r="AK1566">
        <v>20</v>
      </c>
      <c r="AL1566">
        <v>1.18</v>
      </c>
    </row>
    <row r="1567" spans="1:38" x14ac:dyDescent="0.3">
      <c r="A1567" t="s">
        <v>1813</v>
      </c>
      <c r="B1567">
        <v>101431</v>
      </c>
      <c r="C1567">
        <v>2</v>
      </c>
      <c r="D1567" t="s">
        <v>2189</v>
      </c>
      <c r="E1567" t="s">
        <v>238</v>
      </c>
      <c r="F1567">
        <v>17</v>
      </c>
      <c r="G1567">
        <v>20.059999999999999</v>
      </c>
      <c r="H1567">
        <v>66.34</v>
      </c>
      <c r="I1567">
        <v>18.13</v>
      </c>
      <c r="J1567">
        <v>59.96</v>
      </c>
      <c r="K1567">
        <v>4</v>
      </c>
      <c r="T1567">
        <v>2</v>
      </c>
      <c r="U1567">
        <v>1</v>
      </c>
      <c r="V1567" t="s">
        <v>93</v>
      </c>
      <c r="W1567">
        <v>66</v>
      </c>
      <c r="X1567">
        <v>9</v>
      </c>
      <c r="Y1567">
        <v>9</v>
      </c>
      <c r="Z1567" t="s">
        <v>2190</v>
      </c>
      <c r="AA1567" t="s">
        <v>2191</v>
      </c>
      <c r="AB1567" t="s">
        <v>96</v>
      </c>
      <c r="AC1567" t="s">
        <v>97</v>
      </c>
      <c r="AD1567" t="s">
        <v>1818</v>
      </c>
      <c r="AG1567" t="s">
        <v>2192</v>
      </c>
      <c r="AH1567">
        <v>0</v>
      </c>
      <c r="AI1567">
        <v>365</v>
      </c>
      <c r="AJ1567">
        <v>56</v>
      </c>
      <c r="AK1567">
        <v>20</v>
      </c>
      <c r="AL1567">
        <v>1.18</v>
      </c>
    </row>
    <row r="1568" spans="1:38" x14ac:dyDescent="0.3">
      <c r="A1568" t="s">
        <v>1813</v>
      </c>
      <c r="B1568">
        <v>101431</v>
      </c>
      <c r="C1568">
        <v>3</v>
      </c>
      <c r="D1568" t="s">
        <v>2189</v>
      </c>
      <c r="E1568" t="s">
        <v>238</v>
      </c>
      <c r="F1568">
        <v>17</v>
      </c>
      <c r="G1568">
        <v>24.29</v>
      </c>
      <c r="H1568">
        <v>80.33</v>
      </c>
      <c r="I1568">
        <v>21.96</v>
      </c>
      <c r="J1568">
        <v>72.599999999999994</v>
      </c>
      <c r="K1568">
        <v>1</v>
      </c>
      <c r="T1568">
        <v>3</v>
      </c>
      <c r="U1568">
        <v>1</v>
      </c>
      <c r="V1568" t="s">
        <v>93</v>
      </c>
      <c r="W1568" t="s">
        <v>1020</v>
      </c>
      <c r="X1568">
        <v>9</v>
      </c>
      <c r="Y1568">
        <v>9</v>
      </c>
      <c r="Z1568" t="s">
        <v>2190</v>
      </c>
      <c r="AA1568" t="s">
        <v>2191</v>
      </c>
      <c r="AB1568" t="s">
        <v>96</v>
      </c>
      <c r="AC1568" t="s">
        <v>97</v>
      </c>
      <c r="AD1568" t="s">
        <v>1818</v>
      </c>
      <c r="AG1568" t="s">
        <v>2192</v>
      </c>
      <c r="AH1568">
        <v>0</v>
      </c>
      <c r="AI1568">
        <v>365</v>
      </c>
      <c r="AJ1568">
        <v>56</v>
      </c>
      <c r="AK1568">
        <v>20</v>
      </c>
      <c r="AL1568">
        <v>1.18</v>
      </c>
    </row>
    <row r="1569" spans="1:38" x14ac:dyDescent="0.3">
      <c r="A1569" t="s">
        <v>1813</v>
      </c>
      <c r="B1569">
        <v>101431</v>
      </c>
      <c r="C1569">
        <v>4</v>
      </c>
      <c r="D1569" t="s">
        <v>2189</v>
      </c>
      <c r="E1569" t="s">
        <v>238</v>
      </c>
      <c r="F1569">
        <v>17</v>
      </c>
      <c r="G1569">
        <v>24.81</v>
      </c>
      <c r="H1569">
        <v>82.04</v>
      </c>
      <c r="I1569">
        <v>22.43</v>
      </c>
      <c r="J1569">
        <v>74.150000000000006</v>
      </c>
      <c r="K1569">
        <v>1</v>
      </c>
      <c r="T1569">
        <v>3</v>
      </c>
      <c r="U1569">
        <v>1</v>
      </c>
      <c r="V1569" t="s">
        <v>93</v>
      </c>
      <c r="W1569" t="s">
        <v>503</v>
      </c>
      <c r="X1569">
        <v>9</v>
      </c>
      <c r="Y1569">
        <v>9</v>
      </c>
      <c r="Z1569" t="s">
        <v>2190</v>
      </c>
      <c r="AA1569" t="s">
        <v>2191</v>
      </c>
      <c r="AB1569" t="s">
        <v>96</v>
      </c>
      <c r="AC1569" t="s">
        <v>97</v>
      </c>
      <c r="AD1569" t="s">
        <v>1818</v>
      </c>
      <c r="AG1569" t="s">
        <v>2192</v>
      </c>
      <c r="AH1569">
        <v>0</v>
      </c>
      <c r="AI1569">
        <v>365</v>
      </c>
      <c r="AJ1569">
        <v>56</v>
      </c>
      <c r="AK1569">
        <v>20</v>
      </c>
      <c r="AL1569">
        <v>1.18</v>
      </c>
    </row>
    <row r="1570" spans="1:38" x14ac:dyDescent="0.3">
      <c r="A1570" t="s">
        <v>1813</v>
      </c>
      <c r="B1570">
        <v>101431</v>
      </c>
      <c r="C1570">
        <v>5</v>
      </c>
      <c r="D1570" t="s">
        <v>2189</v>
      </c>
      <c r="E1570" t="s">
        <v>238</v>
      </c>
      <c r="F1570">
        <v>17</v>
      </c>
      <c r="G1570">
        <v>25.17</v>
      </c>
      <c r="H1570">
        <v>83.21</v>
      </c>
      <c r="I1570">
        <v>22.75</v>
      </c>
      <c r="J1570">
        <v>75.209999999999994</v>
      </c>
      <c r="K1570">
        <v>4</v>
      </c>
      <c r="T1570">
        <v>3</v>
      </c>
      <c r="U1570">
        <v>1</v>
      </c>
      <c r="V1570" t="s">
        <v>93</v>
      </c>
      <c r="W1570" t="s">
        <v>220</v>
      </c>
      <c r="X1570">
        <v>9</v>
      </c>
      <c r="Y1570">
        <v>9</v>
      </c>
      <c r="Z1570" t="s">
        <v>2190</v>
      </c>
      <c r="AA1570" t="s">
        <v>2191</v>
      </c>
      <c r="AB1570" t="s">
        <v>96</v>
      </c>
      <c r="AC1570" t="s">
        <v>97</v>
      </c>
      <c r="AD1570" t="s">
        <v>1818</v>
      </c>
      <c r="AG1570" t="s">
        <v>2192</v>
      </c>
      <c r="AH1570">
        <v>0</v>
      </c>
      <c r="AI1570">
        <v>365</v>
      </c>
      <c r="AJ1570">
        <v>56</v>
      </c>
      <c r="AK1570">
        <v>20</v>
      </c>
      <c r="AL1570">
        <v>1.18</v>
      </c>
    </row>
    <row r="1571" spans="1:38" x14ac:dyDescent="0.3">
      <c r="A1571" t="s">
        <v>1813</v>
      </c>
      <c r="B1571">
        <v>101431</v>
      </c>
      <c r="C1571">
        <v>6</v>
      </c>
      <c r="D1571" t="s">
        <v>2189</v>
      </c>
      <c r="E1571" t="s">
        <v>238</v>
      </c>
      <c r="F1571">
        <v>17</v>
      </c>
      <c r="G1571">
        <v>25.31</v>
      </c>
      <c r="H1571">
        <v>83.67</v>
      </c>
      <c r="I1571">
        <v>22.87</v>
      </c>
      <c r="J1571">
        <v>75.61</v>
      </c>
      <c r="K1571">
        <v>1</v>
      </c>
      <c r="T1571">
        <v>3</v>
      </c>
      <c r="U1571">
        <v>1</v>
      </c>
      <c r="V1571" t="s">
        <v>93</v>
      </c>
      <c r="W1571" t="s">
        <v>990</v>
      </c>
      <c r="X1571">
        <v>9</v>
      </c>
      <c r="Y1571">
        <v>9</v>
      </c>
      <c r="Z1571" t="s">
        <v>2190</v>
      </c>
      <c r="AA1571" t="s">
        <v>2191</v>
      </c>
      <c r="AB1571" t="s">
        <v>96</v>
      </c>
      <c r="AC1571" t="s">
        <v>97</v>
      </c>
      <c r="AD1571" t="s">
        <v>1818</v>
      </c>
      <c r="AG1571" t="s">
        <v>2192</v>
      </c>
      <c r="AH1571">
        <v>0</v>
      </c>
      <c r="AI1571">
        <v>365</v>
      </c>
      <c r="AJ1571">
        <v>56</v>
      </c>
      <c r="AK1571">
        <v>20</v>
      </c>
      <c r="AL1571">
        <v>1.18</v>
      </c>
    </row>
    <row r="1572" spans="1:38" x14ac:dyDescent="0.3">
      <c r="A1572" t="s">
        <v>1813</v>
      </c>
      <c r="B1572">
        <v>101431</v>
      </c>
      <c r="C1572">
        <v>7</v>
      </c>
      <c r="D1572" t="s">
        <v>2189</v>
      </c>
      <c r="E1572" t="s">
        <v>238</v>
      </c>
      <c r="F1572">
        <v>17</v>
      </c>
      <c r="G1572">
        <v>25.53</v>
      </c>
      <c r="H1572">
        <v>84.42</v>
      </c>
      <c r="I1572">
        <v>23.08</v>
      </c>
      <c r="J1572">
        <v>76.3</v>
      </c>
      <c r="K1572">
        <v>4</v>
      </c>
      <c r="T1572">
        <v>3</v>
      </c>
      <c r="U1572">
        <v>1</v>
      </c>
      <c r="V1572" t="s">
        <v>93</v>
      </c>
      <c r="W1572" t="s">
        <v>2193</v>
      </c>
      <c r="X1572">
        <v>9</v>
      </c>
      <c r="Y1572">
        <v>9</v>
      </c>
      <c r="Z1572" t="s">
        <v>2190</v>
      </c>
      <c r="AA1572" t="s">
        <v>2191</v>
      </c>
      <c r="AB1572" t="s">
        <v>96</v>
      </c>
      <c r="AC1572" t="s">
        <v>97</v>
      </c>
      <c r="AD1572" t="s">
        <v>1818</v>
      </c>
      <c r="AG1572" t="s">
        <v>2192</v>
      </c>
      <c r="AH1572">
        <v>0</v>
      </c>
      <c r="AI1572">
        <v>365</v>
      </c>
      <c r="AJ1572">
        <v>56</v>
      </c>
      <c r="AK1572">
        <v>20</v>
      </c>
      <c r="AL1572">
        <v>1.18</v>
      </c>
    </row>
    <row r="1573" spans="1:38" x14ac:dyDescent="0.3">
      <c r="A1573" t="s">
        <v>1813</v>
      </c>
      <c r="B1573">
        <v>101431</v>
      </c>
      <c r="C1573">
        <v>8</v>
      </c>
      <c r="D1573" t="s">
        <v>2189</v>
      </c>
      <c r="E1573" t="s">
        <v>238</v>
      </c>
      <c r="F1573">
        <v>17</v>
      </c>
      <c r="G1573">
        <v>25.48</v>
      </c>
      <c r="H1573">
        <v>84.24</v>
      </c>
      <c r="I1573">
        <v>23.02</v>
      </c>
      <c r="J1573">
        <v>76.13</v>
      </c>
      <c r="K1573">
        <v>1</v>
      </c>
      <c r="T1573">
        <v>3</v>
      </c>
      <c r="U1573">
        <v>1</v>
      </c>
      <c r="V1573" t="s">
        <v>93</v>
      </c>
      <c r="W1573" t="s">
        <v>819</v>
      </c>
      <c r="X1573">
        <v>9</v>
      </c>
      <c r="Y1573">
        <v>9</v>
      </c>
      <c r="Z1573" t="s">
        <v>2190</v>
      </c>
      <c r="AA1573" t="s">
        <v>2191</v>
      </c>
      <c r="AB1573" t="s">
        <v>96</v>
      </c>
      <c r="AC1573" t="s">
        <v>97</v>
      </c>
      <c r="AD1573" t="s">
        <v>1818</v>
      </c>
      <c r="AG1573" t="s">
        <v>2192</v>
      </c>
      <c r="AH1573">
        <v>0</v>
      </c>
      <c r="AI1573">
        <v>365</v>
      </c>
      <c r="AJ1573">
        <v>56</v>
      </c>
      <c r="AK1573">
        <v>20</v>
      </c>
      <c r="AL1573">
        <v>1.18</v>
      </c>
    </row>
    <row r="1574" spans="1:38" x14ac:dyDescent="0.3">
      <c r="A1574" t="s">
        <v>1813</v>
      </c>
      <c r="B1574">
        <v>2448</v>
      </c>
      <c r="C1574">
        <v>1</v>
      </c>
      <c r="D1574" t="s">
        <v>2194</v>
      </c>
      <c r="E1574" t="s">
        <v>2195</v>
      </c>
      <c r="F1574">
        <v>828</v>
      </c>
      <c r="G1574">
        <v>24.21</v>
      </c>
      <c r="H1574">
        <v>80.06</v>
      </c>
      <c r="I1574">
        <v>18.14</v>
      </c>
      <c r="J1574">
        <v>59.97</v>
      </c>
      <c r="K1574">
        <v>358</v>
      </c>
      <c r="T1574">
        <v>3</v>
      </c>
      <c r="U1574">
        <v>1</v>
      </c>
      <c r="V1574" t="s">
        <v>93</v>
      </c>
      <c r="W1574">
        <v>80</v>
      </c>
      <c r="X1574">
        <v>20</v>
      </c>
      <c r="Y1574">
        <v>9</v>
      </c>
      <c r="Z1574" t="s">
        <v>2196</v>
      </c>
      <c r="AA1574" t="s">
        <v>2197</v>
      </c>
      <c r="AB1574" t="s">
        <v>96</v>
      </c>
      <c r="AC1574" t="s">
        <v>97</v>
      </c>
      <c r="AD1574" t="s">
        <v>1818</v>
      </c>
      <c r="AG1574" t="s">
        <v>2198</v>
      </c>
      <c r="AH1574">
        <v>0</v>
      </c>
      <c r="AI1574">
        <v>209</v>
      </c>
      <c r="AJ1574">
        <v>17</v>
      </c>
      <c r="AK1574">
        <v>853</v>
      </c>
      <c r="AL1574">
        <v>1.03</v>
      </c>
    </row>
    <row r="1575" spans="1:38" x14ac:dyDescent="0.3">
      <c r="A1575" t="s">
        <v>1813</v>
      </c>
      <c r="B1575">
        <v>2448</v>
      </c>
      <c r="C1575">
        <v>2</v>
      </c>
      <c r="D1575" t="s">
        <v>2194</v>
      </c>
      <c r="E1575" t="s">
        <v>2195</v>
      </c>
      <c r="F1575">
        <v>828</v>
      </c>
      <c r="G1575">
        <v>32.79</v>
      </c>
      <c r="H1575">
        <v>108.41</v>
      </c>
      <c r="I1575">
        <v>25.6</v>
      </c>
      <c r="J1575">
        <v>84.64</v>
      </c>
      <c r="K1575">
        <v>278</v>
      </c>
      <c r="T1575">
        <v>3</v>
      </c>
      <c r="U1575">
        <v>2</v>
      </c>
      <c r="V1575" t="s">
        <v>93</v>
      </c>
      <c r="W1575">
        <v>108</v>
      </c>
      <c r="X1575">
        <v>20</v>
      </c>
      <c r="Y1575">
        <v>9</v>
      </c>
      <c r="Z1575" t="s">
        <v>2196</v>
      </c>
      <c r="AA1575" t="s">
        <v>2197</v>
      </c>
      <c r="AB1575" t="s">
        <v>96</v>
      </c>
      <c r="AC1575" t="s">
        <v>97</v>
      </c>
      <c r="AD1575" t="s">
        <v>1818</v>
      </c>
      <c r="AG1575" t="s">
        <v>2198</v>
      </c>
      <c r="AH1575">
        <v>0</v>
      </c>
      <c r="AI1575">
        <v>209</v>
      </c>
      <c r="AJ1575">
        <v>17</v>
      </c>
      <c r="AK1575">
        <v>853</v>
      </c>
      <c r="AL1575">
        <v>1.03</v>
      </c>
    </row>
    <row r="1576" spans="1:38" x14ac:dyDescent="0.3">
      <c r="A1576" t="s">
        <v>1813</v>
      </c>
      <c r="B1576">
        <v>2448</v>
      </c>
      <c r="C1576">
        <v>3</v>
      </c>
      <c r="D1576" t="s">
        <v>2194</v>
      </c>
      <c r="E1576" t="s">
        <v>2195</v>
      </c>
      <c r="F1576">
        <v>828</v>
      </c>
      <c r="G1576">
        <v>39.11</v>
      </c>
      <c r="H1576">
        <v>129.31</v>
      </c>
      <c r="I1576">
        <v>31.35</v>
      </c>
      <c r="J1576">
        <v>103.65</v>
      </c>
      <c r="K1576">
        <v>96</v>
      </c>
      <c r="T1576">
        <v>4</v>
      </c>
      <c r="U1576">
        <v>2</v>
      </c>
      <c r="V1576" t="s">
        <v>93</v>
      </c>
      <c r="W1576">
        <v>129</v>
      </c>
      <c r="X1576">
        <v>20</v>
      </c>
      <c r="Y1576">
        <v>9</v>
      </c>
      <c r="Z1576" t="s">
        <v>2196</v>
      </c>
      <c r="AA1576" t="s">
        <v>2197</v>
      </c>
      <c r="AB1576" t="s">
        <v>96</v>
      </c>
      <c r="AC1576" t="s">
        <v>97</v>
      </c>
      <c r="AD1576" t="s">
        <v>1818</v>
      </c>
      <c r="AG1576" t="s">
        <v>2198</v>
      </c>
      <c r="AH1576">
        <v>0</v>
      </c>
      <c r="AI1576">
        <v>209</v>
      </c>
      <c r="AJ1576">
        <v>17</v>
      </c>
      <c r="AK1576">
        <v>853</v>
      </c>
      <c r="AL1576">
        <v>1.03</v>
      </c>
    </row>
    <row r="1577" spans="1:38" x14ac:dyDescent="0.3">
      <c r="A1577" t="s">
        <v>1813</v>
      </c>
      <c r="B1577">
        <v>2448</v>
      </c>
      <c r="C1577">
        <v>4</v>
      </c>
      <c r="D1577" t="s">
        <v>2194</v>
      </c>
      <c r="E1577" t="s">
        <v>2195</v>
      </c>
      <c r="F1577">
        <v>828</v>
      </c>
      <c r="G1577">
        <v>45.29</v>
      </c>
      <c r="H1577">
        <v>149.72</v>
      </c>
      <c r="I1577">
        <v>36.97</v>
      </c>
      <c r="J1577">
        <v>122.24</v>
      </c>
      <c r="K1577">
        <v>96</v>
      </c>
      <c r="T1577">
        <v>4</v>
      </c>
      <c r="U1577">
        <v>2</v>
      </c>
      <c r="V1577" t="s">
        <v>93</v>
      </c>
      <c r="W1577">
        <v>149</v>
      </c>
      <c r="X1577">
        <v>20</v>
      </c>
      <c r="Y1577">
        <v>9</v>
      </c>
      <c r="Z1577" t="s">
        <v>2196</v>
      </c>
      <c r="AA1577" t="s">
        <v>2197</v>
      </c>
      <c r="AB1577" t="s">
        <v>96</v>
      </c>
      <c r="AC1577" t="s">
        <v>97</v>
      </c>
      <c r="AD1577" t="s">
        <v>1818</v>
      </c>
      <c r="AG1577" t="s">
        <v>2198</v>
      </c>
      <c r="AH1577">
        <v>0</v>
      </c>
      <c r="AI1577">
        <v>209</v>
      </c>
      <c r="AJ1577">
        <v>17</v>
      </c>
      <c r="AK1577">
        <v>853</v>
      </c>
      <c r="AL1577">
        <v>1.03</v>
      </c>
    </row>
    <row r="1578" spans="1:38" x14ac:dyDescent="0.3">
      <c r="A1578" t="s">
        <v>1813</v>
      </c>
      <c r="B1578">
        <v>101106</v>
      </c>
      <c r="C1578">
        <v>1</v>
      </c>
      <c r="D1578" t="s">
        <v>2199</v>
      </c>
      <c r="E1578" t="s">
        <v>1070</v>
      </c>
      <c r="F1578">
        <v>80</v>
      </c>
      <c r="G1578">
        <v>21.44</v>
      </c>
      <c r="H1578">
        <v>70.900000000000006</v>
      </c>
      <c r="I1578">
        <v>16.940000000000001</v>
      </c>
      <c r="J1578">
        <v>56.01</v>
      </c>
      <c r="K1578">
        <v>35</v>
      </c>
      <c r="T1578">
        <v>3</v>
      </c>
      <c r="U1578">
        <v>1</v>
      </c>
      <c r="V1578" t="s">
        <v>93</v>
      </c>
      <c r="W1578">
        <v>70</v>
      </c>
      <c r="X1578">
        <v>5</v>
      </c>
      <c r="Y1578">
        <v>5</v>
      </c>
      <c r="Z1578" t="s">
        <v>2200</v>
      </c>
      <c r="AA1578" t="s">
        <v>2201</v>
      </c>
      <c r="AB1578" t="s">
        <v>96</v>
      </c>
      <c r="AC1578" t="s">
        <v>97</v>
      </c>
      <c r="AD1578" t="s">
        <v>1818</v>
      </c>
      <c r="AG1578" t="s">
        <v>2202</v>
      </c>
      <c r="AH1578">
        <v>0</v>
      </c>
      <c r="AI1578">
        <v>0</v>
      </c>
      <c r="AJ1578">
        <v>0</v>
      </c>
      <c r="AK1578">
        <v>0</v>
      </c>
      <c r="AL1578">
        <v>0</v>
      </c>
    </row>
    <row r="1579" spans="1:38" x14ac:dyDescent="0.3">
      <c r="A1579" t="s">
        <v>1813</v>
      </c>
      <c r="B1579">
        <v>101106</v>
      </c>
      <c r="C1579">
        <v>2</v>
      </c>
      <c r="D1579" t="s">
        <v>2199</v>
      </c>
      <c r="E1579" t="s">
        <v>1070</v>
      </c>
      <c r="F1579">
        <v>80</v>
      </c>
      <c r="G1579">
        <v>22.38</v>
      </c>
      <c r="H1579">
        <v>74</v>
      </c>
      <c r="I1579">
        <v>17.489999999999998</v>
      </c>
      <c r="J1579">
        <v>57.84</v>
      </c>
      <c r="K1579">
        <v>45</v>
      </c>
      <c r="T1579">
        <v>3</v>
      </c>
      <c r="U1579">
        <v>1</v>
      </c>
      <c r="V1579" t="s">
        <v>93</v>
      </c>
      <c r="W1579">
        <v>74</v>
      </c>
      <c r="X1579">
        <v>5</v>
      </c>
      <c r="Y1579">
        <v>5</v>
      </c>
      <c r="Z1579" t="s">
        <v>2200</v>
      </c>
      <c r="AA1579" t="s">
        <v>2201</v>
      </c>
      <c r="AB1579" t="s">
        <v>96</v>
      </c>
      <c r="AC1579" t="s">
        <v>97</v>
      </c>
      <c r="AD1579" t="s">
        <v>1818</v>
      </c>
      <c r="AG1579" t="s">
        <v>2202</v>
      </c>
      <c r="AH1579">
        <v>0</v>
      </c>
      <c r="AI1579">
        <v>0</v>
      </c>
      <c r="AJ1579">
        <v>0</v>
      </c>
      <c r="AK1579">
        <v>0</v>
      </c>
      <c r="AL1579">
        <v>0</v>
      </c>
    </row>
    <row r="1580" spans="1:38" x14ac:dyDescent="0.3">
      <c r="A1580" t="s">
        <v>1813</v>
      </c>
      <c r="B1580">
        <v>14539</v>
      </c>
      <c r="C1580">
        <v>1</v>
      </c>
      <c r="D1580" t="s">
        <v>2203</v>
      </c>
      <c r="E1580" t="s">
        <v>875</v>
      </c>
      <c r="F1580">
        <v>23</v>
      </c>
      <c r="G1580">
        <v>20.6</v>
      </c>
      <c r="H1580">
        <v>68.12</v>
      </c>
      <c r="I1580">
        <v>17.579999999999998</v>
      </c>
      <c r="J1580">
        <v>58.13</v>
      </c>
      <c r="K1580">
        <v>6</v>
      </c>
      <c r="T1580">
        <v>3</v>
      </c>
      <c r="U1580">
        <v>1</v>
      </c>
      <c r="V1580" t="s">
        <v>93</v>
      </c>
      <c r="W1580">
        <v>68</v>
      </c>
      <c r="X1580">
        <v>7</v>
      </c>
      <c r="Y1580">
        <v>6</v>
      </c>
      <c r="Z1580" t="s">
        <v>2204</v>
      </c>
      <c r="AA1580" t="s">
        <v>2205</v>
      </c>
      <c r="AB1580" t="s">
        <v>96</v>
      </c>
      <c r="AC1580" t="s">
        <v>97</v>
      </c>
      <c r="AD1580" t="s">
        <v>1818</v>
      </c>
      <c r="AG1580" t="s">
        <v>2206</v>
      </c>
      <c r="AH1580">
        <v>0</v>
      </c>
      <c r="AI1580">
        <v>0</v>
      </c>
      <c r="AJ1580">
        <v>0</v>
      </c>
      <c r="AK1580">
        <v>0</v>
      </c>
      <c r="AL1580">
        <v>0</v>
      </c>
    </row>
    <row r="1581" spans="1:38" x14ac:dyDescent="0.3">
      <c r="A1581" t="s">
        <v>1813</v>
      </c>
      <c r="B1581">
        <v>14539</v>
      </c>
      <c r="C1581">
        <v>2</v>
      </c>
      <c r="D1581" t="s">
        <v>2203</v>
      </c>
      <c r="E1581" t="s">
        <v>875</v>
      </c>
      <c r="F1581">
        <v>23</v>
      </c>
      <c r="G1581">
        <v>24.66</v>
      </c>
      <c r="H1581">
        <v>81.55</v>
      </c>
      <c r="I1581">
        <v>21.5</v>
      </c>
      <c r="J1581">
        <v>71.08</v>
      </c>
      <c r="K1581">
        <v>16</v>
      </c>
      <c r="T1581">
        <v>3</v>
      </c>
      <c r="U1581">
        <v>2</v>
      </c>
      <c r="V1581" t="s">
        <v>93</v>
      </c>
      <c r="W1581">
        <v>81</v>
      </c>
      <c r="X1581">
        <v>7</v>
      </c>
      <c r="Y1581">
        <v>6</v>
      </c>
      <c r="Z1581" t="s">
        <v>2204</v>
      </c>
      <c r="AA1581" t="s">
        <v>2205</v>
      </c>
      <c r="AB1581" t="s">
        <v>96</v>
      </c>
      <c r="AC1581" t="s">
        <v>97</v>
      </c>
      <c r="AD1581" t="s">
        <v>1818</v>
      </c>
      <c r="AG1581" t="s">
        <v>2206</v>
      </c>
      <c r="AH1581">
        <v>0</v>
      </c>
      <c r="AI1581">
        <v>0</v>
      </c>
      <c r="AJ1581">
        <v>0</v>
      </c>
      <c r="AK1581">
        <v>0</v>
      </c>
      <c r="AL1581">
        <v>0</v>
      </c>
    </row>
    <row r="1582" spans="1:38" x14ac:dyDescent="0.3">
      <c r="A1582" t="s">
        <v>1813</v>
      </c>
      <c r="B1582">
        <v>14539</v>
      </c>
      <c r="C1582">
        <v>3</v>
      </c>
      <c r="D1582" t="s">
        <v>2203</v>
      </c>
      <c r="E1582" t="s">
        <v>875</v>
      </c>
      <c r="F1582">
        <v>23</v>
      </c>
      <c r="G1582">
        <v>41.21</v>
      </c>
      <c r="H1582">
        <v>136.24</v>
      </c>
      <c r="I1582">
        <v>35.159999999999997</v>
      </c>
      <c r="J1582">
        <v>116.26</v>
      </c>
      <c r="K1582">
        <v>1</v>
      </c>
      <c r="T1582">
        <v>4</v>
      </c>
      <c r="U1582">
        <v>2</v>
      </c>
      <c r="V1582" t="s">
        <v>93</v>
      </c>
      <c r="W1582">
        <v>136</v>
      </c>
      <c r="X1582">
        <v>7</v>
      </c>
      <c r="Y1582">
        <v>6</v>
      </c>
      <c r="Z1582" t="s">
        <v>2204</v>
      </c>
      <c r="AA1582" t="s">
        <v>2205</v>
      </c>
      <c r="AB1582" t="s">
        <v>96</v>
      </c>
      <c r="AC1582" t="s">
        <v>97</v>
      </c>
      <c r="AD1582" t="s">
        <v>1818</v>
      </c>
      <c r="AG1582" t="s">
        <v>2206</v>
      </c>
      <c r="AH1582">
        <v>0</v>
      </c>
      <c r="AI1582">
        <v>0</v>
      </c>
      <c r="AJ1582">
        <v>0</v>
      </c>
      <c r="AK1582">
        <v>0</v>
      </c>
      <c r="AL1582">
        <v>0</v>
      </c>
    </row>
    <row r="1583" spans="1:38" x14ac:dyDescent="0.3">
      <c r="A1583" t="s">
        <v>1813</v>
      </c>
      <c r="B1583">
        <v>138683</v>
      </c>
      <c r="C1583">
        <v>1</v>
      </c>
      <c r="D1583" t="s">
        <v>2207</v>
      </c>
      <c r="E1583" t="s">
        <v>292</v>
      </c>
      <c r="F1583">
        <v>4</v>
      </c>
      <c r="G1583">
        <v>20.37</v>
      </c>
      <c r="H1583">
        <v>67.34</v>
      </c>
      <c r="I1583">
        <v>16.079999999999998</v>
      </c>
      <c r="J1583">
        <v>53.19</v>
      </c>
      <c r="K1583">
        <v>4</v>
      </c>
      <c r="T1583">
        <v>3</v>
      </c>
      <c r="U1583">
        <v>1</v>
      </c>
      <c r="V1583" t="s">
        <v>93</v>
      </c>
      <c r="W1583">
        <v>67</v>
      </c>
      <c r="X1583">
        <v>12</v>
      </c>
      <c r="Y1583">
        <v>12</v>
      </c>
      <c r="Z1583" t="s">
        <v>2208</v>
      </c>
      <c r="AA1583" t="s">
        <v>2209</v>
      </c>
      <c r="AB1583" t="s">
        <v>96</v>
      </c>
      <c r="AC1583" t="s">
        <v>97</v>
      </c>
      <c r="AD1583" t="s">
        <v>1818</v>
      </c>
      <c r="AG1583" t="s">
        <v>2210</v>
      </c>
      <c r="AH1583">
        <v>0</v>
      </c>
      <c r="AI1583">
        <v>499</v>
      </c>
      <c r="AJ1583">
        <v>59</v>
      </c>
      <c r="AK1583">
        <v>3</v>
      </c>
      <c r="AL1583">
        <v>0.75</v>
      </c>
    </row>
    <row r="1584" spans="1:38" x14ac:dyDescent="0.3">
      <c r="A1584" t="s">
        <v>1813</v>
      </c>
      <c r="B1584">
        <v>11475</v>
      </c>
      <c r="C1584">
        <v>1</v>
      </c>
      <c r="D1584" t="s">
        <v>2211</v>
      </c>
      <c r="E1584" t="s">
        <v>2212</v>
      </c>
      <c r="F1584">
        <v>50</v>
      </c>
      <c r="G1584">
        <v>22.72</v>
      </c>
      <c r="H1584">
        <v>75.14</v>
      </c>
      <c r="I1584">
        <v>21.85</v>
      </c>
      <c r="J1584">
        <v>72.25</v>
      </c>
      <c r="K1584">
        <v>50</v>
      </c>
      <c r="T1584">
        <v>3</v>
      </c>
      <c r="U1584">
        <v>2</v>
      </c>
      <c r="V1584" t="s">
        <v>93</v>
      </c>
      <c r="W1584">
        <v>75</v>
      </c>
      <c r="X1584">
        <v>5</v>
      </c>
      <c r="Y1584">
        <v>5</v>
      </c>
      <c r="Z1584" t="s">
        <v>2213</v>
      </c>
      <c r="AA1584" t="s">
        <v>2214</v>
      </c>
      <c r="AB1584" t="s">
        <v>96</v>
      </c>
      <c r="AC1584" t="s">
        <v>97</v>
      </c>
      <c r="AD1584" t="s">
        <v>1818</v>
      </c>
      <c r="AG1584" t="s">
        <v>2215</v>
      </c>
      <c r="AH1584">
        <v>0</v>
      </c>
      <c r="AI1584">
        <v>0</v>
      </c>
      <c r="AJ1584">
        <v>0</v>
      </c>
      <c r="AK1584">
        <v>0</v>
      </c>
      <c r="AL1584">
        <v>0</v>
      </c>
    </row>
    <row r="1585" spans="1:38" x14ac:dyDescent="0.3">
      <c r="A1585" t="s">
        <v>1813</v>
      </c>
      <c r="B1585">
        <v>141083</v>
      </c>
      <c r="C1585">
        <v>1</v>
      </c>
      <c r="D1585" t="s">
        <v>2216</v>
      </c>
      <c r="E1585" t="s">
        <v>2217</v>
      </c>
      <c r="F1585">
        <v>34</v>
      </c>
      <c r="G1585">
        <v>23.24</v>
      </c>
      <c r="H1585">
        <v>76.83</v>
      </c>
      <c r="I1585">
        <v>19.09</v>
      </c>
      <c r="J1585">
        <v>63.12</v>
      </c>
      <c r="K1585">
        <v>2</v>
      </c>
      <c r="T1585">
        <v>3</v>
      </c>
      <c r="U1585">
        <v>1</v>
      </c>
      <c r="V1585" t="s">
        <v>93</v>
      </c>
      <c r="W1585">
        <v>76</v>
      </c>
      <c r="X1585">
        <v>14</v>
      </c>
      <c r="Y1585">
        <v>12</v>
      </c>
      <c r="Z1585" t="s">
        <v>2218</v>
      </c>
      <c r="AA1585" t="s">
        <v>2219</v>
      </c>
      <c r="AB1585" t="s">
        <v>96</v>
      </c>
      <c r="AC1585" t="s">
        <v>97</v>
      </c>
      <c r="AD1585" t="s">
        <v>1818</v>
      </c>
      <c r="AG1585" t="s">
        <v>2220</v>
      </c>
      <c r="AH1585">
        <v>0</v>
      </c>
      <c r="AI1585">
        <v>699</v>
      </c>
      <c r="AJ1585">
        <v>67</v>
      </c>
      <c r="AK1585">
        <v>34</v>
      </c>
      <c r="AL1585">
        <v>1</v>
      </c>
    </row>
    <row r="1586" spans="1:38" x14ac:dyDescent="0.3">
      <c r="A1586" t="s">
        <v>1813</v>
      </c>
      <c r="B1586">
        <v>141083</v>
      </c>
      <c r="C1586">
        <v>2</v>
      </c>
      <c r="D1586" t="s">
        <v>2216</v>
      </c>
      <c r="E1586" t="s">
        <v>2217</v>
      </c>
      <c r="F1586">
        <v>34</v>
      </c>
      <c r="G1586">
        <v>23.99</v>
      </c>
      <c r="H1586">
        <v>79.33</v>
      </c>
      <c r="I1586">
        <v>19.77</v>
      </c>
      <c r="J1586">
        <v>65.36</v>
      </c>
      <c r="K1586">
        <v>7</v>
      </c>
      <c r="T1586">
        <v>3</v>
      </c>
      <c r="U1586">
        <v>1</v>
      </c>
      <c r="V1586" t="s">
        <v>93</v>
      </c>
      <c r="W1586" t="s">
        <v>474</v>
      </c>
      <c r="X1586">
        <v>14</v>
      </c>
      <c r="Y1586">
        <v>12</v>
      </c>
      <c r="Z1586" t="s">
        <v>2218</v>
      </c>
      <c r="AA1586" t="s">
        <v>2219</v>
      </c>
      <c r="AB1586" t="s">
        <v>96</v>
      </c>
      <c r="AC1586" t="s">
        <v>97</v>
      </c>
      <c r="AD1586" t="s">
        <v>1818</v>
      </c>
      <c r="AG1586" t="s">
        <v>2220</v>
      </c>
      <c r="AH1586">
        <v>0</v>
      </c>
      <c r="AI1586">
        <v>699</v>
      </c>
      <c r="AJ1586">
        <v>67</v>
      </c>
      <c r="AK1586">
        <v>34</v>
      </c>
      <c r="AL1586">
        <v>1</v>
      </c>
    </row>
    <row r="1587" spans="1:38" x14ac:dyDescent="0.3">
      <c r="A1587" t="s">
        <v>1813</v>
      </c>
      <c r="B1587">
        <v>141083</v>
      </c>
      <c r="C1587">
        <v>3</v>
      </c>
      <c r="D1587" t="s">
        <v>2216</v>
      </c>
      <c r="E1587" t="s">
        <v>2217</v>
      </c>
      <c r="F1587">
        <v>34</v>
      </c>
      <c r="G1587">
        <v>24.16</v>
      </c>
      <c r="H1587">
        <v>79.88</v>
      </c>
      <c r="I1587">
        <v>20.13</v>
      </c>
      <c r="J1587">
        <v>66.55</v>
      </c>
      <c r="K1587">
        <v>7</v>
      </c>
      <c r="T1587">
        <v>3</v>
      </c>
      <c r="U1587">
        <v>1</v>
      </c>
      <c r="V1587" t="s">
        <v>93</v>
      </c>
      <c r="W1587" t="s">
        <v>794</v>
      </c>
      <c r="X1587">
        <v>14</v>
      </c>
      <c r="Y1587">
        <v>12</v>
      </c>
      <c r="Z1587" t="s">
        <v>2218</v>
      </c>
      <c r="AA1587" t="s">
        <v>2219</v>
      </c>
      <c r="AB1587" t="s">
        <v>96</v>
      </c>
      <c r="AC1587" t="s">
        <v>97</v>
      </c>
      <c r="AD1587" t="s">
        <v>1818</v>
      </c>
      <c r="AG1587" t="s">
        <v>2220</v>
      </c>
      <c r="AH1587">
        <v>0</v>
      </c>
      <c r="AI1587">
        <v>699</v>
      </c>
      <c r="AJ1587">
        <v>67</v>
      </c>
      <c r="AK1587">
        <v>34</v>
      </c>
      <c r="AL1587">
        <v>1</v>
      </c>
    </row>
    <row r="1588" spans="1:38" x14ac:dyDescent="0.3">
      <c r="A1588" t="s">
        <v>1813</v>
      </c>
      <c r="B1588">
        <v>141083</v>
      </c>
      <c r="C1588">
        <v>4</v>
      </c>
      <c r="D1588" t="s">
        <v>2216</v>
      </c>
      <c r="E1588" t="s">
        <v>2217</v>
      </c>
      <c r="F1588">
        <v>34</v>
      </c>
      <c r="G1588">
        <v>24.28</v>
      </c>
      <c r="H1588">
        <v>80.28</v>
      </c>
      <c r="I1588">
        <v>20.21</v>
      </c>
      <c r="J1588">
        <v>66.819999999999993</v>
      </c>
      <c r="K1588">
        <v>9</v>
      </c>
      <c r="T1588">
        <v>3</v>
      </c>
      <c r="U1588">
        <v>1</v>
      </c>
      <c r="V1588" t="s">
        <v>93</v>
      </c>
      <c r="W1588" t="s">
        <v>2221</v>
      </c>
      <c r="X1588">
        <v>14</v>
      </c>
      <c r="Y1588">
        <v>12</v>
      </c>
      <c r="Z1588" t="s">
        <v>2218</v>
      </c>
      <c r="AA1588" t="s">
        <v>2219</v>
      </c>
      <c r="AB1588" t="s">
        <v>96</v>
      </c>
      <c r="AC1588" t="s">
        <v>97</v>
      </c>
      <c r="AD1588" t="s">
        <v>1818</v>
      </c>
      <c r="AG1588" t="s">
        <v>2220</v>
      </c>
      <c r="AH1588">
        <v>0</v>
      </c>
      <c r="AI1588">
        <v>699</v>
      </c>
      <c r="AJ1588">
        <v>67</v>
      </c>
      <c r="AK1588">
        <v>34</v>
      </c>
      <c r="AL1588">
        <v>1</v>
      </c>
    </row>
    <row r="1589" spans="1:38" x14ac:dyDescent="0.3">
      <c r="A1589" t="s">
        <v>1813</v>
      </c>
      <c r="B1589">
        <v>141083</v>
      </c>
      <c r="C1589">
        <v>5</v>
      </c>
      <c r="D1589" t="s">
        <v>2216</v>
      </c>
      <c r="E1589" t="s">
        <v>2217</v>
      </c>
      <c r="F1589">
        <v>34</v>
      </c>
      <c r="G1589">
        <v>24.2</v>
      </c>
      <c r="H1589">
        <v>80.03</v>
      </c>
      <c r="I1589">
        <v>19.97</v>
      </c>
      <c r="J1589">
        <v>66.040000000000006</v>
      </c>
      <c r="K1589">
        <v>7</v>
      </c>
      <c r="T1589">
        <v>3</v>
      </c>
      <c r="U1589">
        <v>1</v>
      </c>
      <c r="V1589" t="s">
        <v>93</v>
      </c>
      <c r="W1589" t="s">
        <v>322</v>
      </c>
      <c r="X1589">
        <v>14</v>
      </c>
      <c r="Y1589">
        <v>12</v>
      </c>
      <c r="Z1589" t="s">
        <v>2218</v>
      </c>
      <c r="AA1589" t="s">
        <v>2219</v>
      </c>
      <c r="AB1589" t="s">
        <v>96</v>
      </c>
      <c r="AC1589" t="s">
        <v>97</v>
      </c>
      <c r="AD1589" t="s">
        <v>1818</v>
      </c>
      <c r="AG1589" t="s">
        <v>2220</v>
      </c>
      <c r="AH1589">
        <v>0</v>
      </c>
      <c r="AI1589">
        <v>699</v>
      </c>
      <c r="AJ1589">
        <v>67</v>
      </c>
      <c r="AK1589">
        <v>34</v>
      </c>
      <c r="AL1589">
        <v>1</v>
      </c>
    </row>
    <row r="1590" spans="1:38" x14ac:dyDescent="0.3">
      <c r="A1590" t="s">
        <v>1813</v>
      </c>
      <c r="B1590">
        <v>141083</v>
      </c>
      <c r="C1590">
        <v>6</v>
      </c>
      <c r="D1590" t="s">
        <v>2216</v>
      </c>
      <c r="E1590" t="s">
        <v>2217</v>
      </c>
      <c r="F1590">
        <v>34</v>
      </c>
      <c r="G1590">
        <v>25.72</v>
      </c>
      <c r="H1590">
        <v>85.04</v>
      </c>
      <c r="I1590">
        <v>21.08</v>
      </c>
      <c r="J1590">
        <v>69.69</v>
      </c>
      <c r="K1590">
        <v>2</v>
      </c>
      <c r="T1590">
        <v>3</v>
      </c>
      <c r="U1590">
        <v>2</v>
      </c>
      <c r="V1590" t="s">
        <v>93</v>
      </c>
      <c r="W1590">
        <v>85</v>
      </c>
      <c r="X1590">
        <v>14</v>
      </c>
      <c r="Y1590">
        <v>12</v>
      </c>
      <c r="Z1590" t="s">
        <v>2218</v>
      </c>
      <c r="AA1590" t="s">
        <v>2219</v>
      </c>
      <c r="AB1590" t="s">
        <v>96</v>
      </c>
      <c r="AC1590" t="s">
        <v>97</v>
      </c>
      <c r="AD1590" t="s">
        <v>1818</v>
      </c>
      <c r="AG1590" t="s">
        <v>2220</v>
      </c>
      <c r="AH1590">
        <v>0</v>
      </c>
      <c r="AI1590">
        <v>699</v>
      </c>
      <c r="AJ1590">
        <v>67</v>
      </c>
      <c r="AK1590">
        <v>34</v>
      </c>
      <c r="AL1590">
        <v>1</v>
      </c>
    </row>
    <row r="1591" spans="1:38" x14ac:dyDescent="0.3">
      <c r="A1591" t="s">
        <v>1813</v>
      </c>
      <c r="B1591">
        <v>121019</v>
      </c>
      <c r="C1591">
        <v>1</v>
      </c>
      <c r="D1591" t="s">
        <v>2222</v>
      </c>
      <c r="E1591" t="s">
        <v>1893</v>
      </c>
      <c r="F1591">
        <v>11</v>
      </c>
      <c r="G1591">
        <v>14.14</v>
      </c>
      <c r="H1591">
        <v>46.77</v>
      </c>
      <c r="I1591">
        <v>11.22</v>
      </c>
      <c r="J1591">
        <v>37.119999999999997</v>
      </c>
      <c r="K1591">
        <v>3</v>
      </c>
      <c r="T1591">
        <v>1</v>
      </c>
      <c r="U1591">
        <v>1</v>
      </c>
      <c r="V1591" t="s">
        <v>93</v>
      </c>
      <c r="W1591">
        <v>46</v>
      </c>
      <c r="X1591">
        <v>7</v>
      </c>
      <c r="Y1591">
        <v>6</v>
      </c>
      <c r="Z1591" t="s">
        <v>2223</v>
      </c>
      <c r="AA1591" t="s">
        <v>2224</v>
      </c>
      <c r="AB1591" t="s">
        <v>96</v>
      </c>
      <c r="AC1591" t="s">
        <v>97</v>
      </c>
      <c r="AD1591" t="s">
        <v>1818</v>
      </c>
      <c r="AG1591" t="s">
        <v>2225</v>
      </c>
      <c r="AH1591">
        <v>0</v>
      </c>
      <c r="AI1591">
        <v>292</v>
      </c>
      <c r="AJ1591">
        <v>59</v>
      </c>
      <c r="AK1591">
        <v>7</v>
      </c>
      <c r="AL1591">
        <v>0.64</v>
      </c>
    </row>
    <row r="1592" spans="1:38" x14ac:dyDescent="0.3">
      <c r="A1592" t="s">
        <v>1813</v>
      </c>
      <c r="B1592">
        <v>121019</v>
      </c>
      <c r="C1592">
        <v>2</v>
      </c>
      <c r="D1592" t="s">
        <v>2222</v>
      </c>
      <c r="E1592" t="s">
        <v>1893</v>
      </c>
      <c r="F1592">
        <v>11</v>
      </c>
      <c r="G1592">
        <v>15.53</v>
      </c>
      <c r="H1592">
        <v>51.34</v>
      </c>
      <c r="I1592">
        <v>12.3</v>
      </c>
      <c r="J1592">
        <v>40.69</v>
      </c>
      <c r="K1592">
        <v>3</v>
      </c>
      <c r="T1592">
        <v>2</v>
      </c>
      <c r="U1592">
        <v>1</v>
      </c>
      <c r="V1592" t="s">
        <v>93</v>
      </c>
      <c r="W1592" t="s">
        <v>251</v>
      </c>
      <c r="X1592">
        <v>7</v>
      </c>
      <c r="Y1592">
        <v>6</v>
      </c>
      <c r="Z1592" t="s">
        <v>2223</v>
      </c>
      <c r="AA1592" t="s">
        <v>2224</v>
      </c>
      <c r="AB1592" t="s">
        <v>96</v>
      </c>
      <c r="AC1592" t="s">
        <v>97</v>
      </c>
      <c r="AD1592" t="s">
        <v>1818</v>
      </c>
      <c r="AG1592" t="s">
        <v>2225</v>
      </c>
      <c r="AH1592">
        <v>0</v>
      </c>
      <c r="AI1592">
        <v>292</v>
      </c>
      <c r="AJ1592">
        <v>59</v>
      </c>
      <c r="AK1592">
        <v>7</v>
      </c>
      <c r="AL1592">
        <v>0.64</v>
      </c>
    </row>
    <row r="1593" spans="1:38" x14ac:dyDescent="0.3">
      <c r="A1593" t="s">
        <v>1813</v>
      </c>
      <c r="B1593">
        <v>121019</v>
      </c>
      <c r="C1593">
        <v>3</v>
      </c>
      <c r="D1593" t="s">
        <v>2222</v>
      </c>
      <c r="E1593" t="s">
        <v>1893</v>
      </c>
      <c r="F1593">
        <v>11</v>
      </c>
      <c r="G1593">
        <v>16</v>
      </c>
      <c r="H1593">
        <v>52.9</v>
      </c>
      <c r="I1593">
        <v>12.7</v>
      </c>
      <c r="J1593">
        <v>42.01</v>
      </c>
      <c r="K1593">
        <v>1</v>
      </c>
      <c r="T1593">
        <v>2</v>
      </c>
      <c r="U1593">
        <v>1</v>
      </c>
      <c r="V1593" t="s">
        <v>93</v>
      </c>
      <c r="W1593" t="s">
        <v>586</v>
      </c>
      <c r="X1593">
        <v>7</v>
      </c>
      <c r="Y1593">
        <v>6</v>
      </c>
      <c r="Z1593" t="s">
        <v>2223</v>
      </c>
      <c r="AA1593" t="s">
        <v>2224</v>
      </c>
      <c r="AB1593" t="s">
        <v>96</v>
      </c>
      <c r="AC1593" t="s">
        <v>97</v>
      </c>
      <c r="AD1593" t="s">
        <v>1818</v>
      </c>
      <c r="AG1593" t="s">
        <v>2225</v>
      </c>
      <c r="AH1593">
        <v>0</v>
      </c>
      <c r="AI1593">
        <v>292</v>
      </c>
      <c r="AJ1593">
        <v>59</v>
      </c>
      <c r="AK1593">
        <v>7</v>
      </c>
      <c r="AL1593">
        <v>0.64</v>
      </c>
    </row>
    <row r="1594" spans="1:38" x14ac:dyDescent="0.3">
      <c r="A1594" t="s">
        <v>1813</v>
      </c>
      <c r="B1594">
        <v>121019</v>
      </c>
      <c r="C1594">
        <v>4</v>
      </c>
      <c r="D1594" t="s">
        <v>2222</v>
      </c>
      <c r="E1594" t="s">
        <v>1893</v>
      </c>
      <c r="F1594">
        <v>11</v>
      </c>
      <c r="G1594">
        <v>17.23</v>
      </c>
      <c r="H1594">
        <v>56.99</v>
      </c>
      <c r="I1594">
        <v>13.66</v>
      </c>
      <c r="J1594">
        <v>45.18</v>
      </c>
      <c r="K1594">
        <v>3</v>
      </c>
      <c r="T1594">
        <v>2</v>
      </c>
      <c r="U1594">
        <v>1</v>
      </c>
      <c r="V1594" t="s">
        <v>93</v>
      </c>
      <c r="W1594">
        <v>56</v>
      </c>
      <c r="X1594">
        <v>7</v>
      </c>
      <c r="Y1594">
        <v>6</v>
      </c>
      <c r="Z1594" t="s">
        <v>2223</v>
      </c>
      <c r="AA1594" t="s">
        <v>2224</v>
      </c>
      <c r="AB1594" t="s">
        <v>96</v>
      </c>
      <c r="AC1594" t="s">
        <v>97</v>
      </c>
      <c r="AD1594" t="s">
        <v>1818</v>
      </c>
      <c r="AG1594" t="s">
        <v>2225</v>
      </c>
      <c r="AH1594">
        <v>0</v>
      </c>
      <c r="AI1594">
        <v>292</v>
      </c>
      <c r="AJ1594">
        <v>59</v>
      </c>
      <c r="AK1594">
        <v>7</v>
      </c>
      <c r="AL1594">
        <v>0.64</v>
      </c>
    </row>
    <row r="1595" spans="1:38" x14ac:dyDescent="0.3">
      <c r="A1595" t="s">
        <v>1813</v>
      </c>
      <c r="B1595">
        <v>121019</v>
      </c>
      <c r="C1595">
        <v>5</v>
      </c>
      <c r="D1595" t="s">
        <v>2222</v>
      </c>
      <c r="E1595" t="s">
        <v>1893</v>
      </c>
      <c r="F1595">
        <v>11</v>
      </c>
      <c r="G1595">
        <v>17.66</v>
      </c>
      <c r="H1595">
        <v>58.4</v>
      </c>
      <c r="I1595">
        <v>14.09</v>
      </c>
      <c r="J1595">
        <v>46.6</v>
      </c>
      <c r="K1595">
        <v>1</v>
      </c>
      <c r="T1595">
        <v>2</v>
      </c>
      <c r="U1595">
        <v>1</v>
      </c>
      <c r="V1595" t="s">
        <v>93</v>
      </c>
      <c r="W1595">
        <v>58</v>
      </c>
      <c r="X1595">
        <v>7</v>
      </c>
      <c r="Y1595">
        <v>6</v>
      </c>
      <c r="Z1595" t="s">
        <v>2223</v>
      </c>
      <c r="AA1595" t="s">
        <v>2224</v>
      </c>
      <c r="AB1595" t="s">
        <v>96</v>
      </c>
      <c r="AC1595" t="s">
        <v>97</v>
      </c>
      <c r="AD1595" t="s">
        <v>1818</v>
      </c>
      <c r="AG1595" t="s">
        <v>2225</v>
      </c>
      <c r="AH1595">
        <v>0</v>
      </c>
      <c r="AI1595">
        <v>292</v>
      </c>
      <c r="AJ1595">
        <v>59</v>
      </c>
      <c r="AK1595">
        <v>7</v>
      </c>
      <c r="AL1595">
        <v>0.64</v>
      </c>
    </row>
    <row r="1596" spans="1:38" x14ac:dyDescent="0.3">
      <c r="A1596" t="s">
        <v>1813</v>
      </c>
      <c r="B1596">
        <v>102149</v>
      </c>
      <c r="C1596">
        <v>1</v>
      </c>
      <c r="D1596" t="s">
        <v>2226</v>
      </c>
      <c r="E1596" t="s">
        <v>1629</v>
      </c>
      <c r="F1596">
        <v>19</v>
      </c>
      <c r="G1596">
        <v>18.22</v>
      </c>
      <c r="H1596">
        <v>60.24</v>
      </c>
      <c r="I1596">
        <v>15.61</v>
      </c>
      <c r="J1596">
        <v>51.61</v>
      </c>
      <c r="K1596">
        <v>1</v>
      </c>
      <c r="T1596">
        <v>2</v>
      </c>
      <c r="U1596">
        <v>1</v>
      </c>
      <c r="V1596" t="s">
        <v>93</v>
      </c>
      <c r="W1596">
        <v>60</v>
      </c>
      <c r="X1596">
        <v>15</v>
      </c>
      <c r="Y1596">
        <v>15</v>
      </c>
      <c r="Z1596" t="s">
        <v>2227</v>
      </c>
      <c r="AA1596" t="s">
        <v>2228</v>
      </c>
      <c r="AB1596" t="s">
        <v>96</v>
      </c>
      <c r="AC1596" t="s">
        <v>97</v>
      </c>
      <c r="AD1596" t="s">
        <v>1818</v>
      </c>
      <c r="AG1596" t="s">
        <v>2229</v>
      </c>
      <c r="AH1596">
        <v>0</v>
      </c>
      <c r="AI1596">
        <v>433</v>
      </c>
      <c r="AJ1596">
        <v>45</v>
      </c>
      <c r="AK1596">
        <v>31</v>
      </c>
      <c r="AL1596">
        <v>1.63</v>
      </c>
    </row>
    <row r="1597" spans="1:38" x14ac:dyDescent="0.3">
      <c r="A1597" t="s">
        <v>1813</v>
      </c>
      <c r="B1597">
        <v>102149</v>
      </c>
      <c r="C1597">
        <v>2</v>
      </c>
      <c r="D1597" t="s">
        <v>2226</v>
      </c>
      <c r="E1597" t="s">
        <v>1629</v>
      </c>
      <c r="F1597">
        <v>19</v>
      </c>
      <c r="G1597">
        <v>20.56</v>
      </c>
      <c r="H1597">
        <v>67.97</v>
      </c>
      <c r="I1597">
        <v>17.61</v>
      </c>
      <c r="J1597">
        <v>58.23</v>
      </c>
      <c r="K1597">
        <v>1</v>
      </c>
      <c r="T1597">
        <v>2</v>
      </c>
      <c r="U1597">
        <v>1</v>
      </c>
      <c r="V1597" t="s">
        <v>93</v>
      </c>
      <c r="W1597">
        <v>67</v>
      </c>
      <c r="X1597">
        <v>15</v>
      </c>
      <c r="Y1597">
        <v>15</v>
      </c>
      <c r="Z1597" t="s">
        <v>2227</v>
      </c>
      <c r="AA1597" t="s">
        <v>2228</v>
      </c>
      <c r="AB1597" t="s">
        <v>96</v>
      </c>
      <c r="AC1597" t="s">
        <v>97</v>
      </c>
      <c r="AD1597" t="s">
        <v>1818</v>
      </c>
      <c r="AG1597" t="s">
        <v>2229</v>
      </c>
      <c r="AH1597">
        <v>0</v>
      </c>
      <c r="AI1597">
        <v>433</v>
      </c>
      <c r="AJ1597">
        <v>45</v>
      </c>
      <c r="AK1597">
        <v>31</v>
      </c>
      <c r="AL1597">
        <v>1.63</v>
      </c>
    </row>
    <row r="1598" spans="1:38" x14ac:dyDescent="0.3">
      <c r="A1598" t="s">
        <v>1813</v>
      </c>
      <c r="B1598">
        <v>102149</v>
      </c>
      <c r="C1598">
        <v>3</v>
      </c>
      <c r="D1598" t="s">
        <v>2226</v>
      </c>
      <c r="E1598" t="s">
        <v>1629</v>
      </c>
      <c r="F1598">
        <v>19</v>
      </c>
      <c r="G1598">
        <v>24.4</v>
      </c>
      <c r="H1598">
        <v>80.69</v>
      </c>
      <c r="I1598">
        <v>20.91</v>
      </c>
      <c r="J1598">
        <v>69.13</v>
      </c>
      <c r="K1598">
        <v>16</v>
      </c>
      <c r="T1598">
        <v>3</v>
      </c>
      <c r="U1598">
        <v>2</v>
      </c>
      <c r="V1598" t="s">
        <v>93</v>
      </c>
      <c r="W1598">
        <v>80</v>
      </c>
      <c r="X1598">
        <v>15</v>
      </c>
      <c r="Y1598">
        <v>15</v>
      </c>
      <c r="Z1598" t="s">
        <v>2227</v>
      </c>
      <c r="AA1598" t="s">
        <v>2228</v>
      </c>
      <c r="AB1598" t="s">
        <v>96</v>
      </c>
      <c r="AC1598" t="s">
        <v>97</v>
      </c>
      <c r="AD1598" t="s">
        <v>1818</v>
      </c>
      <c r="AG1598" t="s">
        <v>2229</v>
      </c>
      <c r="AH1598">
        <v>0</v>
      </c>
      <c r="AI1598">
        <v>433</v>
      </c>
      <c r="AJ1598">
        <v>45</v>
      </c>
      <c r="AK1598">
        <v>31</v>
      </c>
      <c r="AL1598">
        <v>1.63</v>
      </c>
    </row>
    <row r="1599" spans="1:38" x14ac:dyDescent="0.3">
      <c r="A1599" t="s">
        <v>1813</v>
      </c>
      <c r="B1599">
        <v>102149</v>
      </c>
      <c r="C1599">
        <v>4</v>
      </c>
      <c r="D1599" t="s">
        <v>2226</v>
      </c>
      <c r="E1599" t="s">
        <v>1629</v>
      </c>
      <c r="F1599">
        <v>19</v>
      </c>
      <c r="G1599">
        <v>29.73</v>
      </c>
      <c r="H1599">
        <v>98.29</v>
      </c>
      <c r="I1599">
        <v>25.47</v>
      </c>
      <c r="J1599">
        <v>84.21</v>
      </c>
      <c r="K1599">
        <v>1</v>
      </c>
      <c r="T1599">
        <v>3</v>
      </c>
      <c r="U1599">
        <v>2</v>
      </c>
      <c r="V1599" t="s">
        <v>93</v>
      </c>
      <c r="W1599">
        <v>98</v>
      </c>
      <c r="X1599">
        <v>15</v>
      </c>
      <c r="Y1599">
        <v>15</v>
      </c>
      <c r="Z1599" t="s">
        <v>2227</v>
      </c>
      <c r="AA1599" t="s">
        <v>2228</v>
      </c>
      <c r="AB1599" t="s">
        <v>96</v>
      </c>
      <c r="AC1599" t="s">
        <v>97</v>
      </c>
      <c r="AD1599" t="s">
        <v>1818</v>
      </c>
      <c r="AG1599" t="s">
        <v>2229</v>
      </c>
      <c r="AH1599">
        <v>0</v>
      </c>
      <c r="AI1599">
        <v>433</v>
      </c>
      <c r="AJ1599">
        <v>45</v>
      </c>
      <c r="AK1599">
        <v>31</v>
      </c>
      <c r="AL1599">
        <v>1.63</v>
      </c>
    </row>
    <row r="1600" spans="1:38" x14ac:dyDescent="0.3">
      <c r="A1600" t="s">
        <v>1813</v>
      </c>
      <c r="B1600">
        <v>112049</v>
      </c>
      <c r="C1600">
        <v>1</v>
      </c>
      <c r="D1600" t="s">
        <v>2230</v>
      </c>
      <c r="E1600" t="s">
        <v>2231</v>
      </c>
      <c r="F1600">
        <v>16</v>
      </c>
      <c r="G1600">
        <v>24.96</v>
      </c>
      <c r="H1600">
        <v>82.52</v>
      </c>
      <c r="I1600">
        <v>20.34</v>
      </c>
      <c r="J1600">
        <v>67.239999999999995</v>
      </c>
      <c r="K1600">
        <v>4</v>
      </c>
      <c r="T1600">
        <v>3</v>
      </c>
      <c r="U1600">
        <v>1</v>
      </c>
      <c r="V1600" t="s">
        <v>93</v>
      </c>
      <c r="W1600" t="s">
        <v>152</v>
      </c>
      <c r="X1600">
        <v>10</v>
      </c>
      <c r="Y1600">
        <v>10</v>
      </c>
      <c r="Z1600" t="s">
        <v>2232</v>
      </c>
      <c r="AA1600" t="s">
        <v>2233</v>
      </c>
      <c r="AB1600" t="s">
        <v>96</v>
      </c>
      <c r="AC1600" t="s">
        <v>97</v>
      </c>
      <c r="AD1600" t="s">
        <v>1818</v>
      </c>
      <c r="AG1600" t="s">
        <v>2234</v>
      </c>
      <c r="AH1600">
        <v>0</v>
      </c>
      <c r="AI1600">
        <v>669</v>
      </c>
      <c r="AJ1600">
        <v>79</v>
      </c>
      <c r="AK1600">
        <v>16</v>
      </c>
      <c r="AL1600">
        <v>1</v>
      </c>
    </row>
    <row r="1601" spans="1:38" x14ac:dyDescent="0.3">
      <c r="A1601" t="s">
        <v>1813</v>
      </c>
      <c r="B1601">
        <v>112049</v>
      </c>
      <c r="C1601">
        <v>2</v>
      </c>
      <c r="D1601" t="s">
        <v>2230</v>
      </c>
      <c r="E1601" t="s">
        <v>2231</v>
      </c>
      <c r="F1601">
        <v>16</v>
      </c>
      <c r="G1601">
        <v>25.23</v>
      </c>
      <c r="H1601">
        <v>83.42</v>
      </c>
      <c r="I1601">
        <v>20.55</v>
      </c>
      <c r="J1601">
        <v>67.95</v>
      </c>
      <c r="K1601">
        <v>3</v>
      </c>
      <c r="T1601">
        <v>3</v>
      </c>
      <c r="U1601">
        <v>1</v>
      </c>
      <c r="V1601" t="s">
        <v>93</v>
      </c>
      <c r="W1601" t="s">
        <v>990</v>
      </c>
      <c r="X1601">
        <v>10</v>
      </c>
      <c r="Y1601">
        <v>10</v>
      </c>
      <c r="Z1601" t="s">
        <v>2232</v>
      </c>
      <c r="AA1601" t="s">
        <v>2233</v>
      </c>
      <c r="AB1601" t="s">
        <v>96</v>
      </c>
      <c r="AC1601" t="s">
        <v>97</v>
      </c>
      <c r="AD1601" t="s">
        <v>1818</v>
      </c>
      <c r="AG1601" t="s">
        <v>2234</v>
      </c>
      <c r="AH1601">
        <v>0</v>
      </c>
      <c r="AI1601">
        <v>669</v>
      </c>
      <c r="AJ1601">
        <v>79</v>
      </c>
      <c r="AK1601">
        <v>16</v>
      </c>
      <c r="AL1601">
        <v>1</v>
      </c>
    </row>
    <row r="1602" spans="1:38" x14ac:dyDescent="0.3">
      <c r="A1602" t="s">
        <v>1813</v>
      </c>
      <c r="B1602">
        <v>112049</v>
      </c>
      <c r="C1602">
        <v>3</v>
      </c>
      <c r="D1602" t="s">
        <v>2230</v>
      </c>
      <c r="E1602" t="s">
        <v>2231</v>
      </c>
      <c r="F1602">
        <v>16</v>
      </c>
      <c r="G1602">
        <v>25.26</v>
      </c>
      <c r="H1602">
        <v>83.53</v>
      </c>
      <c r="I1602">
        <v>20.56</v>
      </c>
      <c r="J1602">
        <v>67.98</v>
      </c>
      <c r="K1602">
        <v>1</v>
      </c>
      <c r="T1602">
        <v>3</v>
      </c>
      <c r="U1602">
        <v>1</v>
      </c>
      <c r="V1602" t="s">
        <v>93</v>
      </c>
      <c r="W1602" t="s">
        <v>505</v>
      </c>
      <c r="X1602">
        <v>10</v>
      </c>
      <c r="Y1602">
        <v>10</v>
      </c>
      <c r="Z1602" t="s">
        <v>2232</v>
      </c>
      <c r="AA1602" t="s">
        <v>2233</v>
      </c>
      <c r="AB1602" t="s">
        <v>96</v>
      </c>
      <c r="AC1602" t="s">
        <v>97</v>
      </c>
      <c r="AD1602" t="s">
        <v>1818</v>
      </c>
      <c r="AG1602" t="s">
        <v>2234</v>
      </c>
      <c r="AH1602">
        <v>0</v>
      </c>
      <c r="AI1602">
        <v>669</v>
      </c>
      <c r="AJ1602">
        <v>79</v>
      </c>
      <c r="AK1602">
        <v>16</v>
      </c>
      <c r="AL1602">
        <v>1</v>
      </c>
    </row>
    <row r="1603" spans="1:38" x14ac:dyDescent="0.3">
      <c r="A1603" t="s">
        <v>1813</v>
      </c>
      <c r="B1603">
        <v>112049</v>
      </c>
      <c r="C1603">
        <v>4</v>
      </c>
      <c r="D1603" t="s">
        <v>2230</v>
      </c>
      <c r="E1603" t="s">
        <v>2231</v>
      </c>
      <c r="F1603">
        <v>16</v>
      </c>
      <c r="G1603">
        <v>25.49</v>
      </c>
      <c r="H1603">
        <v>84.28</v>
      </c>
      <c r="I1603">
        <v>20.73</v>
      </c>
      <c r="J1603">
        <v>68.55</v>
      </c>
      <c r="K1603">
        <v>4</v>
      </c>
      <c r="T1603">
        <v>3</v>
      </c>
      <c r="U1603">
        <v>1</v>
      </c>
      <c r="V1603" t="s">
        <v>93</v>
      </c>
      <c r="W1603" t="s">
        <v>2193</v>
      </c>
      <c r="X1603">
        <v>10</v>
      </c>
      <c r="Y1603">
        <v>10</v>
      </c>
      <c r="Z1603" t="s">
        <v>2232</v>
      </c>
      <c r="AA1603" t="s">
        <v>2233</v>
      </c>
      <c r="AB1603" t="s">
        <v>96</v>
      </c>
      <c r="AC1603" t="s">
        <v>97</v>
      </c>
      <c r="AD1603" t="s">
        <v>1818</v>
      </c>
      <c r="AG1603" t="s">
        <v>2234</v>
      </c>
      <c r="AH1603">
        <v>0</v>
      </c>
      <c r="AI1603">
        <v>669</v>
      </c>
      <c r="AJ1603">
        <v>79</v>
      </c>
      <c r="AK1603">
        <v>16</v>
      </c>
      <c r="AL1603">
        <v>1</v>
      </c>
    </row>
    <row r="1604" spans="1:38" x14ac:dyDescent="0.3">
      <c r="A1604" t="s">
        <v>1813</v>
      </c>
      <c r="B1604">
        <v>112049</v>
      </c>
      <c r="C1604">
        <v>5</v>
      </c>
      <c r="D1604" t="s">
        <v>2230</v>
      </c>
      <c r="E1604" t="s">
        <v>2231</v>
      </c>
      <c r="F1604">
        <v>16</v>
      </c>
      <c r="G1604">
        <v>27.84</v>
      </c>
      <c r="H1604">
        <v>92.04</v>
      </c>
      <c r="I1604">
        <v>22.89</v>
      </c>
      <c r="J1604">
        <v>75.680000000000007</v>
      </c>
      <c r="K1604">
        <v>4</v>
      </c>
      <c r="T1604">
        <v>3</v>
      </c>
      <c r="U1604">
        <v>2</v>
      </c>
      <c r="V1604" t="s">
        <v>93</v>
      </c>
      <c r="W1604">
        <v>92</v>
      </c>
      <c r="X1604">
        <v>10</v>
      </c>
      <c r="Y1604">
        <v>10</v>
      </c>
      <c r="Z1604" t="s">
        <v>2232</v>
      </c>
      <c r="AA1604" t="s">
        <v>2233</v>
      </c>
      <c r="AB1604" t="s">
        <v>96</v>
      </c>
      <c r="AC1604" t="s">
        <v>97</v>
      </c>
      <c r="AD1604" t="s">
        <v>1818</v>
      </c>
      <c r="AG1604" t="s">
        <v>2234</v>
      </c>
      <c r="AH1604">
        <v>0</v>
      </c>
      <c r="AI1604">
        <v>669</v>
      </c>
      <c r="AJ1604">
        <v>79</v>
      </c>
      <c r="AK1604">
        <v>16</v>
      </c>
      <c r="AL1604">
        <v>1</v>
      </c>
    </row>
    <row r="1605" spans="1:38" x14ac:dyDescent="0.3">
      <c r="A1605" t="s">
        <v>1813</v>
      </c>
      <c r="B1605">
        <v>113879</v>
      </c>
      <c r="C1605">
        <v>1</v>
      </c>
      <c r="D1605" t="s">
        <v>2235</v>
      </c>
      <c r="E1605" t="s">
        <v>1003</v>
      </c>
      <c r="F1605">
        <v>80</v>
      </c>
      <c r="G1605">
        <v>7.4</v>
      </c>
      <c r="H1605">
        <v>24.49</v>
      </c>
      <c r="I1605">
        <v>3.61</v>
      </c>
      <c r="J1605">
        <v>11.94</v>
      </c>
      <c r="K1605">
        <v>56</v>
      </c>
      <c r="T1605">
        <v>1</v>
      </c>
      <c r="U1605">
        <v>1</v>
      </c>
      <c r="V1605" t="s">
        <v>93</v>
      </c>
      <c r="W1605">
        <v>24</v>
      </c>
      <c r="X1605">
        <v>13</v>
      </c>
      <c r="Y1605">
        <v>13</v>
      </c>
      <c r="Z1605" t="s">
        <v>2236</v>
      </c>
      <c r="AA1605" t="s">
        <v>2237</v>
      </c>
      <c r="AB1605" t="s">
        <v>96</v>
      </c>
      <c r="AC1605" t="s">
        <v>97</v>
      </c>
      <c r="AD1605" t="s">
        <v>1818</v>
      </c>
      <c r="AG1605" t="s">
        <v>2238</v>
      </c>
      <c r="AH1605">
        <v>0</v>
      </c>
      <c r="AI1605">
        <v>696</v>
      </c>
      <c r="AJ1605">
        <v>74</v>
      </c>
      <c r="AK1605">
        <v>45</v>
      </c>
      <c r="AL1605">
        <v>0.56000000000000005</v>
      </c>
    </row>
    <row r="1606" spans="1:38" x14ac:dyDescent="0.3">
      <c r="A1606" t="s">
        <v>1813</v>
      </c>
      <c r="B1606">
        <v>113879</v>
      </c>
      <c r="C1606">
        <v>2</v>
      </c>
      <c r="D1606" t="s">
        <v>2235</v>
      </c>
      <c r="E1606" t="s">
        <v>1003</v>
      </c>
      <c r="F1606">
        <v>80</v>
      </c>
      <c r="G1606">
        <v>7.52</v>
      </c>
      <c r="H1606">
        <v>24.89</v>
      </c>
      <c r="I1606">
        <v>3.67</v>
      </c>
      <c r="J1606">
        <v>12.14</v>
      </c>
      <c r="K1606">
        <v>24</v>
      </c>
      <c r="T1606">
        <v>1</v>
      </c>
      <c r="U1606">
        <v>1</v>
      </c>
      <c r="V1606" t="s">
        <v>93</v>
      </c>
      <c r="W1606">
        <v>24</v>
      </c>
      <c r="X1606">
        <v>13</v>
      </c>
      <c r="Y1606">
        <v>13</v>
      </c>
      <c r="Z1606" t="s">
        <v>2236</v>
      </c>
      <c r="AA1606" t="s">
        <v>2237</v>
      </c>
      <c r="AB1606" t="s">
        <v>96</v>
      </c>
      <c r="AC1606" t="s">
        <v>97</v>
      </c>
      <c r="AD1606" t="s">
        <v>1818</v>
      </c>
      <c r="AG1606" t="s">
        <v>2238</v>
      </c>
      <c r="AH1606">
        <v>0</v>
      </c>
      <c r="AI1606">
        <v>696</v>
      </c>
      <c r="AJ1606">
        <v>74</v>
      </c>
      <c r="AK1606">
        <v>45</v>
      </c>
      <c r="AL1606">
        <v>0.56000000000000005</v>
      </c>
    </row>
    <row r="1607" spans="1:38" x14ac:dyDescent="0.3">
      <c r="A1607" t="s">
        <v>1813</v>
      </c>
      <c r="B1607">
        <v>108125</v>
      </c>
      <c r="C1607">
        <v>1</v>
      </c>
      <c r="D1607" t="s">
        <v>2239</v>
      </c>
      <c r="E1607" t="s">
        <v>165</v>
      </c>
      <c r="F1607">
        <v>20</v>
      </c>
      <c r="G1607">
        <v>7.52</v>
      </c>
      <c r="H1607">
        <v>24.88</v>
      </c>
      <c r="I1607">
        <v>4.9800000000000004</v>
      </c>
      <c r="J1607">
        <v>16.489999999999998</v>
      </c>
      <c r="K1607">
        <v>4</v>
      </c>
      <c r="T1607">
        <v>1</v>
      </c>
      <c r="U1607">
        <v>1</v>
      </c>
      <c r="V1607" t="s">
        <v>211</v>
      </c>
      <c r="W1607" t="s">
        <v>2240</v>
      </c>
      <c r="X1607">
        <v>8</v>
      </c>
      <c r="Y1607">
        <v>8</v>
      </c>
      <c r="Z1607" t="s">
        <v>2241</v>
      </c>
      <c r="AA1607" t="s">
        <v>2242</v>
      </c>
      <c r="AB1607" t="s">
        <v>96</v>
      </c>
      <c r="AC1607" t="s">
        <v>97</v>
      </c>
      <c r="AD1607" t="s">
        <v>1818</v>
      </c>
      <c r="AG1607" t="s">
        <v>2243</v>
      </c>
      <c r="AH1607">
        <v>0</v>
      </c>
      <c r="AI1607">
        <v>385</v>
      </c>
      <c r="AJ1607">
        <v>66</v>
      </c>
      <c r="AK1607">
        <v>7</v>
      </c>
      <c r="AL1607">
        <v>0.35</v>
      </c>
    </row>
    <row r="1608" spans="1:38" x14ac:dyDescent="0.3">
      <c r="A1608" t="s">
        <v>1813</v>
      </c>
      <c r="B1608">
        <v>108125</v>
      </c>
      <c r="C1608">
        <v>2</v>
      </c>
      <c r="D1608" t="s">
        <v>2239</v>
      </c>
      <c r="E1608" t="s">
        <v>165</v>
      </c>
      <c r="F1608">
        <v>20</v>
      </c>
      <c r="G1608">
        <v>7.35</v>
      </c>
      <c r="H1608">
        <v>24.32</v>
      </c>
      <c r="I1608">
        <v>4.87</v>
      </c>
      <c r="J1608">
        <v>16.12</v>
      </c>
      <c r="K1608">
        <v>2</v>
      </c>
      <c r="T1608">
        <v>1</v>
      </c>
      <c r="U1608">
        <v>1</v>
      </c>
      <c r="V1608" t="s">
        <v>211</v>
      </c>
      <c r="W1608">
        <v>24</v>
      </c>
      <c r="X1608">
        <v>8</v>
      </c>
      <c r="Y1608">
        <v>8</v>
      </c>
      <c r="Z1608" t="s">
        <v>2241</v>
      </c>
      <c r="AA1608" t="s">
        <v>2242</v>
      </c>
      <c r="AB1608" t="s">
        <v>96</v>
      </c>
      <c r="AC1608" t="s">
        <v>97</v>
      </c>
      <c r="AD1608" t="s">
        <v>1818</v>
      </c>
      <c r="AG1608" t="s">
        <v>2243</v>
      </c>
      <c r="AH1608">
        <v>0</v>
      </c>
      <c r="AI1608">
        <v>385</v>
      </c>
      <c r="AJ1608">
        <v>66</v>
      </c>
      <c r="AK1608">
        <v>7</v>
      </c>
      <c r="AL1608">
        <v>0.35</v>
      </c>
    </row>
    <row r="1609" spans="1:38" x14ac:dyDescent="0.3">
      <c r="A1609" t="s">
        <v>1813</v>
      </c>
      <c r="B1609">
        <v>108125</v>
      </c>
      <c r="C1609">
        <v>3</v>
      </c>
      <c r="D1609" t="s">
        <v>2239</v>
      </c>
      <c r="E1609" t="s">
        <v>165</v>
      </c>
      <c r="F1609">
        <v>20</v>
      </c>
      <c r="G1609">
        <v>7.91</v>
      </c>
      <c r="H1609">
        <v>26.16</v>
      </c>
      <c r="I1609">
        <v>5.24</v>
      </c>
      <c r="J1609">
        <v>17.329999999999998</v>
      </c>
      <c r="K1609">
        <v>1</v>
      </c>
      <c r="T1609">
        <v>1</v>
      </c>
      <c r="U1609">
        <v>1</v>
      </c>
      <c r="V1609" t="s">
        <v>211</v>
      </c>
      <c r="W1609" t="s">
        <v>652</v>
      </c>
      <c r="X1609">
        <v>8</v>
      </c>
      <c r="Y1609">
        <v>8</v>
      </c>
      <c r="Z1609" t="s">
        <v>2241</v>
      </c>
      <c r="AA1609" t="s">
        <v>2242</v>
      </c>
      <c r="AB1609" t="s">
        <v>96</v>
      </c>
      <c r="AC1609" t="s">
        <v>97</v>
      </c>
      <c r="AD1609" t="s">
        <v>1818</v>
      </c>
      <c r="AG1609" t="s">
        <v>2243</v>
      </c>
      <c r="AH1609">
        <v>0</v>
      </c>
      <c r="AI1609">
        <v>385</v>
      </c>
      <c r="AJ1609">
        <v>66</v>
      </c>
      <c r="AK1609">
        <v>7</v>
      </c>
      <c r="AL1609">
        <v>0.35</v>
      </c>
    </row>
    <row r="1610" spans="1:38" x14ac:dyDescent="0.3">
      <c r="A1610" t="s">
        <v>1813</v>
      </c>
      <c r="B1610">
        <v>108125</v>
      </c>
      <c r="C1610">
        <v>4</v>
      </c>
      <c r="D1610" t="s">
        <v>2239</v>
      </c>
      <c r="E1610" t="s">
        <v>165</v>
      </c>
      <c r="F1610">
        <v>20</v>
      </c>
      <c r="G1610">
        <v>8.41</v>
      </c>
      <c r="H1610">
        <v>27.83</v>
      </c>
      <c r="I1610">
        <v>5.58</v>
      </c>
      <c r="J1610">
        <v>18.45</v>
      </c>
      <c r="K1610">
        <v>4</v>
      </c>
      <c r="T1610">
        <v>1</v>
      </c>
      <c r="U1610">
        <v>1</v>
      </c>
      <c r="V1610" t="s">
        <v>211</v>
      </c>
      <c r="W1610" t="s">
        <v>2244</v>
      </c>
      <c r="X1610">
        <v>8</v>
      </c>
      <c r="Y1610">
        <v>8</v>
      </c>
      <c r="Z1610" t="s">
        <v>2241</v>
      </c>
      <c r="AA1610" t="s">
        <v>2242</v>
      </c>
      <c r="AB1610" t="s">
        <v>96</v>
      </c>
      <c r="AC1610" t="s">
        <v>97</v>
      </c>
      <c r="AD1610" t="s">
        <v>1818</v>
      </c>
      <c r="AG1610" t="s">
        <v>2243</v>
      </c>
      <c r="AH1610">
        <v>0</v>
      </c>
      <c r="AI1610">
        <v>385</v>
      </c>
      <c r="AJ1610">
        <v>66</v>
      </c>
      <c r="AK1610">
        <v>7</v>
      </c>
      <c r="AL1610">
        <v>0.35</v>
      </c>
    </row>
    <row r="1611" spans="1:38" x14ac:dyDescent="0.3">
      <c r="A1611" t="s">
        <v>1813</v>
      </c>
      <c r="B1611">
        <v>108125</v>
      </c>
      <c r="C1611">
        <v>5</v>
      </c>
      <c r="D1611" t="s">
        <v>2239</v>
      </c>
      <c r="E1611" t="s">
        <v>165</v>
      </c>
      <c r="F1611">
        <v>20</v>
      </c>
      <c r="G1611">
        <v>8.18</v>
      </c>
      <c r="H1611">
        <v>27.05</v>
      </c>
      <c r="I1611">
        <v>5.42</v>
      </c>
      <c r="J1611">
        <v>17.920000000000002</v>
      </c>
      <c r="K1611">
        <v>1</v>
      </c>
      <c r="T1611">
        <v>1</v>
      </c>
      <c r="U1611">
        <v>1</v>
      </c>
      <c r="V1611" t="s">
        <v>211</v>
      </c>
      <c r="W1611" t="s">
        <v>2245</v>
      </c>
      <c r="X1611">
        <v>8</v>
      </c>
      <c r="Y1611">
        <v>8</v>
      </c>
      <c r="Z1611" t="s">
        <v>2241</v>
      </c>
      <c r="AA1611" t="s">
        <v>2242</v>
      </c>
      <c r="AB1611" t="s">
        <v>96</v>
      </c>
      <c r="AC1611" t="s">
        <v>97</v>
      </c>
      <c r="AD1611" t="s">
        <v>1818</v>
      </c>
      <c r="AG1611" t="s">
        <v>2243</v>
      </c>
      <c r="AH1611">
        <v>0</v>
      </c>
      <c r="AI1611">
        <v>385</v>
      </c>
      <c r="AJ1611">
        <v>66</v>
      </c>
      <c r="AK1611">
        <v>7</v>
      </c>
      <c r="AL1611">
        <v>0.35</v>
      </c>
    </row>
    <row r="1612" spans="1:38" x14ac:dyDescent="0.3">
      <c r="A1612" t="s">
        <v>1813</v>
      </c>
      <c r="B1612">
        <v>108125</v>
      </c>
      <c r="C1612">
        <v>6</v>
      </c>
      <c r="D1612" t="s">
        <v>2239</v>
      </c>
      <c r="E1612" t="s">
        <v>165</v>
      </c>
      <c r="F1612">
        <v>20</v>
      </c>
      <c r="G1612">
        <v>11.86</v>
      </c>
      <c r="H1612">
        <v>39.229999999999997</v>
      </c>
      <c r="I1612">
        <v>7.86</v>
      </c>
      <c r="J1612">
        <v>26</v>
      </c>
      <c r="K1612">
        <v>1</v>
      </c>
      <c r="T1612">
        <v>1</v>
      </c>
      <c r="U1612">
        <v>1</v>
      </c>
      <c r="V1612" t="s">
        <v>211</v>
      </c>
      <c r="W1612" t="s">
        <v>1329</v>
      </c>
      <c r="X1612">
        <v>8</v>
      </c>
      <c r="Y1612">
        <v>8</v>
      </c>
      <c r="Z1612" t="s">
        <v>2241</v>
      </c>
      <c r="AA1612" t="s">
        <v>2242</v>
      </c>
      <c r="AB1612" t="s">
        <v>96</v>
      </c>
      <c r="AC1612" t="s">
        <v>97</v>
      </c>
      <c r="AD1612" t="s">
        <v>1818</v>
      </c>
      <c r="AG1612" t="s">
        <v>2243</v>
      </c>
      <c r="AH1612">
        <v>0</v>
      </c>
      <c r="AI1612">
        <v>385</v>
      </c>
      <c r="AJ1612">
        <v>66</v>
      </c>
      <c r="AK1612">
        <v>7</v>
      </c>
      <c r="AL1612">
        <v>0.35</v>
      </c>
    </row>
    <row r="1613" spans="1:38" x14ac:dyDescent="0.3">
      <c r="A1613" t="s">
        <v>1813</v>
      </c>
      <c r="B1613">
        <v>108125</v>
      </c>
      <c r="C1613">
        <v>7</v>
      </c>
      <c r="D1613" t="s">
        <v>2239</v>
      </c>
      <c r="E1613" t="s">
        <v>165</v>
      </c>
      <c r="F1613">
        <v>20</v>
      </c>
      <c r="G1613">
        <v>12.1</v>
      </c>
      <c r="H1613">
        <v>40.01</v>
      </c>
      <c r="I1613">
        <v>8.02</v>
      </c>
      <c r="J1613">
        <v>26.52</v>
      </c>
      <c r="K1613">
        <v>6</v>
      </c>
      <c r="T1613">
        <v>1</v>
      </c>
      <c r="U1613">
        <v>1</v>
      </c>
      <c r="V1613" t="s">
        <v>211</v>
      </c>
      <c r="W1613" t="s">
        <v>2246</v>
      </c>
      <c r="X1613">
        <v>8</v>
      </c>
      <c r="Y1613">
        <v>8</v>
      </c>
      <c r="Z1613" t="s">
        <v>2241</v>
      </c>
      <c r="AA1613" t="s">
        <v>2242</v>
      </c>
      <c r="AB1613" t="s">
        <v>96</v>
      </c>
      <c r="AC1613" t="s">
        <v>97</v>
      </c>
      <c r="AD1613" t="s">
        <v>1818</v>
      </c>
      <c r="AG1613" t="s">
        <v>2243</v>
      </c>
      <c r="AH1613">
        <v>0</v>
      </c>
      <c r="AI1613">
        <v>385</v>
      </c>
      <c r="AJ1613">
        <v>66</v>
      </c>
      <c r="AK1613">
        <v>7</v>
      </c>
      <c r="AL1613">
        <v>0.35</v>
      </c>
    </row>
    <row r="1614" spans="1:38" x14ac:dyDescent="0.3">
      <c r="A1614" t="s">
        <v>1813</v>
      </c>
      <c r="B1614">
        <v>108125</v>
      </c>
      <c r="C1614">
        <v>8</v>
      </c>
      <c r="D1614" t="s">
        <v>2239</v>
      </c>
      <c r="E1614" t="s">
        <v>165</v>
      </c>
      <c r="F1614">
        <v>20</v>
      </c>
      <c r="G1614">
        <v>12.75</v>
      </c>
      <c r="H1614">
        <v>42.18</v>
      </c>
      <c r="I1614">
        <v>8.4499999999999993</v>
      </c>
      <c r="J1614">
        <v>27.96</v>
      </c>
      <c r="K1614">
        <v>1</v>
      </c>
      <c r="T1614">
        <v>1</v>
      </c>
      <c r="U1614">
        <v>1</v>
      </c>
      <c r="V1614" t="s">
        <v>211</v>
      </c>
      <c r="W1614">
        <v>42</v>
      </c>
      <c r="X1614">
        <v>8</v>
      </c>
      <c r="Y1614">
        <v>8</v>
      </c>
      <c r="Z1614" t="s">
        <v>2241</v>
      </c>
      <c r="AA1614" t="s">
        <v>2242</v>
      </c>
      <c r="AB1614" t="s">
        <v>96</v>
      </c>
      <c r="AC1614" t="s">
        <v>97</v>
      </c>
      <c r="AD1614" t="s">
        <v>1818</v>
      </c>
      <c r="AG1614" t="s">
        <v>2243</v>
      </c>
      <c r="AH1614">
        <v>0</v>
      </c>
      <c r="AI1614">
        <v>385</v>
      </c>
      <c r="AJ1614">
        <v>66</v>
      </c>
      <c r="AK1614">
        <v>7</v>
      </c>
      <c r="AL1614">
        <v>0.35</v>
      </c>
    </row>
    <row r="1615" spans="1:38" x14ac:dyDescent="0.3">
      <c r="A1615" t="s">
        <v>1813</v>
      </c>
      <c r="B1615">
        <v>13166</v>
      </c>
      <c r="C1615">
        <v>1</v>
      </c>
      <c r="D1615" t="s">
        <v>2247</v>
      </c>
      <c r="E1615" t="s">
        <v>146</v>
      </c>
      <c r="F1615">
        <v>40</v>
      </c>
      <c r="G1615">
        <v>18.34</v>
      </c>
      <c r="H1615">
        <v>60.64</v>
      </c>
      <c r="I1615">
        <v>16.670000000000002</v>
      </c>
      <c r="J1615">
        <v>55.13</v>
      </c>
      <c r="K1615">
        <v>40</v>
      </c>
      <c r="T1615">
        <v>3</v>
      </c>
      <c r="U1615">
        <v>1</v>
      </c>
      <c r="V1615" t="s">
        <v>93</v>
      </c>
      <c r="W1615">
        <v>60</v>
      </c>
      <c r="X1615">
        <v>5</v>
      </c>
      <c r="Y1615">
        <v>5</v>
      </c>
      <c r="Z1615" t="s">
        <v>2248</v>
      </c>
      <c r="AA1615" t="s">
        <v>2249</v>
      </c>
      <c r="AB1615" t="s">
        <v>96</v>
      </c>
      <c r="AC1615" t="s">
        <v>97</v>
      </c>
      <c r="AD1615" t="s">
        <v>1818</v>
      </c>
      <c r="AG1615" t="s">
        <v>2250</v>
      </c>
      <c r="AH1615">
        <v>0</v>
      </c>
      <c r="AI1615">
        <v>220</v>
      </c>
      <c r="AJ1615">
        <v>19</v>
      </c>
      <c r="AK1615">
        <v>0</v>
      </c>
      <c r="AL1615">
        <v>0</v>
      </c>
    </row>
    <row r="1616" spans="1:38" x14ac:dyDescent="0.3">
      <c r="A1616" t="s">
        <v>1813</v>
      </c>
      <c r="B1616">
        <v>128373</v>
      </c>
      <c r="C1616">
        <v>1</v>
      </c>
      <c r="D1616" t="s">
        <v>2251</v>
      </c>
      <c r="E1616" t="s">
        <v>348</v>
      </c>
      <c r="F1616">
        <v>4</v>
      </c>
      <c r="G1616">
        <v>16.77</v>
      </c>
      <c r="H1616">
        <v>55.45</v>
      </c>
      <c r="I1616">
        <v>13.47</v>
      </c>
      <c r="J1616">
        <v>44.54</v>
      </c>
      <c r="K1616">
        <v>2</v>
      </c>
      <c r="T1616">
        <v>2</v>
      </c>
      <c r="U1616">
        <v>1</v>
      </c>
      <c r="V1616" t="s">
        <v>93</v>
      </c>
      <c r="W1616" t="s">
        <v>1986</v>
      </c>
      <c r="X1616">
        <v>2</v>
      </c>
      <c r="Y1616">
        <v>2</v>
      </c>
      <c r="Z1616" t="s">
        <v>2252</v>
      </c>
      <c r="AA1616" t="s">
        <v>2253</v>
      </c>
      <c r="AB1616" t="s">
        <v>96</v>
      </c>
      <c r="AC1616" t="s">
        <v>97</v>
      </c>
      <c r="AD1616" t="s">
        <v>1818</v>
      </c>
      <c r="AG1616" t="s">
        <v>2254</v>
      </c>
      <c r="AH1616">
        <v>0</v>
      </c>
      <c r="AI1616">
        <v>499</v>
      </c>
      <c r="AJ1616">
        <v>59</v>
      </c>
      <c r="AK1616">
        <v>3</v>
      </c>
      <c r="AL1616">
        <v>0.75</v>
      </c>
    </row>
    <row r="1617" spans="1:38" x14ac:dyDescent="0.3">
      <c r="A1617" t="s">
        <v>1813</v>
      </c>
      <c r="B1617">
        <v>128373</v>
      </c>
      <c r="C1617">
        <v>2</v>
      </c>
      <c r="D1617" t="s">
        <v>2251</v>
      </c>
      <c r="E1617" t="s">
        <v>348</v>
      </c>
      <c r="F1617">
        <v>4</v>
      </c>
      <c r="G1617">
        <v>16.78</v>
      </c>
      <c r="H1617">
        <v>55.48</v>
      </c>
      <c r="I1617">
        <v>13.51</v>
      </c>
      <c r="J1617">
        <v>44.68</v>
      </c>
      <c r="K1617">
        <v>1</v>
      </c>
      <c r="T1617">
        <v>2</v>
      </c>
      <c r="U1617">
        <v>1</v>
      </c>
      <c r="V1617" t="s">
        <v>93</v>
      </c>
      <c r="W1617" t="s">
        <v>177</v>
      </c>
      <c r="X1617">
        <v>2</v>
      </c>
      <c r="Y1617">
        <v>2</v>
      </c>
      <c r="Z1617" t="s">
        <v>2252</v>
      </c>
      <c r="AA1617" t="s">
        <v>2253</v>
      </c>
      <c r="AB1617" t="s">
        <v>96</v>
      </c>
      <c r="AC1617" t="s">
        <v>97</v>
      </c>
      <c r="AD1617" t="s">
        <v>1818</v>
      </c>
      <c r="AG1617" t="s">
        <v>2254</v>
      </c>
      <c r="AH1617">
        <v>0</v>
      </c>
      <c r="AI1617">
        <v>499</v>
      </c>
      <c r="AJ1617">
        <v>59</v>
      </c>
      <c r="AK1617">
        <v>3</v>
      </c>
      <c r="AL1617">
        <v>0.75</v>
      </c>
    </row>
    <row r="1618" spans="1:38" x14ac:dyDescent="0.3">
      <c r="A1618" t="s">
        <v>1813</v>
      </c>
      <c r="B1618">
        <v>128373</v>
      </c>
      <c r="C1618">
        <v>3</v>
      </c>
      <c r="D1618" t="s">
        <v>2251</v>
      </c>
      <c r="E1618" t="s">
        <v>348</v>
      </c>
      <c r="F1618">
        <v>4</v>
      </c>
      <c r="G1618">
        <v>17.93</v>
      </c>
      <c r="H1618">
        <v>59.29</v>
      </c>
      <c r="I1618">
        <v>14.41</v>
      </c>
      <c r="J1618">
        <v>47.66</v>
      </c>
      <c r="K1618">
        <v>1</v>
      </c>
      <c r="T1618">
        <v>2</v>
      </c>
      <c r="U1618">
        <v>1</v>
      </c>
      <c r="V1618" t="s">
        <v>93</v>
      </c>
      <c r="W1618">
        <v>59</v>
      </c>
      <c r="X1618">
        <v>2</v>
      </c>
      <c r="Y1618">
        <v>2</v>
      </c>
      <c r="Z1618" t="s">
        <v>2252</v>
      </c>
      <c r="AA1618" t="s">
        <v>2253</v>
      </c>
      <c r="AB1618" t="s">
        <v>96</v>
      </c>
      <c r="AC1618" t="s">
        <v>97</v>
      </c>
      <c r="AD1618" t="s">
        <v>1818</v>
      </c>
      <c r="AG1618" t="s">
        <v>2254</v>
      </c>
      <c r="AH1618">
        <v>0</v>
      </c>
      <c r="AI1618">
        <v>499</v>
      </c>
      <c r="AJ1618">
        <v>59</v>
      </c>
      <c r="AK1618">
        <v>3</v>
      </c>
      <c r="AL1618">
        <v>0.75</v>
      </c>
    </row>
    <row r="1619" spans="1:38" x14ac:dyDescent="0.3">
      <c r="A1619" t="s">
        <v>1813</v>
      </c>
      <c r="B1619">
        <v>14090</v>
      </c>
      <c r="C1619">
        <v>1</v>
      </c>
      <c r="D1619" t="s">
        <v>2255</v>
      </c>
      <c r="E1619" t="s">
        <v>1070</v>
      </c>
      <c r="F1619">
        <v>64</v>
      </c>
      <c r="G1619">
        <v>22.34</v>
      </c>
      <c r="H1619">
        <v>73.86</v>
      </c>
      <c r="I1619">
        <v>19.05</v>
      </c>
      <c r="J1619">
        <v>63</v>
      </c>
      <c r="K1619">
        <v>5</v>
      </c>
      <c r="T1619">
        <v>3</v>
      </c>
      <c r="U1619">
        <v>1</v>
      </c>
      <c r="V1619" t="s">
        <v>211</v>
      </c>
      <c r="W1619">
        <v>73</v>
      </c>
      <c r="X1619">
        <v>5</v>
      </c>
      <c r="Y1619">
        <v>5</v>
      </c>
      <c r="Z1619" t="s">
        <v>2256</v>
      </c>
      <c r="AA1619" t="s">
        <v>2257</v>
      </c>
      <c r="AB1619" t="s">
        <v>96</v>
      </c>
      <c r="AC1619" t="s">
        <v>97</v>
      </c>
      <c r="AD1619" t="s">
        <v>1818</v>
      </c>
      <c r="AG1619" t="s">
        <v>2258</v>
      </c>
      <c r="AH1619">
        <v>0</v>
      </c>
      <c r="AI1619">
        <v>0</v>
      </c>
      <c r="AJ1619">
        <v>0</v>
      </c>
      <c r="AK1619">
        <v>0</v>
      </c>
      <c r="AL1619">
        <v>0</v>
      </c>
    </row>
    <row r="1620" spans="1:38" x14ac:dyDescent="0.3">
      <c r="A1620" t="s">
        <v>1813</v>
      </c>
      <c r="B1620">
        <v>14090</v>
      </c>
      <c r="C1620">
        <v>2</v>
      </c>
      <c r="D1620" t="s">
        <v>2255</v>
      </c>
      <c r="E1620" t="s">
        <v>1070</v>
      </c>
      <c r="F1620">
        <v>64</v>
      </c>
      <c r="G1620">
        <v>22.7</v>
      </c>
      <c r="H1620">
        <v>75.06</v>
      </c>
      <c r="I1620">
        <v>19.420000000000002</v>
      </c>
      <c r="J1620">
        <v>64.2</v>
      </c>
      <c r="K1620">
        <v>33</v>
      </c>
      <c r="T1620">
        <v>3</v>
      </c>
      <c r="U1620">
        <v>1</v>
      </c>
      <c r="V1620" t="s">
        <v>93</v>
      </c>
      <c r="W1620" t="s">
        <v>882</v>
      </c>
      <c r="X1620">
        <v>5</v>
      </c>
      <c r="Y1620">
        <v>5</v>
      </c>
      <c r="Z1620" t="s">
        <v>2256</v>
      </c>
      <c r="AA1620" t="s">
        <v>2257</v>
      </c>
      <c r="AB1620" t="s">
        <v>96</v>
      </c>
      <c r="AC1620" t="s">
        <v>97</v>
      </c>
      <c r="AD1620" t="s">
        <v>1818</v>
      </c>
      <c r="AG1620" t="s">
        <v>2258</v>
      </c>
      <c r="AH1620">
        <v>0</v>
      </c>
      <c r="AI1620">
        <v>0</v>
      </c>
      <c r="AJ1620">
        <v>0</v>
      </c>
      <c r="AK1620">
        <v>0</v>
      </c>
      <c r="AL1620">
        <v>0</v>
      </c>
    </row>
    <row r="1621" spans="1:38" x14ac:dyDescent="0.3">
      <c r="A1621" t="s">
        <v>1813</v>
      </c>
      <c r="B1621">
        <v>14090</v>
      </c>
      <c r="C1621">
        <v>3</v>
      </c>
      <c r="D1621" t="s">
        <v>2255</v>
      </c>
      <c r="E1621" t="s">
        <v>1070</v>
      </c>
      <c r="F1621">
        <v>64</v>
      </c>
      <c r="G1621">
        <v>22.81</v>
      </c>
      <c r="H1621">
        <v>75.42</v>
      </c>
      <c r="I1621">
        <v>19.52</v>
      </c>
      <c r="J1621">
        <v>64.56</v>
      </c>
      <c r="K1621">
        <v>5</v>
      </c>
      <c r="T1621">
        <v>3</v>
      </c>
      <c r="U1621">
        <v>1</v>
      </c>
      <c r="V1621" t="s">
        <v>93</v>
      </c>
      <c r="W1621" t="s">
        <v>407</v>
      </c>
      <c r="X1621">
        <v>5</v>
      </c>
      <c r="Y1621">
        <v>5</v>
      </c>
      <c r="Z1621" t="s">
        <v>2256</v>
      </c>
      <c r="AA1621" t="s">
        <v>2257</v>
      </c>
      <c r="AB1621" t="s">
        <v>96</v>
      </c>
      <c r="AC1621" t="s">
        <v>97</v>
      </c>
      <c r="AD1621" t="s">
        <v>1818</v>
      </c>
      <c r="AG1621" t="s">
        <v>2258</v>
      </c>
      <c r="AH1621">
        <v>0</v>
      </c>
      <c r="AI1621">
        <v>0</v>
      </c>
      <c r="AJ1621">
        <v>0</v>
      </c>
      <c r="AK1621">
        <v>0</v>
      </c>
      <c r="AL1621">
        <v>0</v>
      </c>
    </row>
    <row r="1622" spans="1:38" x14ac:dyDescent="0.3">
      <c r="A1622" t="s">
        <v>1813</v>
      </c>
      <c r="B1622">
        <v>14090</v>
      </c>
      <c r="C1622">
        <v>4</v>
      </c>
      <c r="D1622" t="s">
        <v>2255</v>
      </c>
      <c r="E1622" t="s">
        <v>1070</v>
      </c>
      <c r="F1622">
        <v>64</v>
      </c>
      <c r="G1622">
        <v>23.25</v>
      </c>
      <c r="H1622">
        <v>76.86</v>
      </c>
      <c r="I1622">
        <v>19.96</v>
      </c>
      <c r="J1622">
        <v>66</v>
      </c>
      <c r="K1622">
        <v>15</v>
      </c>
      <c r="T1622">
        <v>3</v>
      </c>
      <c r="U1622">
        <v>1</v>
      </c>
      <c r="V1622" t="s">
        <v>93</v>
      </c>
      <c r="W1622" t="s">
        <v>711</v>
      </c>
      <c r="X1622">
        <v>5</v>
      </c>
      <c r="Y1622">
        <v>5</v>
      </c>
      <c r="Z1622" t="s">
        <v>2256</v>
      </c>
      <c r="AA1622" t="s">
        <v>2257</v>
      </c>
      <c r="AB1622" t="s">
        <v>96</v>
      </c>
      <c r="AC1622" t="s">
        <v>97</v>
      </c>
      <c r="AD1622" t="s">
        <v>1818</v>
      </c>
      <c r="AG1622" t="s">
        <v>2258</v>
      </c>
      <c r="AH1622">
        <v>0</v>
      </c>
      <c r="AI1622">
        <v>0</v>
      </c>
      <c r="AJ1622">
        <v>0</v>
      </c>
      <c r="AK1622">
        <v>0</v>
      </c>
      <c r="AL1622">
        <v>0</v>
      </c>
    </row>
    <row r="1623" spans="1:38" x14ac:dyDescent="0.3">
      <c r="A1623" t="s">
        <v>1813</v>
      </c>
      <c r="B1623">
        <v>14090</v>
      </c>
      <c r="C1623">
        <v>5</v>
      </c>
      <c r="D1623" t="s">
        <v>2255</v>
      </c>
      <c r="E1623" t="s">
        <v>1070</v>
      </c>
      <c r="F1623">
        <v>64</v>
      </c>
      <c r="G1623">
        <v>24.33</v>
      </c>
      <c r="H1623">
        <v>80.459999999999994</v>
      </c>
      <c r="I1623">
        <v>21.05</v>
      </c>
      <c r="J1623">
        <v>69.599999999999994</v>
      </c>
      <c r="K1623">
        <v>1</v>
      </c>
      <c r="T1623">
        <v>3</v>
      </c>
      <c r="U1623">
        <v>1</v>
      </c>
      <c r="V1623" t="s">
        <v>211</v>
      </c>
      <c r="W1623">
        <v>80</v>
      </c>
      <c r="X1623">
        <v>5</v>
      </c>
      <c r="Y1623">
        <v>5</v>
      </c>
      <c r="Z1623" t="s">
        <v>2256</v>
      </c>
      <c r="AA1623" t="s">
        <v>2257</v>
      </c>
      <c r="AB1623" t="s">
        <v>96</v>
      </c>
      <c r="AC1623" t="s">
        <v>97</v>
      </c>
      <c r="AD1623" t="s">
        <v>1818</v>
      </c>
      <c r="AG1623" t="s">
        <v>2258</v>
      </c>
      <c r="AH1623">
        <v>0</v>
      </c>
      <c r="AI1623">
        <v>0</v>
      </c>
      <c r="AJ1623">
        <v>0</v>
      </c>
      <c r="AK1623">
        <v>0</v>
      </c>
      <c r="AL1623">
        <v>0</v>
      </c>
    </row>
    <row r="1624" spans="1:38" x14ac:dyDescent="0.3">
      <c r="A1624" t="s">
        <v>1813</v>
      </c>
      <c r="B1624">
        <v>14090</v>
      </c>
      <c r="C1624">
        <v>6</v>
      </c>
      <c r="D1624" t="s">
        <v>2255</v>
      </c>
      <c r="E1624" t="s">
        <v>1070</v>
      </c>
      <c r="F1624">
        <v>64</v>
      </c>
      <c r="G1624">
        <v>25.2</v>
      </c>
      <c r="H1624">
        <v>83.31</v>
      </c>
      <c r="I1624">
        <v>21.91</v>
      </c>
      <c r="J1624">
        <v>72.45</v>
      </c>
      <c r="K1624">
        <v>5</v>
      </c>
      <c r="T1624">
        <v>3</v>
      </c>
      <c r="U1624">
        <v>2</v>
      </c>
      <c r="V1624" t="s">
        <v>93</v>
      </c>
      <c r="W1624">
        <v>83</v>
      </c>
      <c r="X1624">
        <v>5</v>
      </c>
      <c r="Y1624">
        <v>5</v>
      </c>
      <c r="Z1624" t="s">
        <v>2256</v>
      </c>
      <c r="AA1624" t="s">
        <v>2257</v>
      </c>
      <c r="AB1624" t="s">
        <v>96</v>
      </c>
      <c r="AC1624" t="s">
        <v>97</v>
      </c>
      <c r="AD1624" t="s">
        <v>1818</v>
      </c>
      <c r="AG1624" t="s">
        <v>2258</v>
      </c>
      <c r="AH1624">
        <v>0</v>
      </c>
      <c r="AI1624">
        <v>0</v>
      </c>
      <c r="AJ1624">
        <v>0</v>
      </c>
      <c r="AK1624">
        <v>0</v>
      </c>
      <c r="AL1624">
        <v>0</v>
      </c>
    </row>
    <row r="1625" spans="1:38" x14ac:dyDescent="0.3">
      <c r="A1625" t="s">
        <v>1813</v>
      </c>
      <c r="B1625">
        <v>104381</v>
      </c>
      <c r="C1625">
        <v>1</v>
      </c>
      <c r="D1625" t="s">
        <v>2259</v>
      </c>
      <c r="E1625" t="s">
        <v>1315</v>
      </c>
      <c r="F1625">
        <v>149</v>
      </c>
      <c r="G1625">
        <v>6.88</v>
      </c>
      <c r="H1625">
        <v>22.76</v>
      </c>
      <c r="I1625">
        <v>3.84</v>
      </c>
      <c r="J1625">
        <v>12.71</v>
      </c>
      <c r="K1625">
        <v>24</v>
      </c>
      <c r="T1625">
        <v>1</v>
      </c>
      <c r="U1625">
        <v>1</v>
      </c>
      <c r="V1625" t="s">
        <v>132</v>
      </c>
      <c r="W1625" t="s">
        <v>2260</v>
      </c>
      <c r="X1625">
        <v>15</v>
      </c>
      <c r="Y1625">
        <v>14</v>
      </c>
      <c r="Z1625" t="s">
        <v>2261</v>
      </c>
      <c r="AA1625" t="s">
        <v>2262</v>
      </c>
      <c r="AB1625" t="s">
        <v>96</v>
      </c>
      <c r="AC1625" t="s">
        <v>97</v>
      </c>
      <c r="AD1625" t="s">
        <v>1818</v>
      </c>
      <c r="AG1625" t="s">
        <v>2263</v>
      </c>
      <c r="AH1625">
        <v>0</v>
      </c>
      <c r="AI1625">
        <v>530</v>
      </c>
      <c r="AJ1625">
        <v>51</v>
      </c>
      <c r="AK1625">
        <v>92</v>
      </c>
      <c r="AL1625">
        <v>0.62</v>
      </c>
    </row>
    <row r="1626" spans="1:38" x14ac:dyDescent="0.3">
      <c r="A1626" t="s">
        <v>1813</v>
      </c>
      <c r="B1626">
        <v>104381</v>
      </c>
      <c r="C1626">
        <v>2</v>
      </c>
      <c r="D1626" t="s">
        <v>2259</v>
      </c>
      <c r="E1626" t="s">
        <v>1315</v>
      </c>
      <c r="F1626">
        <v>149</v>
      </c>
      <c r="G1626">
        <v>7.25</v>
      </c>
      <c r="H1626">
        <v>23.97</v>
      </c>
      <c r="I1626">
        <v>4.05</v>
      </c>
      <c r="J1626">
        <v>13.41</v>
      </c>
      <c r="K1626">
        <v>77</v>
      </c>
      <c r="T1626">
        <v>1</v>
      </c>
      <c r="U1626">
        <v>1</v>
      </c>
      <c r="V1626" t="s">
        <v>132</v>
      </c>
      <c r="W1626" t="s">
        <v>2264</v>
      </c>
      <c r="X1626">
        <v>15</v>
      </c>
      <c r="Y1626">
        <v>14</v>
      </c>
      <c r="Z1626" t="s">
        <v>2261</v>
      </c>
      <c r="AA1626" t="s">
        <v>2262</v>
      </c>
      <c r="AB1626" t="s">
        <v>96</v>
      </c>
      <c r="AC1626" t="s">
        <v>97</v>
      </c>
      <c r="AD1626" t="s">
        <v>1818</v>
      </c>
      <c r="AG1626" t="s">
        <v>2263</v>
      </c>
      <c r="AH1626">
        <v>0</v>
      </c>
      <c r="AI1626">
        <v>530</v>
      </c>
      <c r="AJ1626">
        <v>51</v>
      </c>
      <c r="AK1626">
        <v>92</v>
      </c>
      <c r="AL1626">
        <v>0.62</v>
      </c>
    </row>
    <row r="1627" spans="1:38" x14ac:dyDescent="0.3">
      <c r="A1627" t="s">
        <v>1813</v>
      </c>
      <c r="B1627">
        <v>104381</v>
      </c>
      <c r="C1627">
        <v>3</v>
      </c>
      <c r="D1627" t="s">
        <v>2259</v>
      </c>
      <c r="E1627" t="s">
        <v>1315</v>
      </c>
      <c r="F1627">
        <v>149</v>
      </c>
      <c r="G1627">
        <v>7.17</v>
      </c>
      <c r="H1627">
        <v>23.72</v>
      </c>
      <c r="I1627">
        <v>4.01</v>
      </c>
      <c r="J1627">
        <v>13.26</v>
      </c>
      <c r="K1627">
        <v>48</v>
      </c>
      <c r="T1627">
        <v>1</v>
      </c>
      <c r="U1627">
        <v>1</v>
      </c>
      <c r="V1627" t="s">
        <v>132</v>
      </c>
      <c r="W1627" t="s">
        <v>2265</v>
      </c>
      <c r="X1627">
        <v>15</v>
      </c>
      <c r="Y1627">
        <v>14</v>
      </c>
      <c r="Z1627" t="s">
        <v>2261</v>
      </c>
      <c r="AA1627" t="s">
        <v>2262</v>
      </c>
      <c r="AB1627" t="s">
        <v>96</v>
      </c>
      <c r="AC1627" t="s">
        <v>97</v>
      </c>
      <c r="AD1627" t="s">
        <v>1818</v>
      </c>
      <c r="AG1627" t="s">
        <v>2263</v>
      </c>
      <c r="AH1627">
        <v>0</v>
      </c>
      <c r="AI1627">
        <v>530</v>
      </c>
      <c r="AJ1627">
        <v>51</v>
      </c>
      <c r="AK1627">
        <v>92</v>
      </c>
      <c r="AL1627">
        <v>0.62</v>
      </c>
    </row>
    <row r="1628" spans="1:38" x14ac:dyDescent="0.3">
      <c r="A1628" t="s">
        <v>1813</v>
      </c>
      <c r="B1628">
        <v>14799</v>
      </c>
      <c r="C1628">
        <v>1</v>
      </c>
      <c r="D1628" t="s">
        <v>2266</v>
      </c>
      <c r="E1628" t="s">
        <v>519</v>
      </c>
      <c r="F1628">
        <v>125</v>
      </c>
      <c r="G1628">
        <v>14.19</v>
      </c>
      <c r="H1628">
        <v>46.92</v>
      </c>
      <c r="I1628">
        <v>12.36</v>
      </c>
      <c r="J1628">
        <v>40.89</v>
      </c>
      <c r="K1628">
        <v>70</v>
      </c>
      <c r="T1628">
        <v>2</v>
      </c>
      <c r="U1628">
        <v>1</v>
      </c>
      <c r="V1628" t="s">
        <v>93</v>
      </c>
      <c r="W1628">
        <v>46</v>
      </c>
      <c r="X1628">
        <v>5</v>
      </c>
      <c r="Y1628">
        <v>5</v>
      </c>
      <c r="Z1628" t="s">
        <v>2267</v>
      </c>
      <c r="AA1628" t="s">
        <v>2268</v>
      </c>
      <c r="AB1628" t="s">
        <v>96</v>
      </c>
      <c r="AC1628" t="s">
        <v>97</v>
      </c>
      <c r="AD1628" t="s">
        <v>1818</v>
      </c>
      <c r="AG1628" t="s">
        <v>2269</v>
      </c>
      <c r="AH1628">
        <v>0</v>
      </c>
      <c r="AI1628">
        <v>122</v>
      </c>
      <c r="AJ1628">
        <v>24</v>
      </c>
      <c r="AK1628">
        <v>0</v>
      </c>
      <c r="AL1628">
        <v>0</v>
      </c>
    </row>
    <row r="1629" spans="1:38" x14ac:dyDescent="0.3">
      <c r="A1629" t="s">
        <v>1813</v>
      </c>
      <c r="B1629">
        <v>14799</v>
      </c>
      <c r="C1629">
        <v>2</v>
      </c>
      <c r="D1629" t="s">
        <v>2266</v>
      </c>
      <c r="E1629" t="s">
        <v>519</v>
      </c>
      <c r="F1629">
        <v>125</v>
      </c>
      <c r="G1629">
        <v>18.45</v>
      </c>
      <c r="H1629">
        <v>61.02</v>
      </c>
      <c r="I1629">
        <v>16.600000000000001</v>
      </c>
      <c r="J1629">
        <v>54.88</v>
      </c>
      <c r="K1629">
        <v>55</v>
      </c>
      <c r="T1629">
        <v>3</v>
      </c>
      <c r="U1629">
        <v>1</v>
      </c>
      <c r="V1629" t="s">
        <v>93</v>
      </c>
      <c r="W1629">
        <v>61</v>
      </c>
      <c r="X1629">
        <v>5</v>
      </c>
      <c r="Y1629">
        <v>5</v>
      </c>
      <c r="Z1629" t="s">
        <v>2267</v>
      </c>
      <c r="AA1629" t="s">
        <v>2268</v>
      </c>
      <c r="AB1629" t="s">
        <v>96</v>
      </c>
      <c r="AC1629" t="s">
        <v>97</v>
      </c>
      <c r="AD1629" t="s">
        <v>1818</v>
      </c>
      <c r="AG1629" t="s">
        <v>2269</v>
      </c>
      <c r="AH1629">
        <v>0</v>
      </c>
      <c r="AI1629">
        <v>122</v>
      </c>
      <c r="AJ1629">
        <v>24</v>
      </c>
      <c r="AK1629">
        <v>0</v>
      </c>
      <c r="AL1629">
        <v>0</v>
      </c>
    </row>
    <row r="1630" spans="1:38" x14ac:dyDescent="0.3">
      <c r="A1630" t="s">
        <v>1813</v>
      </c>
      <c r="B1630">
        <v>117862</v>
      </c>
      <c r="C1630">
        <v>1</v>
      </c>
      <c r="D1630" t="s">
        <v>2270</v>
      </c>
      <c r="E1630" t="s">
        <v>391</v>
      </c>
      <c r="F1630">
        <v>16</v>
      </c>
      <c r="G1630">
        <v>22.33</v>
      </c>
      <c r="H1630">
        <v>73.849999999999994</v>
      </c>
      <c r="I1630">
        <v>18.059999999999999</v>
      </c>
      <c r="J1630">
        <v>59.73</v>
      </c>
      <c r="K1630">
        <v>8</v>
      </c>
      <c r="T1630">
        <v>3</v>
      </c>
      <c r="U1630">
        <v>1</v>
      </c>
      <c r="V1630" t="s">
        <v>93</v>
      </c>
      <c r="W1630" t="s">
        <v>1243</v>
      </c>
      <c r="X1630">
        <v>14</v>
      </c>
      <c r="Y1630">
        <v>14</v>
      </c>
      <c r="Z1630" t="s">
        <v>2271</v>
      </c>
      <c r="AA1630" t="s">
        <v>2272</v>
      </c>
      <c r="AB1630" t="s">
        <v>96</v>
      </c>
      <c r="AC1630" t="s">
        <v>97</v>
      </c>
      <c r="AD1630" t="s">
        <v>1818</v>
      </c>
      <c r="AG1630" t="s">
        <v>2273</v>
      </c>
      <c r="AH1630">
        <v>0</v>
      </c>
      <c r="AI1630">
        <v>792</v>
      </c>
      <c r="AJ1630">
        <v>69</v>
      </c>
      <c r="AK1630">
        <v>14</v>
      </c>
      <c r="AL1630">
        <v>0.88</v>
      </c>
    </row>
    <row r="1631" spans="1:38" x14ac:dyDescent="0.3">
      <c r="A1631" t="s">
        <v>1813</v>
      </c>
      <c r="B1631">
        <v>117862</v>
      </c>
      <c r="C1631">
        <v>2</v>
      </c>
      <c r="D1631" t="s">
        <v>2270</v>
      </c>
      <c r="E1631" t="s">
        <v>391</v>
      </c>
      <c r="F1631">
        <v>16</v>
      </c>
      <c r="G1631">
        <v>22.39</v>
      </c>
      <c r="H1631">
        <v>74.02</v>
      </c>
      <c r="I1631">
        <v>18.12</v>
      </c>
      <c r="J1631">
        <v>59.91</v>
      </c>
      <c r="K1631">
        <v>8</v>
      </c>
      <c r="T1631">
        <v>3</v>
      </c>
      <c r="U1631">
        <v>1</v>
      </c>
      <c r="V1631" t="s">
        <v>93</v>
      </c>
      <c r="W1631" t="s">
        <v>876</v>
      </c>
      <c r="X1631">
        <v>14</v>
      </c>
      <c r="Y1631">
        <v>14</v>
      </c>
      <c r="Z1631" t="s">
        <v>2271</v>
      </c>
      <c r="AA1631" t="s">
        <v>2272</v>
      </c>
      <c r="AB1631" t="s">
        <v>96</v>
      </c>
      <c r="AC1631" t="s">
        <v>97</v>
      </c>
      <c r="AD1631" t="s">
        <v>1818</v>
      </c>
      <c r="AG1631" t="s">
        <v>2273</v>
      </c>
      <c r="AH1631">
        <v>0</v>
      </c>
      <c r="AI1631">
        <v>792</v>
      </c>
      <c r="AJ1631">
        <v>69</v>
      </c>
      <c r="AK1631">
        <v>14</v>
      </c>
      <c r="AL1631">
        <v>0.88</v>
      </c>
    </row>
    <row r="1632" spans="1:38" x14ac:dyDescent="0.3">
      <c r="A1632" t="s">
        <v>1813</v>
      </c>
      <c r="B1632">
        <v>25525</v>
      </c>
      <c r="C1632">
        <v>1</v>
      </c>
      <c r="D1632" t="s">
        <v>199</v>
      </c>
      <c r="E1632" t="s">
        <v>269</v>
      </c>
      <c r="F1632">
        <v>19</v>
      </c>
      <c r="G1632">
        <v>20.059999999999999</v>
      </c>
      <c r="H1632">
        <v>66.33</v>
      </c>
      <c r="I1632">
        <v>18.13</v>
      </c>
      <c r="J1632">
        <v>59.94</v>
      </c>
      <c r="K1632">
        <v>10</v>
      </c>
      <c r="T1632">
        <v>3</v>
      </c>
      <c r="U1632">
        <v>2</v>
      </c>
      <c r="V1632" t="s">
        <v>93</v>
      </c>
      <c r="W1632" t="s">
        <v>813</v>
      </c>
      <c r="X1632">
        <v>6</v>
      </c>
      <c r="Y1632">
        <v>6</v>
      </c>
      <c r="Z1632" t="s">
        <v>2274</v>
      </c>
      <c r="AA1632" t="s">
        <v>2275</v>
      </c>
      <c r="AB1632" t="s">
        <v>96</v>
      </c>
      <c r="AC1632" t="s">
        <v>97</v>
      </c>
      <c r="AD1632" t="s">
        <v>1818</v>
      </c>
      <c r="AG1632" t="s">
        <v>2276</v>
      </c>
      <c r="AH1632">
        <v>0</v>
      </c>
      <c r="AI1632">
        <v>0</v>
      </c>
      <c r="AJ1632">
        <v>0</v>
      </c>
      <c r="AK1632">
        <v>13</v>
      </c>
      <c r="AL1632">
        <v>0.68</v>
      </c>
    </row>
    <row r="1633" spans="1:38" x14ac:dyDescent="0.3">
      <c r="A1633" t="s">
        <v>1813</v>
      </c>
      <c r="B1633">
        <v>25525</v>
      </c>
      <c r="C1633">
        <v>2</v>
      </c>
      <c r="D1633" t="s">
        <v>199</v>
      </c>
      <c r="E1633" t="s">
        <v>269</v>
      </c>
      <c r="F1633">
        <v>19</v>
      </c>
      <c r="G1633">
        <v>20.22</v>
      </c>
      <c r="H1633">
        <v>66.87</v>
      </c>
      <c r="I1633">
        <v>18.059999999999999</v>
      </c>
      <c r="J1633">
        <v>59.72</v>
      </c>
      <c r="K1633">
        <v>4</v>
      </c>
      <c r="T1633">
        <v>3</v>
      </c>
      <c r="U1633">
        <v>1</v>
      </c>
      <c r="V1633" t="s">
        <v>93</v>
      </c>
      <c r="W1633" t="s">
        <v>257</v>
      </c>
      <c r="X1633">
        <v>6</v>
      </c>
      <c r="Y1633">
        <v>6</v>
      </c>
      <c r="Z1633" t="s">
        <v>2274</v>
      </c>
      <c r="AA1633" t="s">
        <v>2275</v>
      </c>
      <c r="AB1633" t="s">
        <v>96</v>
      </c>
      <c r="AC1633" t="s">
        <v>97</v>
      </c>
      <c r="AD1633" t="s">
        <v>1818</v>
      </c>
      <c r="AG1633" t="s">
        <v>2276</v>
      </c>
      <c r="AH1633">
        <v>0</v>
      </c>
      <c r="AI1633">
        <v>0</v>
      </c>
      <c r="AJ1633">
        <v>0</v>
      </c>
      <c r="AK1633">
        <v>13</v>
      </c>
      <c r="AL1633">
        <v>0.68</v>
      </c>
    </row>
    <row r="1634" spans="1:38" x14ac:dyDescent="0.3">
      <c r="A1634" t="s">
        <v>1813</v>
      </c>
      <c r="B1634">
        <v>25525</v>
      </c>
      <c r="C1634">
        <v>3</v>
      </c>
      <c r="D1634" t="s">
        <v>199</v>
      </c>
      <c r="E1634" t="s">
        <v>269</v>
      </c>
      <c r="F1634">
        <v>19</v>
      </c>
      <c r="G1634">
        <v>20.309999999999999</v>
      </c>
      <c r="H1634">
        <v>67.150000000000006</v>
      </c>
      <c r="I1634">
        <v>18.14</v>
      </c>
      <c r="J1634">
        <v>59.97</v>
      </c>
      <c r="K1634">
        <v>4</v>
      </c>
      <c r="T1634">
        <v>3</v>
      </c>
      <c r="U1634">
        <v>1</v>
      </c>
      <c r="V1634" t="s">
        <v>93</v>
      </c>
      <c r="W1634" t="s">
        <v>859</v>
      </c>
      <c r="X1634">
        <v>6</v>
      </c>
      <c r="Y1634">
        <v>6</v>
      </c>
      <c r="Z1634" t="s">
        <v>2274</v>
      </c>
      <c r="AA1634" t="s">
        <v>2275</v>
      </c>
      <c r="AB1634" t="s">
        <v>96</v>
      </c>
      <c r="AC1634" t="s">
        <v>97</v>
      </c>
      <c r="AD1634" t="s">
        <v>1818</v>
      </c>
      <c r="AG1634" t="s">
        <v>2276</v>
      </c>
      <c r="AH1634">
        <v>0</v>
      </c>
      <c r="AI1634">
        <v>0</v>
      </c>
      <c r="AJ1634">
        <v>0</v>
      </c>
      <c r="AK1634">
        <v>13</v>
      </c>
      <c r="AL1634">
        <v>0.68</v>
      </c>
    </row>
    <row r="1635" spans="1:38" x14ac:dyDescent="0.3">
      <c r="A1635" t="s">
        <v>1813</v>
      </c>
      <c r="B1635">
        <v>25525</v>
      </c>
      <c r="C1635">
        <v>4</v>
      </c>
      <c r="D1635" t="s">
        <v>199</v>
      </c>
      <c r="E1635" t="s">
        <v>269</v>
      </c>
      <c r="F1635">
        <v>19</v>
      </c>
      <c r="G1635">
        <v>20.260000000000002</v>
      </c>
      <c r="H1635">
        <v>67</v>
      </c>
      <c r="I1635">
        <v>18.100000000000001</v>
      </c>
      <c r="J1635">
        <v>59.84</v>
      </c>
      <c r="K1635">
        <v>1</v>
      </c>
      <c r="T1635">
        <v>3</v>
      </c>
      <c r="U1635">
        <v>1</v>
      </c>
      <c r="V1635" t="s">
        <v>93</v>
      </c>
      <c r="W1635" t="s">
        <v>858</v>
      </c>
      <c r="X1635">
        <v>6</v>
      </c>
      <c r="Y1635">
        <v>6</v>
      </c>
      <c r="Z1635" t="s">
        <v>2274</v>
      </c>
      <c r="AA1635" t="s">
        <v>2275</v>
      </c>
      <c r="AB1635" t="s">
        <v>96</v>
      </c>
      <c r="AC1635" t="s">
        <v>97</v>
      </c>
      <c r="AD1635" t="s">
        <v>1818</v>
      </c>
      <c r="AG1635" t="s">
        <v>2276</v>
      </c>
      <c r="AH1635">
        <v>0</v>
      </c>
      <c r="AI1635">
        <v>0</v>
      </c>
      <c r="AJ1635">
        <v>0</v>
      </c>
      <c r="AK1635">
        <v>13</v>
      </c>
      <c r="AL1635">
        <v>0.68</v>
      </c>
    </row>
    <row r="1636" spans="1:38" x14ac:dyDescent="0.3">
      <c r="A1636" t="s">
        <v>1813</v>
      </c>
      <c r="B1636">
        <v>23616</v>
      </c>
      <c r="C1636">
        <v>1</v>
      </c>
      <c r="D1636" t="s">
        <v>2277</v>
      </c>
      <c r="E1636" t="s">
        <v>2278</v>
      </c>
      <c r="F1636">
        <v>78</v>
      </c>
      <c r="G1636">
        <v>30.75</v>
      </c>
      <c r="H1636">
        <v>101.68</v>
      </c>
      <c r="I1636">
        <v>24.88</v>
      </c>
      <c r="J1636">
        <v>82.27</v>
      </c>
      <c r="K1636">
        <v>78</v>
      </c>
      <c r="T1636">
        <v>3</v>
      </c>
      <c r="U1636">
        <v>2</v>
      </c>
      <c r="V1636" t="s">
        <v>93</v>
      </c>
      <c r="W1636">
        <v>101</v>
      </c>
      <c r="X1636">
        <v>15</v>
      </c>
      <c r="Y1636">
        <v>15</v>
      </c>
      <c r="Z1636" t="s">
        <v>2279</v>
      </c>
      <c r="AA1636" t="s">
        <v>2280</v>
      </c>
      <c r="AB1636" t="s">
        <v>96</v>
      </c>
      <c r="AC1636" t="s">
        <v>97</v>
      </c>
      <c r="AD1636" t="s">
        <v>1818</v>
      </c>
      <c r="AG1636" t="s">
        <v>2281</v>
      </c>
      <c r="AH1636">
        <v>0</v>
      </c>
      <c r="AI1636">
        <v>269</v>
      </c>
      <c r="AJ1636">
        <v>31</v>
      </c>
      <c r="AK1636">
        <v>89</v>
      </c>
      <c r="AL1636">
        <v>1.1399999999999999</v>
      </c>
    </row>
    <row r="1637" spans="1:38" x14ac:dyDescent="0.3">
      <c r="A1637" t="s">
        <v>1813</v>
      </c>
      <c r="B1637">
        <v>133039</v>
      </c>
      <c r="C1637">
        <v>1</v>
      </c>
      <c r="D1637" t="s">
        <v>2282</v>
      </c>
      <c r="E1637" t="s">
        <v>2283</v>
      </c>
      <c r="F1637">
        <v>2054</v>
      </c>
      <c r="G1637">
        <v>16.66</v>
      </c>
      <c r="H1637">
        <v>55.1</v>
      </c>
      <c r="I1637">
        <v>11.13</v>
      </c>
      <c r="J1637">
        <v>36.81</v>
      </c>
      <c r="K1637">
        <v>103</v>
      </c>
      <c r="T1637">
        <v>1</v>
      </c>
      <c r="U1637">
        <v>1</v>
      </c>
      <c r="V1637" t="s">
        <v>93</v>
      </c>
      <c r="W1637">
        <v>55</v>
      </c>
      <c r="X1637">
        <v>29</v>
      </c>
      <c r="Y1637">
        <v>15</v>
      </c>
      <c r="Z1637" t="s">
        <v>2284</v>
      </c>
      <c r="AA1637" t="s">
        <v>2285</v>
      </c>
      <c r="AB1637" t="s">
        <v>96</v>
      </c>
      <c r="AC1637" t="s">
        <v>97</v>
      </c>
      <c r="AD1637" t="s">
        <v>1818</v>
      </c>
      <c r="AG1637" t="s">
        <v>285</v>
      </c>
      <c r="AH1637">
        <v>0</v>
      </c>
      <c r="AI1637">
        <v>248</v>
      </c>
      <c r="AJ1637">
        <v>14</v>
      </c>
      <c r="AK1637">
        <v>2461</v>
      </c>
      <c r="AL1637">
        <v>1.2</v>
      </c>
    </row>
    <row r="1638" spans="1:38" x14ac:dyDescent="0.3">
      <c r="A1638" t="s">
        <v>1813</v>
      </c>
      <c r="B1638">
        <v>133039</v>
      </c>
      <c r="C1638">
        <v>2</v>
      </c>
      <c r="D1638" t="s">
        <v>2282</v>
      </c>
      <c r="E1638" t="s">
        <v>2283</v>
      </c>
      <c r="F1638">
        <v>2054</v>
      </c>
      <c r="G1638">
        <v>19.39</v>
      </c>
      <c r="H1638">
        <v>64.12</v>
      </c>
      <c r="I1638">
        <v>13.54</v>
      </c>
      <c r="J1638">
        <v>44.78</v>
      </c>
      <c r="K1638">
        <v>174</v>
      </c>
      <c r="T1638">
        <v>2</v>
      </c>
      <c r="U1638">
        <v>1</v>
      </c>
      <c r="V1638" t="s">
        <v>93</v>
      </c>
      <c r="W1638">
        <v>64</v>
      </c>
      <c r="X1638">
        <v>29</v>
      </c>
      <c r="Y1638">
        <v>15</v>
      </c>
      <c r="Z1638" t="s">
        <v>2284</v>
      </c>
      <c r="AA1638" t="s">
        <v>2285</v>
      </c>
      <c r="AB1638" t="s">
        <v>96</v>
      </c>
      <c r="AC1638" t="s">
        <v>97</v>
      </c>
      <c r="AD1638" t="s">
        <v>1818</v>
      </c>
      <c r="AG1638" t="s">
        <v>285</v>
      </c>
      <c r="AH1638">
        <v>0</v>
      </c>
      <c r="AI1638">
        <v>248</v>
      </c>
      <c r="AJ1638">
        <v>14</v>
      </c>
      <c r="AK1638">
        <v>2461</v>
      </c>
      <c r="AL1638">
        <v>1.2</v>
      </c>
    </row>
    <row r="1639" spans="1:38" x14ac:dyDescent="0.3">
      <c r="A1639" t="s">
        <v>1813</v>
      </c>
      <c r="B1639">
        <v>133039</v>
      </c>
      <c r="C1639">
        <v>3</v>
      </c>
      <c r="D1639" t="s">
        <v>2282</v>
      </c>
      <c r="E1639" t="s">
        <v>2283</v>
      </c>
      <c r="F1639">
        <v>2054</v>
      </c>
      <c r="G1639">
        <v>24.65</v>
      </c>
      <c r="H1639">
        <v>81.489999999999995</v>
      </c>
      <c r="I1639">
        <v>18.12</v>
      </c>
      <c r="J1639">
        <v>59.91</v>
      </c>
      <c r="K1639">
        <v>422</v>
      </c>
      <c r="T1639">
        <v>3</v>
      </c>
      <c r="U1639">
        <v>2</v>
      </c>
      <c r="V1639" t="s">
        <v>93</v>
      </c>
      <c r="W1639" t="s">
        <v>502</v>
      </c>
      <c r="X1639">
        <v>29</v>
      </c>
      <c r="Y1639">
        <v>15</v>
      </c>
      <c r="Z1639" t="s">
        <v>2284</v>
      </c>
      <c r="AA1639" t="s">
        <v>2285</v>
      </c>
      <c r="AB1639" t="s">
        <v>96</v>
      </c>
      <c r="AC1639" t="s">
        <v>97</v>
      </c>
      <c r="AD1639" t="s">
        <v>1818</v>
      </c>
      <c r="AG1639" t="s">
        <v>285</v>
      </c>
      <c r="AH1639">
        <v>0</v>
      </c>
      <c r="AI1639">
        <v>248</v>
      </c>
      <c r="AJ1639">
        <v>14</v>
      </c>
      <c r="AK1639">
        <v>2461</v>
      </c>
      <c r="AL1639">
        <v>1.2</v>
      </c>
    </row>
    <row r="1640" spans="1:38" x14ac:dyDescent="0.3">
      <c r="A1640" t="s">
        <v>1813</v>
      </c>
      <c r="B1640">
        <v>133039</v>
      </c>
      <c r="C1640">
        <v>4</v>
      </c>
      <c r="D1640" t="s">
        <v>2282</v>
      </c>
      <c r="E1640" t="s">
        <v>2283</v>
      </c>
      <c r="F1640">
        <v>2054</v>
      </c>
      <c r="G1640">
        <v>24.73</v>
      </c>
      <c r="H1640">
        <v>81.77</v>
      </c>
      <c r="I1640">
        <v>18.13</v>
      </c>
      <c r="J1640">
        <v>59.95</v>
      </c>
      <c r="K1640">
        <v>344</v>
      </c>
      <c r="T1640">
        <v>3</v>
      </c>
      <c r="U1640">
        <v>2</v>
      </c>
      <c r="V1640" t="s">
        <v>93</v>
      </c>
      <c r="W1640" t="s">
        <v>747</v>
      </c>
      <c r="X1640">
        <v>29</v>
      </c>
      <c r="Y1640">
        <v>15</v>
      </c>
      <c r="Z1640" t="s">
        <v>2284</v>
      </c>
      <c r="AA1640" t="s">
        <v>2285</v>
      </c>
      <c r="AB1640" t="s">
        <v>96</v>
      </c>
      <c r="AC1640" t="s">
        <v>97</v>
      </c>
      <c r="AD1640" t="s">
        <v>1818</v>
      </c>
      <c r="AG1640" t="s">
        <v>285</v>
      </c>
      <c r="AH1640">
        <v>0</v>
      </c>
      <c r="AI1640">
        <v>248</v>
      </c>
      <c r="AJ1640">
        <v>14</v>
      </c>
      <c r="AK1640">
        <v>2461</v>
      </c>
      <c r="AL1640">
        <v>1.2</v>
      </c>
    </row>
    <row r="1641" spans="1:38" x14ac:dyDescent="0.3">
      <c r="A1641" t="s">
        <v>1813</v>
      </c>
      <c r="B1641">
        <v>133039</v>
      </c>
      <c r="C1641">
        <v>5</v>
      </c>
      <c r="D1641" t="s">
        <v>2282</v>
      </c>
      <c r="E1641" t="s">
        <v>2283</v>
      </c>
      <c r="F1641">
        <v>2054</v>
      </c>
      <c r="G1641">
        <v>24.64</v>
      </c>
      <c r="H1641">
        <v>81.48</v>
      </c>
      <c r="I1641">
        <v>18.13</v>
      </c>
      <c r="J1641">
        <v>59.96</v>
      </c>
      <c r="K1641">
        <v>195</v>
      </c>
      <c r="T1641">
        <v>3</v>
      </c>
      <c r="U1641">
        <v>2</v>
      </c>
      <c r="V1641" t="s">
        <v>93</v>
      </c>
      <c r="W1641" t="s">
        <v>746</v>
      </c>
      <c r="X1641">
        <v>29</v>
      </c>
      <c r="Y1641">
        <v>15</v>
      </c>
      <c r="Z1641" t="s">
        <v>2284</v>
      </c>
      <c r="AA1641" t="s">
        <v>2285</v>
      </c>
      <c r="AB1641" t="s">
        <v>96</v>
      </c>
      <c r="AC1641" t="s">
        <v>97</v>
      </c>
      <c r="AD1641" t="s">
        <v>1818</v>
      </c>
      <c r="AG1641" t="s">
        <v>285</v>
      </c>
      <c r="AH1641">
        <v>0</v>
      </c>
      <c r="AI1641">
        <v>248</v>
      </c>
      <c r="AJ1641">
        <v>14</v>
      </c>
      <c r="AK1641">
        <v>2461</v>
      </c>
      <c r="AL1641">
        <v>1.2</v>
      </c>
    </row>
    <row r="1642" spans="1:38" x14ac:dyDescent="0.3">
      <c r="A1642" t="s">
        <v>1813</v>
      </c>
      <c r="B1642">
        <v>133039</v>
      </c>
      <c r="C1642">
        <v>6</v>
      </c>
      <c r="D1642" t="s">
        <v>2282</v>
      </c>
      <c r="E1642" t="s">
        <v>2283</v>
      </c>
      <c r="F1642">
        <v>2054</v>
      </c>
      <c r="G1642">
        <v>29.62</v>
      </c>
      <c r="H1642">
        <v>97.95</v>
      </c>
      <c r="I1642">
        <v>22.36</v>
      </c>
      <c r="J1642">
        <v>73.95</v>
      </c>
      <c r="K1642">
        <v>391</v>
      </c>
      <c r="T1642">
        <v>3</v>
      </c>
      <c r="U1642">
        <v>2</v>
      </c>
      <c r="V1642" t="s">
        <v>93</v>
      </c>
      <c r="W1642" t="s">
        <v>1297</v>
      </c>
      <c r="X1642">
        <v>29</v>
      </c>
      <c r="Y1642">
        <v>15</v>
      </c>
      <c r="Z1642" t="s">
        <v>2284</v>
      </c>
      <c r="AA1642" t="s">
        <v>2285</v>
      </c>
      <c r="AB1642" t="s">
        <v>96</v>
      </c>
      <c r="AC1642" t="s">
        <v>97</v>
      </c>
      <c r="AD1642" t="s">
        <v>1818</v>
      </c>
      <c r="AG1642" t="s">
        <v>285</v>
      </c>
      <c r="AH1642">
        <v>0</v>
      </c>
      <c r="AI1642">
        <v>248</v>
      </c>
      <c r="AJ1642">
        <v>14</v>
      </c>
      <c r="AK1642">
        <v>2461</v>
      </c>
      <c r="AL1642">
        <v>1.2</v>
      </c>
    </row>
    <row r="1643" spans="1:38" x14ac:dyDescent="0.3">
      <c r="A1643" t="s">
        <v>1813</v>
      </c>
      <c r="B1643">
        <v>133039</v>
      </c>
      <c r="C1643">
        <v>7</v>
      </c>
      <c r="D1643" t="s">
        <v>2282</v>
      </c>
      <c r="E1643" t="s">
        <v>2283</v>
      </c>
      <c r="F1643">
        <v>2054</v>
      </c>
      <c r="G1643">
        <v>29.89</v>
      </c>
      <c r="H1643">
        <v>98.81</v>
      </c>
      <c r="I1643">
        <v>22.35</v>
      </c>
      <c r="J1643">
        <v>73.89</v>
      </c>
      <c r="K1643">
        <v>87</v>
      </c>
      <c r="T1643">
        <v>3</v>
      </c>
      <c r="U1643">
        <v>2</v>
      </c>
      <c r="V1643" t="s">
        <v>93</v>
      </c>
      <c r="W1643" t="s">
        <v>356</v>
      </c>
      <c r="X1643">
        <v>29</v>
      </c>
      <c r="Y1643">
        <v>15</v>
      </c>
      <c r="Z1643" t="s">
        <v>2284</v>
      </c>
      <c r="AA1643" t="s">
        <v>2285</v>
      </c>
      <c r="AB1643" t="s">
        <v>96</v>
      </c>
      <c r="AC1643" t="s">
        <v>97</v>
      </c>
      <c r="AD1643" t="s">
        <v>1818</v>
      </c>
      <c r="AG1643" t="s">
        <v>285</v>
      </c>
      <c r="AH1643">
        <v>0</v>
      </c>
      <c r="AI1643">
        <v>248</v>
      </c>
      <c r="AJ1643">
        <v>14</v>
      </c>
      <c r="AK1643">
        <v>2461</v>
      </c>
      <c r="AL1643">
        <v>1.2</v>
      </c>
    </row>
    <row r="1644" spans="1:38" x14ac:dyDescent="0.3">
      <c r="A1644" t="s">
        <v>1813</v>
      </c>
      <c r="B1644">
        <v>133039</v>
      </c>
      <c r="C1644">
        <v>8</v>
      </c>
      <c r="D1644" t="s">
        <v>2282</v>
      </c>
      <c r="E1644" t="s">
        <v>2283</v>
      </c>
      <c r="F1644">
        <v>2054</v>
      </c>
      <c r="G1644">
        <v>33.159999999999997</v>
      </c>
      <c r="H1644">
        <v>109.65</v>
      </c>
      <c r="I1644">
        <v>25.7</v>
      </c>
      <c r="J1644">
        <v>84.99</v>
      </c>
      <c r="K1644">
        <v>169</v>
      </c>
      <c r="T1644">
        <v>4</v>
      </c>
      <c r="U1644">
        <v>2</v>
      </c>
      <c r="V1644" t="s">
        <v>93</v>
      </c>
      <c r="W1644" t="s">
        <v>156</v>
      </c>
      <c r="X1644">
        <v>29</v>
      </c>
      <c r="Y1644">
        <v>15</v>
      </c>
      <c r="Z1644" t="s">
        <v>2284</v>
      </c>
      <c r="AA1644" t="s">
        <v>2285</v>
      </c>
      <c r="AB1644" t="s">
        <v>96</v>
      </c>
      <c r="AC1644" t="s">
        <v>97</v>
      </c>
      <c r="AD1644" t="s">
        <v>1818</v>
      </c>
      <c r="AG1644" t="s">
        <v>285</v>
      </c>
      <c r="AH1644">
        <v>0</v>
      </c>
      <c r="AI1644">
        <v>248</v>
      </c>
      <c r="AJ1644">
        <v>14</v>
      </c>
      <c r="AK1644">
        <v>2461</v>
      </c>
      <c r="AL1644">
        <v>1.2</v>
      </c>
    </row>
    <row r="1645" spans="1:38" x14ac:dyDescent="0.3">
      <c r="A1645" t="s">
        <v>1813</v>
      </c>
      <c r="B1645">
        <v>133039</v>
      </c>
      <c r="C1645">
        <v>9</v>
      </c>
      <c r="D1645" t="s">
        <v>2282</v>
      </c>
      <c r="E1645" t="s">
        <v>2283</v>
      </c>
      <c r="F1645">
        <v>2054</v>
      </c>
      <c r="G1645">
        <v>33.18</v>
      </c>
      <c r="H1645">
        <v>109.71</v>
      </c>
      <c r="I1645">
        <v>25.65</v>
      </c>
      <c r="J1645">
        <v>84.82</v>
      </c>
      <c r="K1645">
        <v>169</v>
      </c>
      <c r="T1645">
        <v>4</v>
      </c>
      <c r="U1645">
        <v>2</v>
      </c>
      <c r="V1645" t="s">
        <v>93</v>
      </c>
      <c r="W1645" t="s">
        <v>864</v>
      </c>
      <c r="X1645">
        <v>29</v>
      </c>
      <c r="Y1645">
        <v>15</v>
      </c>
      <c r="Z1645" t="s">
        <v>2284</v>
      </c>
      <c r="AA1645" t="s">
        <v>2285</v>
      </c>
      <c r="AB1645" t="s">
        <v>96</v>
      </c>
      <c r="AC1645" t="s">
        <v>97</v>
      </c>
      <c r="AD1645" t="s">
        <v>1818</v>
      </c>
      <c r="AG1645" t="s">
        <v>285</v>
      </c>
      <c r="AH1645">
        <v>0</v>
      </c>
      <c r="AI1645">
        <v>248</v>
      </c>
      <c r="AJ1645">
        <v>14</v>
      </c>
      <c r="AK1645">
        <v>2461</v>
      </c>
      <c r="AL1645">
        <v>1.2</v>
      </c>
    </row>
    <row r="1646" spans="1:38" x14ac:dyDescent="0.3">
      <c r="A1646" t="s">
        <v>1813</v>
      </c>
      <c r="B1646">
        <v>140265</v>
      </c>
      <c r="C1646">
        <v>1</v>
      </c>
      <c r="D1646" t="s">
        <v>2286</v>
      </c>
      <c r="E1646" t="s">
        <v>2133</v>
      </c>
      <c r="F1646">
        <v>38</v>
      </c>
      <c r="G1646">
        <v>7.32</v>
      </c>
      <c r="H1646">
        <v>24.21</v>
      </c>
      <c r="I1646">
        <v>3.63</v>
      </c>
      <c r="J1646">
        <v>12</v>
      </c>
      <c r="K1646">
        <v>7</v>
      </c>
      <c r="T1646">
        <v>1</v>
      </c>
      <c r="U1646">
        <v>1</v>
      </c>
      <c r="V1646" t="s">
        <v>93</v>
      </c>
      <c r="W1646">
        <v>24</v>
      </c>
      <c r="X1646">
        <v>10</v>
      </c>
      <c r="Y1646">
        <v>8</v>
      </c>
      <c r="Z1646" t="s">
        <v>2287</v>
      </c>
      <c r="AA1646" t="s">
        <v>2288</v>
      </c>
      <c r="AB1646" t="s">
        <v>96</v>
      </c>
      <c r="AC1646" t="s">
        <v>97</v>
      </c>
      <c r="AD1646" t="s">
        <v>1818</v>
      </c>
      <c r="AG1646" t="s">
        <v>2289</v>
      </c>
      <c r="AH1646">
        <v>0</v>
      </c>
      <c r="AI1646">
        <v>458</v>
      </c>
      <c r="AJ1646">
        <v>67</v>
      </c>
      <c r="AK1646">
        <v>8</v>
      </c>
      <c r="AL1646">
        <v>0.21</v>
      </c>
    </row>
    <row r="1647" spans="1:38" x14ac:dyDescent="0.3">
      <c r="A1647" t="s">
        <v>1813</v>
      </c>
      <c r="B1647">
        <v>140265</v>
      </c>
      <c r="C1647">
        <v>2</v>
      </c>
      <c r="D1647" t="s">
        <v>2286</v>
      </c>
      <c r="E1647" t="s">
        <v>2133</v>
      </c>
      <c r="F1647">
        <v>38</v>
      </c>
      <c r="G1647">
        <v>7.83</v>
      </c>
      <c r="H1647">
        <v>25.89</v>
      </c>
      <c r="I1647">
        <v>3.88</v>
      </c>
      <c r="J1647">
        <v>12.83</v>
      </c>
      <c r="K1647">
        <v>7</v>
      </c>
      <c r="T1647">
        <v>1</v>
      </c>
      <c r="U1647">
        <v>1</v>
      </c>
      <c r="V1647" t="s">
        <v>93</v>
      </c>
      <c r="W1647" t="s">
        <v>2290</v>
      </c>
      <c r="X1647">
        <v>10</v>
      </c>
      <c r="Y1647">
        <v>8</v>
      </c>
      <c r="Z1647" t="s">
        <v>2287</v>
      </c>
      <c r="AA1647" t="s">
        <v>2288</v>
      </c>
      <c r="AB1647" t="s">
        <v>96</v>
      </c>
      <c r="AC1647" t="s">
        <v>97</v>
      </c>
      <c r="AD1647" t="s">
        <v>1818</v>
      </c>
      <c r="AG1647" t="s">
        <v>2289</v>
      </c>
      <c r="AH1647">
        <v>0</v>
      </c>
      <c r="AI1647">
        <v>458</v>
      </c>
      <c r="AJ1647">
        <v>67</v>
      </c>
      <c r="AK1647">
        <v>8</v>
      </c>
      <c r="AL1647">
        <v>0.21</v>
      </c>
    </row>
    <row r="1648" spans="1:38" x14ac:dyDescent="0.3">
      <c r="A1648" t="s">
        <v>1813</v>
      </c>
      <c r="B1648">
        <v>140265</v>
      </c>
      <c r="C1648">
        <v>3</v>
      </c>
      <c r="D1648" t="s">
        <v>2286</v>
      </c>
      <c r="E1648" t="s">
        <v>2133</v>
      </c>
      <c r="F1648">
        <v>38</v>
      </c>
      <c r="G1648">
        <v>7.66</v>
      </c>
      <c r="H1648">
        <v>25.35</v>
      </c>
      <c r="I1648">
        <v>3.79</v>
      </c>
      <c r="J1648">
        <v>12.56</v>
      </c>
      <c r="K1648">
        <v>5</v>
      </c>
      <c r="T1648">
        <v>1</v>
      </c>
      <c r="U1648">
        <v>1</v>
      </c>
      <c r="V1648" t="s">
        <v>93</v>
      </c>
      <c r="W1648" t="s">
        <v>2291</v>
      </c>
      <c r="X1648">
        <v>10</v>
      </c>
      <c r="Y1648">
        <v>8</v>
      </c>
      <c r="Z1648" t="s">
        <v>2287</v>
      </c>
      <c r="AA1648" t="s">
        <v>2288</v>
      </c>
      <c r="AB1648" t="s">
        <v>96</v>
      </c>
      <c r="AC1648" t="s">
        <v>97</v>
      </c>
      <c r="AD1648" t="s">
        <v>1818</v>
      </c>
      <c r="AG1648" t="s">
        <v>2289</v>
      </c>
      <c r="AH1648">
        <v>0</v>
      </c>
      <c r="AI1648">
        <v>458</v>
      </c>
      <c r="AJ1648">
        <v>67</v>
      </c>
      <c r="AK1648">
        <v>8</v>
      </c>
      <c r="AL1648">
        <v>0.21</v>
      </c>
    </row>
    <row r="1649" spans="1:38" x14ac:dyDescent="0.3">
      <c r="A1649" t="s">
        <v>1813</v>
      </c>
      <c r="B1649">
        <v>140265</v>
      </c>
      <c r="C1649">
        <v>4</v>
      </c>
      <c r="D1649" t="s">
        <v>2286</v>
      </c>
      <c r="E1649" t="s">
        <v>2133</v>
      </c>
      <c r="F1649">
        <v>38</v>
      </c>
      <c r="G1649">
        <v>7.85</v>
      </c>
      <c r="H1649">
        <v>25.98</v>
      </c>
      <c r="I1649">
        <v>3.89</v>
      </c>
      <c r="J1649">
        <v>12.88</v>
      </c>
      <c r="K1649">
        <v>5</v>
      </c>
      <c r="T1649">
        <v>1</v>
      </c>
      <c r="U1649">
        <v>1</v>
      </c>
      <c r="V1649" t="s">
        <v>93</v>
      </c>
      <c r="W1649" t="s">
        <v>2088</v>
      </c>
      <c r="X1649">
        <v>10</v>
      </c>
      <c r="Y1649">
        <v>8</v>
      </c>
      <c r="Z1649" t="s">
        <v>2287</v>
      </c>
      <c r="AA1649" t="s">
        <v>2288</v>
      </c>
      <c r="AB1649" t="s">
        <v>96</v>
      </c>
      <c r="AC1649" t="s">
        <v>97</v>
      </c>
      <c r="AD1649" t="s">
        <v>1818</v>
      </c>
      <c r="AG1649" t="s">
        <v>2289</v>
      </c>
      <c r="AH1649">
        <v>0</v>
      </c>
      <c r="AI1649">
        <v>458</v>
      </c>
      <c r="AJ1649">
        <v>67</v>
      </c>
      <c r="AK1649">
        <v>8</v>
      </c>
      <c r="AL1649">
        <v>0.21</v>
      </c>
    </row>
    <row r="1650" spans="1:38" x14ac:dyDescent="0.3">
      <c r="A1650" t="s">
        <v>1813</v>
      </c>
      <c r="B1650">
        <v>140265</v>
      </c>
      <c r="C1650">
        <v>5</v>
      </c>
      <c r="D1650" t="s">
        <v>2286</v>
      </c>
      <c r="E1650" t="s">
        <v>2133</v>
      </c>
      <c r="F1650">
        <v>38</v>
      </c>
      <c r="G1650">
        <v>7.57</v>
      </c>
      <c r="H1650">
        <v>25.04</v>
      </c>
      <c r="I1650">
        <v>3.75</v>
      </c>
      <c r="J1650">
        <v>12.41</v>
      </c>
      <c r="K1650">
        <v>1</v>
      </c>
      <c r="T1650">
        <v>1</v>
      </c>
      <c r="U1650">
        <v>1</v>
      </c>
      <c r="V1650" t="s">
        <v>93</v>
      </c>
      <c r="W1650" t="s">
        <v>651</v>
      </c>
      <c r="X1650">
        <v>10</v>
      </c>
      <c r="Y1650">
        <v>8</v>
      </c>
      <c r="Z1650" t="s">
        <v>2287</v>
      </c>
      <c r="AA1650" t="s">
        <v>2288</v>
      </c>
      <c r="AB1650" t="s">
        <v>96</v>
      </c>
      <c r="AC1650" t="s">
        <v>97</v>
      </c>
      <c r="AD1650" t="s">
        <v>1818</v>
      </c>
      <c r="AG1650" t="s">
        <v>2289</v>
      </c>
      <c r="AH1650">
        <v>0</v>
      </c>
      <c r="AI1650">
        <v>458</v>
      </c>
      <c r="AJ1650">
        <v>67</v>
      </c>
      <c r="AK1650">
        <v>8</v>
      </c>
      <c r="AL1650">
        <v>0.21</v>
      </c>
    </row>
    <row r="1651" spans="1:38" x14ac:dyDescent="0.3">
      <c r="A1651" t="s">
        <v>1813</v>
      </c>
      <c r="B1651">
        <v>140265</v>
      </c>
      <c r="C1651">
        <v>6</v>
      </c>
      <c r="D1651" t="s">
        <v>2286</v>
      </c>
      <c r="E1651" t="s">
        <v>2133</v>
      </c>
      <c r="F1651">
        <v>38</v>
      </c>
      <c r="G1651">
        <v>7.91</v>
      </c>
      <c r="H1651">
        <v>26.15</v>
      </c>
      <c r="I1651">
        <v>3.92</v>
      </c>
      <c r="J1651">
        <v>12.96</v>
      </c>
      <c r="K1651">
        <v>1</v>
      </c>
      <c r="T1651">
        <v>1</v>
      </c>
      <c r="U1651">
        <v>1</v>
      </c>
      <c r="V1651" t="s">
        <v>93</v>
      </c>
      <c r="W1651" t="s">
        <v>2292</v>
      </c>
      <c r="X1651">
        <v>10</v>
      </c>
      <c r="Y1651">
        <v>8</v>
      </c>
      <c r="Z1651" t="s">
        <v>2287</v>
      </c>
      <c r="AA1651" t="s">
        <v>2288</v>
      </c>
      <c r="AB1651" t="s">
        <v>96</v>
      </c>
      <c r="AC1651" t="s">
        <v>97</v>
      </c>
      <c r="AD1651" t="s">
        <v>1818</v>
      </c>
      <c r="AG1651" t="s">
        <v>2289</v>
      </c>
      <c r="AH1651">
        <v>0</v>
      </c>
      <c r="AI1651">
        <v>458</v>
      </c>
      <c r="AJ1651">
        <v>67</v>
      </c>
      <c r="AK1651">
        <v>8</v>
      </c>
      <c r="AL1651">
        <v>0.21</v>
      </c>
    </row>
    <row r="1652" spans="1:38" x14ac:dyDescent="0.3">
      <c r="A1652" t="s">
        <v>1813</v>
      </c>
      <c r="B1652">
        <v>140265</v>
      </c>
      <c r="C1652">
        <v>7</v>
      </c>
      <c r="D1652" t="s">
        <v>2286</v>
      </c>
      <c r="E1652" t="s">
        <v>2133</v>
      </c>
      <c r="F1652">
        <v>38</v>
      </c>
      <c r="G1652">
        <v>8.3000000000000007</v>
      </c>
      <c r="H1652">
        <v>27.46</v>
      </c>
      <c r="I1652">
        <v>4.1100000000000003</v>
      </c>
      <c r="J1652">
        <v>13.61</v>
      </c>
      <c r="K1652">
        <v>5</v>
      </c>
      <c r="T1652">
        <v>1</v>
      </c>
      <c r="U1652">
        <v>1</v>
      </c>
      <c r="V1652" t="s">
        <v>93</v>
      </c>
      <c r="W1652" t="s">
        <v>2293</v>
      </c>
      <c r="X1652">
        <v>10</v>
      </c>
      <c r="Y1652">
        <v>8</v>
      </c>
      <c r="Z1652" t="s">
        <v>2287</v>
      </c>
      <c r="AA1652" t="s">
        <v>2288</v>
      </c>
      <c r="AB1652" t="s">
        <v>96</v>
      </c>
      <c r="AC1652" t="s">
        <v>97</v>
      </c>
      <c r="AD1652" t="s">
        <v>1818</v>
      </c>
      <c r="AG1652" t="s">
        <v>2289</v>
      </c>
      <c r="AH1652">
        <v>0</v>
      </c>
      <c r="AI1652">
        <v>458</v>
      </c>
      <c r="AJ1652">
        <v>67</v>
      </c>
      <c r="AK1652">
        <v>8</v>
      </c>
      <c r="AL1652">
        <v>0.21</v>
      </c>
    </row>
    <row r="1653" spans="1:38" x14ac:dyDescent="0.3">
      <c r="A1653" t="s">
        <v>1813</v>
      </c>
      <c r="B1653">
        <v>140265</v>
      </c>
      <c r="C1653">
        <v>8</v>
      </c>
      <c r="D1653" t="s">
        <v>2286</v>
      </c>
      <c r="E1653" t="s">
        <v>2133</v>
      </c>
      <c r="F1653">
        <v>38</v>
      </c>
      <c r="G1653">
        <v>8.3699999999999992</v>
      </c>
      <c r="H1653">
        <v>27.67</v>
      </c>
      <c r="I1653">
        <v>4.1399999999999997</v>
      </c>
      <c r="J1653">
        <v>13.71</v>
      </c>
      <c r="K1653">
        <v>5</v>
      </c>
      <c r="T1653">
        <v>1</v>
      </c>
      <c r="U1653">
        <v>1</v>
      </c>
      <c r="V1653" t="s">
        <v>93</v>
      </c>
      <c r="W1653" t="s">
        <v>2294</v>
      </c>
      <c r="X1653">
        <v>10</v>
      </c>
      <c r="Y1653">
        <v>8</v>
      </c>
      <c r="Z1653" t="s">
        <v>2287</v>
      </c>
      <c r="AA1653" t="s">
        <v>2288</v>
      </c>
      <c r="AB1653" t="s">
        <v>96</v>
      </c>
      <c r="AC1653" t="s">
        <v>97</v>
      </c>
      <c r="AD1653" t="s">
        <v>1818</v>
      </c>
      <c r="AG1653" t="s">
        <v>2289</v>
      </c>
      <c r="AH1653">
        <v>0</v>
      </c>
      <c r="AI1653">
        <v>458</v>
      </c>
      <c r="AJ1653">
        <v>67</v>
      </c>
      <c r="AK1653">
        <v>8</v>
      </c>
      <c r="AL1653">
        <v>0.21</v>
      </c>
    </row>
    <row r="1654" spans="1:38" x14ac:dyDescent="0.3">
      <c r="A1654" t="s">
        <v>1813</v>
      </c>
      <c r="B1654">
        <v>140265</v>
      </c>
      <c r="C1654">
        <v>9</v>
      </c>
      <c r="D1654" t="s">
        <v>2286</v>
      </c>
      <c r="E1654" t="s">
        <v>2133</v>
      </c>
      <c r="F1654">
        <v>38</v>
      </c>
      <c r="G1654">
        <v>10.43</v>
      </c>
      <c r="H1654">
        <v>34.49</v>
      </c>
      <c r="I1654">
        <v>5.17</v>
      </c>
      <c r="J1654">
        <v>17.100000000000001</v>
      </c>
      <c r="K1654">
        <v>1</v>
      </c>
      <c r="T1654">
        <v>1</v>
      </c>
      <c r="U1654">
        <v>1</v>
      </c>
      <c r="V1654" t="s">
        <v>93</v>
      </c>
      <c r="W1654">
        <v>34</v>
      </c>
      <c r="X1654">
        <v>10</v>
      </c>
      <c r="Y1654">
        <v>8</v>
      </c>
      <c r="Z1654" t="s">
        <v>2287</v>
      </c>
      <c r="AA1654" t="s">
        <v>2288</v>
      </c>
      <c r="AB1654" t="s">
        <v>96</v>
      </c>
      <c r="AC1654" t="s">
        <v>97</v>
      </c>
      <c r="AD1654" t="s">
        <v>1818</v>
      </c>
      <c r="AG1654" t="s">
        <v>2289</v>
      </c>
      <c r="AH1654">
        <v>0</v>
      </c>
      <c r="AI1654">
        <v>458</v>
      </c>
      <c r="AJ1654">
        <v>67</v>
      </c>
      <c r="AK1654">
        <v>8</v>
      </c>
      <c r="AL1654">
        <v>0.21</v>
      </c>
    </row>
    <row r="1655" spans="1:38" x14ac:dyDescent="0.3">
      <c r="A1655" t="s">
        <v>1813</v>
      </c>
      <c r="B1655">
        <v>140265</v>
      </c>
      <c r="C1655">
        <v>10</v>
      </c>
      <c r="D1655" t="s">
        <v>2286</v>
      </c>
      <c r="E1655" t="s">
        <v>2133</v>
      </c>
      <c r="F1655">
        <v>38</v>
      </c>
      <c r="G1655">
        <v>10.75</v>
      </c>
      <c r="H1655">
        <v>35.54</v>
      </c>
      <c r="I1655">
        <v>5.33</v>
      </c>
      <c r="J1655">
        <v>17.62</v>
      </c>
      <c r="K1655">
        <v>1</v>
      </c>
      <c r="T1655">
        <v>1</v>
      </c>
      <c r="U1655">
        <v>1</v>
      </c>
      <c r="V1655" t="s">
        <v>93</v>
      </c>
      <c r="W1655">
        <v>35</v>
      </c>
      <c r="X1655">
        <v>10</v>
      </c>
      <c r="Y1655">
        <v>8</v>
      </c>
      <c r="Z1655" t="s">
        <v>2287</v>
      </c>
      <c r="AA1655" t="s">
        <v>2288</v>
      </c>
      <c r="AB1655" t="s">
        <v>96</v>
      </c>
      <c r="AC1655" t="s">
        <v>97</v>
      </c>
      <c r="AD1655" t="s">
        <v>1818</v>
      </c>
      <c r="AG1655" t="s">
        <v>2289</v>
      </c>
      <c r="AH1655">
        <v>0</v>
      </c>
      <c r="AI1655">
        <v>458</v>
      </c>
      <c r="AJ1655">
        <v>67</v>
      </c>
      <c r="AK1655">
        <v>8</v>
      </c>
      <c r="AL1655">
        <v>0.21</v>
      </c>
    </row>
    <row r="1656" spans="1:38" x14ac:dyDescent="0.3">
      <c r="A1656" t="s">
        <v>1813</v>
      </c>
      <c r="B1656">
        <v>115417</v>
      </c>
      <c r="C1656">
        <v>1</v>
      </c>
      <c r="D1656" t="s">
        <v>2295</v>
      </c>
      <c r="E1656" t="s">
        <v>2296</v>
      </c>
      <c r="F1656">
        <v>39</v>
      </c>
      <c r="G1656">
        <v>21.83</v>
      </c>
      <c r="H1656">
        <v>72.19</v>
      </c>
      <c r="I1656">
        <v>17.2</v>
      </c>
      <c r="J1656">
        <v>56.87</v>
      </c>
      <c r="K1656">
        <v>13</v>
      </c>
      <c r="T1656">
        <v>3</v>
      </c>
      <c r="U1656">
        <v>2</v>
      </c>
      <c r="V1656" t="s">
        <v>93</v>
      </c>
      <c r="W1656" t="s">
        <v>282</v>
      </c>
      <c r="X1656">
        <v>14</v>
      </c>
      <c r="Y1656">
        <v>14</v>
      </c>
      <c r="Z1656" t="s">
        <v>2297</v>
      </c>
      <c r="AA1656" t="s">
        <v>2298</v>
      </c>
      <c r="AB1656" t="s">
        <v>96</v>
      </c>
      <c r="AC1656" t="s">
        <v>97</v>
      </c>
      <c r="AD1656" t="s">
        <v>1818</v>
      </c>
      <c r="AG1656" t="s">
        <v>2299</v>
      </c>
      <c r="AH1656">
        <v>0</v>
      </c>
      <c r="AI1656">
        <v>658</v>
      </c>
      <c r="AJ1656">
        <v>78</v>
      </c>
      <c r="AK1656">
        <v>41</v>
      </c>
      <c r="AL1656">
        <v>1.05</v>
      </c>
    </row>
    <row r="1657" spans="1:38" x14ac:dyDescent="0.3">
      <c r="A1657" t="s">
        <v>1813</v>
      </c>
      <c r="B1657">
        <v>115417</v>
      </c>
      <c r="C1657">
        <v>2</v>
      </c>
      <c r="D1657" t="s">
        <v>2295</v>
      </c>
      <c r="E1657" t="s">
        <v>2296</v>
      </c>
      <c r="F1657">
        <v>39</v>
      </c>
      <c r="G1657">
        <v>22.48</v>
      </c>
      <c r="H1657">
        <v>74.319999999999993</v>
      </c>
      <c r="I1657">
        <v>17.739999999999998</v>
      </c>
      <c r="J1657">
        <v>58.66</v>
      </c>
      <c r="K1657">
        <v>13</v>
      </c>
      <c r="T1657">
        <v>3</v>
      </c>
      <c r="U1657">
        <v>2</v>
      </c>
      <c r="V1657" t="s">
        <v>93</v>
      </c>
      <c r="W1657" t="s">
        <v>876</v>
      </c>
      <c r="X1657">
        <v>14</v>
      </c>
      <c r="Y1657">
        <v>14</v>
      </c>
      <c r="Z1657" t="s">
        <v>2297</v>
      </c>
      <c r="AA1657" t="s">
        <v>2298</v>
      </c>
      <c r="AB1657" t="s">
        <v>96</v>
      </c>
      <c r="AC1657" t="s">
        <v>97</v>
      </c>
      <c r="AD1657" t="s">
        <v>1818</v>
      </c>
      <c r="AG1657" t="s">
        <v>2299</v>
      </c>
      <c r="AH1657">
        <v>0</v>
      </c>
      <c r="AI1657">
        <v>658</v>
      </c>
      <c r="AJ1657">
        <v>78</v>
      </c>
      <c r="AK1657">
        <v>41</v>
      </c>
      <c r="AL1657">
        <v>1.05</v>
      </c>
    </row>
    <row r="1658" spans="1:38" x14ac:dyDescent="0.3">
      <c r="A1658" t="s">
        <v>1813</v>
      </c>
      <c r="B1658">
        <v>115417</v>
      </c>
      <c r="C1658">
        <v>3</v>
      </c>
      <c r="D1658" t="s">
        <v>2295</v>
      </c>
      <c r="E1658" t="s">
        <v>2296</v>
      </c>
      <c r="F1658">
        <v>39</v>
      </c>
      <c r="G1658">
        <v>25.9</v>
      </c>
      <c r="H1658">
        <v>85.63</v>
      </c>
      <c r="I1658">
        <v>20.38</v>
      </c>
      <c r="J1658">
        <v>67.38</v>
      </c>
      <c r="K1658">
        <v>12</v>
      </c>
      <c r="T1658">
        <v>3</v>
      </c>
      <c r="U1658">
        <v>2</v>
      </c>
      <c r="V1658" t="s">
        <v>93</v>
      </c>
      <c r="W1658" t="s">
        <v>434</v>
      </c>
      <c r="X1658">
        <v>14</v>
      </c>
      <c r="Y1658">
        <v>14</v>
      </c>
      <c r="Z1658" t="s">
        <v>2297</v>
      </c>
      <c r="AA1658" t="s">
        <v>2298</v>
      </c>
      <c r="AB1658" t="s">
        <v>96</v>
      </c>
      <c r="AC1658" t="s">
        <v>97</v>
      </c>
      <c r="AD1658" t="s">
        <v>1818</v>
      </c>
      <c r="AG1658" t="s">
        <v>2299</v>
      </c>
      <c r="AH1658">
        <v>0</v>
      </c>
      <c r="AI1658">
        <v>658</v>
      </c>
      <c r="AJ1658">
        <v>78</v>
      </c>
      <c r="AK1658">
        <v>41</v>
      </c>
      <c r="AL1658">
        <v>1.05</v>
      </c>
    </row>
    <row r="1659" spans="1:38" x14ac:dyDescent="0.3">
      <c r="A1659" t="s">
        <v>1813</v>
      </c>
      <c r="B1659">
        <v>115417</v>
      </c>
      <c r="C1659">
        <v>4</v>
      </c>
      <c r="D1659" t="s">
        <v>2295</v>
      </c>
      <c r="E1659" t="s">
        <v>2296</v>
      </c>
      <c r="F1659">
        <v>39</v>
      </c>
      <c r="G1659">
        <v>25.9</v>
      </c>
      <c r="H1659">
        <v>85.62</v>
      </c>
      <c r="I1659">
        <v>20.27</v>
      </c>
      <c r="J1659">
        <v>67.03</v>
      </c>
      <c r="K1659">
        <v>1</v>
      </c>
      <c r="T1659">
        <v>3</v>
      </c>
      <c r="U1659">
        <v>2</v>
      </c>
      <c r="V1659" t="s">
        <v>93</v>
      </c>
      <c r="W1659" t="s">
        <v>222</v>
      </c>
      <c r="X1659">
        <v>14</v>
      </c>
      <c r="Y1659">
        <v>14</v>
      </c>
      <c r="Z1659" t="s">
        <v>2297</v>
      </c>
      <c r="AA1659" t="s">
        <v>2298</v>
      </c>
      <c r="AB1659" t="s">
        <v>96</v>
      </c>
      <c r="AC1659" t="s">
        <v>97</v>
      </c>
      <c r="AD1659" t="s">
        <v>1818</v>
      </c>
      <c r="AG1659" t="s">
        <v>2299</v>
      </c>
      <c r="AH1659">
        <v>0</v>
      </c>
      <c r="AI1659">
        <v>658</v>
      </c>
      <c r="AJ1659">
        <v>78</v>
      </c>
      <c r="AK1659">
        <v>41</v>
      </c>
      <c r="AL1659">
        <v>1.05</v>
      </c>
    </row>
    <row r="1660" spans="1:38" x14ac:dyDescent="0.3">
      <c r="A1660" t="s">
        <v>1813</v>
      </c>
      <c r="B1660">
        <v>123818</v>
      </c>
      <c r="C1660">
        <v>1</v>
      </c>
      <c r="D1660" t="s">
        <v>2300</v>
      </c>
      <c r="E1660" t="s">
        <v>1003</v>
      </c>
      <c r="F1660">
        <v>28</v>
      </c>
      <c r="G1660">
        <v>6.62</v>
      </c>
      <c r="H1660">
        <v>21.91</v>
      </c>
      <c r="I1660">
        <v>4.7300000000000004</v>
      </c>
      <c r="J1660">
        <v>15.65</v>
      </c>
      <c r="K1660">
        <v>6</v>
      </c>
      <c r="T1660">
        <v>1</v>
      </c>
      <c r="U1660">
        <v>1</v>
      </c>
      <c r="V1660" t="s">
        <v>132</v>
      </c>
      <c r="W1660" t="s">
        <v>2301</v>
      </c>
      <c r="X1660">
        <v>8</v>
      </c>
      <c r="Y1660">
        <v>5</v>
      </c>
      <c r="Z1660" t="s">
        <v>2302</v>
      </c>
      <c r="AA1660" t="s">
        <v>2303</v>
      </c>
      <c r="AB1660" t="s">
        <v>96</v>
      </c>
      <c r="AC1660" t="s">
        <v>97</v>
      </c>
      <c r="AD1660" t="s">
        <v>1818</v>
      </c>
      <c r="AG1660" t="s">
        <v>2304</v>
      </c>
      <c r="AH1660">
        <v>0</v>
      </c>
      <c r="AI1660">
        <v>338</v>
      </c>
      <c r="AJ1660">
        <v>59</v>
      </c>
      <c r="AK1660">
        <v>23</v>
      </c>
      <c r="AL1660">
        <v>0.82</v>
      </c>
    </row>
    <row r="1661" spans="1:38" x14ac:dyDescent="0.3">
      <c r="A1661" t="s">
        <v>1813</v>
      </c>
      <c r="B1661">
        <v>123818</v>
      </c>
      <c r="C1661">
        <v>2</v>
      </c>
      <c r="D1661" t="s">
        <v>2300</v>
      </c>
      <c r="E1661" t="s">
        <v>1003</v>
      </c>
      <c r="F1661">
        <v>28</v>
      </c>
      <c r="G1661">
        <v>6.56</v>
      </c>
      <c r="H1661">
        <v>21.69</v>
      </c>
      <c r="I1661">
        <v>4.66</v>
      </c>
      <c r="J1661">
        <v>15.43</v>
      </c>
      <c r="K1661">
        <v>4</v>
      </c>
      <c r="T1661">
        <v>1</v>
      </c>
      <c r="U1661">
        <v>1</v>
      </c>
      <c r="V1661" t="s">
        <v>132</v>
      </c>
      <c r="W1661" t="s">
        <v>2076</v>
      </c>
      <c r="X1661">
        <v>8</v>
      </c>
      <c r="Y1661">
        <v>5</v>
      </c>
      <c r="Z1661" t="s">
        <v>2302</v>
      </c>
      <c r="AA1661" t="s">
        <v>2303</v>
      </c>
      <c r="AB1661" t="s">
        <v>96</v>
      </c>
      <c r="AC1661" t="s">
        <v>97</v>
      </c>
      <c r="AD1661" t="s">
        <v>1818</v>
      </c>
      <c r="AG1661" t="s">
        <v>2304</v>
      </c>
      <c r="AH1661">
        <v>0</v>
      </c>
      <c r="AI1661">
        <v>338</v>
      </c>
      <c r="AJ1661">
        <v>59</v>
      </c>
      <c r="AK1661">
        <v>23</v>
      </c>
      <c r="AL1661">
        <v>0.82</v>
      </c>
    </row>
    <row r="1662" spans="1:38" x14ac:dyDescent="0.3">
      <c r="A1662" t="s">
        <v>1813</v>
      </c>
      <c r="B1662">
        <v>123818</v>
      </c>
      <c r="C1662">
        <v>3</v>
      </c>
      <c r="D1662" t="s">
        <v>2300</v>
      </c>
      <c r="E1662" t="s">
        <v>1003</v>
      </c>
      <c r="F1662">
        <v>28</v>
      </c>
      <c r="G1662">
        <v>6.57</v>
      </c>
      <c r="H1662">
        <v>21.72</v>
      </c>
      <c r="I1662">
        <v>4.6900000000000004</v>
      </c>
      <c r="J1662">
        <v>15.53</v>
      </c>
      <c r="K1662">
        <v>2</v>
      </c>
      <c r="T1662">
        <v>1</v>
      </c>
      <c r="U1662">
        <v>1</v>
      </c>
      <c r="V1662" t="s">
        <v>132</v>
      </c>
      <c r="W1662" t="s">
        <v>2305</v>
      </c>
      <c r="X1662">
        <v>8</v>
      </c>
      <c r="Y1662">
        <v>5</v>
      </c>
      <c r="Z1662" t="s">
        <v>2302</v>
      </c>
      <c r="AA1662" t="s">
        <v>2303</v>
      </c>
      <c r="AB1662" t="s">
        <v>96</v>
      </c>
      <c r="AC1662" t="s">
        <v>97</v>
      </c>
      <c r="AD1662" t="s">
        <v>1818</v>
      </c>
      <c r="AG1662" t="s">
        <v>2304</v>
      </c>
      <c r="AH1662">
        <v>0</v>
      </c>
      <c r="AI1662">
        <v>338</v>
      </c>
      <c r="AJ1662">
        <v>59</v>
      </c>
      <c r="AK1662">
        <v>23</v>
      </c>
      <c r="AL1662">
        <v>0.82</v>
      </c>
    </row>
    <row r="1663" spans="1:38" x14ac:dyDescent="0.3">
      <c r="A1663" t="s">
        <v>1813</v>
      </c>
      <c r="B1663">
        <v>123818</v>
      </c>
      <c r="C1663">
        <v>4</v>
      </c>
      <c r="D1663" t="s">
        <v>2300</v>
      </c>
      <c r="E1663" t="s">
        <v>1003</v>
      </c>
      <c r="F1663">
        <v>28</v>
      </c>
      <c r="G1663">
        <v>12.55</v>
      </c>
      <c r="H1663">
        <v>41.49</v>
      </c>
      <c r="I1663">
        <v>9.2100000000000009</v>
      </c>
      <c r="J1663">
        <v>30.47</v>
      </c>
      <c r="K1663">
        <v>12</v>
      </c>
      <c r="T1663">
        <v>1</v>
      </c>
      <c r="U1663">
        <v>1</v>
      </c>
      <c r="V1663" t="s">
        <v>132</v>
      </c>
      <c r="W1663" t="s">
        <v>2306</v>
      </c>
      <c r="X1663">
        <v>8</v>
      </c>
      <c r="Y1663">
        <v>5</v>
      </c>
      <c r="Z1663" t="s">
        <v>2302</v>
      </c>
      <c r="AA1663" t="s">
        <v>2303</v>
      </c>
      <c r="AB1663" t="s">
        <v>96</v>
      </c>
      <c r="AC1663" t="s">
        <v>97</v>
      </c>
      <c r="AD1663" t="s">
        <v>1818</v>
      </c>
      <c r="AG1663" t="s">
        <v>2304</v>
      </c>
      <c r="AH1663">
        <v>0</v>
      </c>
      <c r="AI1663">
        <v>338</v>
      </c>
      <c r="AJ1663">
        <v>59</v>
      </c>
      <c r="AK1663">
        <v>23</v>
      </c>
      <c r="AL1663">
        <v>0.82</v>
      </c>
    </row>
    <row r="1664" spans="1:38" x14ac:dyDescent="0.3">
      <c r="A1664" t="s">
        <v>1813</v>
      </c>
      <c r="B1664">
        <v>123818</v>
      </c>
      <c r="C1664">
        <v>5</v>
      </c>
      <c r="D1664" t="s">
        <v>2300</v>
      </c>
      <c r="E1664" t="s">
        <v>1003</v>
      </c>
      <c r="F1664">
        <v>28</v>
      </c>
      <c r="G1664">
        <v>12.54</v>
      </c>
      <c r="H1664">
        <v>41.46</v>
      </c>
      <c r="I1664">
        <v>9.18</v>
      </c>
      <c r="J1664">
        <v>30.36</v>
      </c>
      <c r="K1664">
        <v>4</v>
      </c>
      <c r="T1664">
        <v>1</v>
      </c>
      <c r="U1664">
        <v>1</v>
      </c>
      <c r="V1664" t="s">
        <v>132</v>
      </c>
      <c r="W1664" t="s">
        <v>2307</v>
      </c>
      <c r="X1664">
        <v>8</v>
      </c>
      <c r="Y1664">
        <v>5</v>
      </c>
      <c r="Z1664" t="s">
        <v>2302</v>
      </c>
      <c r="AA1664" t="s">
        <v>2303</v>
      </c>
      <c r="AB1664" t="s">
        <v>96</v>
      </c>
      <c r="AC1664" t="s">
        <v>97</v>
      </c>
      <c r="AD1664" t="s">
        <v>1818</v>
      </c>
      <c r="AG1664" t="s">
        <v>2304</v>
      </c>
      <c r="AH1664">
        <v>0</v>
      </c>
      <c r="AI1664">
        <v>338</v>
      </c>
      <c r="AJ1664">
        <v>59</v>
      </c>
      <c r="AK1664">
        <v>23</v>
      </c>
      <c r="AL1664">
        <v>0.82</v>
      </c>
    </row>
    <row r="1665" spans="1:38" x14ac:dyDescent="0.3">
      <c r="A1665" t="s">
        <v>1813</v>
      </c>
      <c r="B1665">
        <v>138784</v>
      </c>
      <c r="C1665">
        <v>1</v>
      </c>
      <c r="D1665" t="s">
        <v>2308</v>
      </c>
      <c r="E1665" t="s">
        <v>333</v>
      </c>
      <c r="F1665">
        <v>88</v>
      </c>
      <c r="G1665">
        <v>20.98</v>
      </c>
      <c r="H1665">
        <v>69.38</v>
      </c>
      <c r="I1665">
        <v>16.04</v>
      </c>
      <c r="J1665">
        <v>53.04</v>
      </c>
      <c r="K1665">
        <v>11</v>
      </c>
      <c r="T1665">
        <v>3</v>
      </c>
      <c r="U1665">
        <v>1</v>
      </c>
      <c r="V1665" t="s">
        <v>93</v>
      </c>
      <c r="W1665" t="s">
        <v>453</v>
      </c>
      <c r="X1665">
        <v>20</v>
      </c>
      <c r="Y1665">
        <v>20</v>
      </c>
      <c r="Z1665" t="s">
        <v>2309</v>
      </c>
      <c r="AA1665" t="s">
        <v>2310</v>
      </c>
      <c r="AB1665" t="s">
        <v>96</v>
      </c>
      <c r="AC1665" t="s">
        <v>97</v>
      </c>
      <c r="AD1665" t="s">
        <v>1818</v>
      </c>
      <c r="AG1665" t="s">
        <v>2311</v>
      </c>
      <c r="AH1665">
        <v>0</v>
      </c>
      <c r="AI1665">
        <v>874</v>
      </c>
      <c r="AJ1665">
        <v>75</v>
      </c>
      <c r="AK1665">
        <v>83</v>
      </c>
      <c r="AL1665">
        <v>0.94</v>
      </c>
    </row>
    <row r="1666" spans="1:38" x14ac:dyDescent="0.3">
      <c r="A1666" t="s">
        <v>1813</v>
      </c>
      <c r="B1666">
        <v>138784</v>
      </c>
      <c r="C1666">
        <v>2</v>
      </c>
      <c r="D1666" t="s">
        <v>2308</v>
      </c>
      <c r="E1666" t="s">
        <v>333</v>
      </c>
      <c r="F1666">
        <v>88</v>
      </c>
      <c r="G1666">
        <v>21.36</v>
      </c>
      <c r="H1666">
        <v>70.63</v>
      </c>
      <c r="I1666">
        <v>15.88</v>
      </c>
      <c r="J1666">
        <v>52.52</v>
      </c>
      <c r="K1666">
        <v>11</v>
      </c>
      <c r="T1666">
        <v>3</v>
      </c>
      <c r="U1666">
        <v>1</v>
      </c>
      <c r="V1666" t="s">
        <v>93</v>
      </c>
      <c r="W1666" t="s">
        <v>979</v>
      </c>
      <c r="X1666">
        <v>20</v>
      </c>
      <c r="Y1666">
        <v>20</v>
      </c>
      <c r="Z1666" t="s">
        <v>2309</v>
      </c>
      <c r="AA1666" t="s">
        <v>2310</v>
      </c>
      <c r="AB1666" t="s">
        <v>96</v>
      </c>
      <c r="AC1666" t="s">
        <v>97</v>
      </c>
      <c r="AD1666" t="s">
        <v>1818</v>
      </c>
      <c r="AG1666" t="s">
        <v>2311</v>
      </c>
      <c r="AH1666">
        <v>0</v>
      </c>
      <c r="AI1666">
        <v>874</v>
      </c>
      <c r="AJ1666">
        <v>75</v>
      </c>
      <c r="AK1666">
        <v>83</v>
      </c>
      <c r="AL1666">
        <v>0.94</v>
      </c>
    </row>
    <row r="1667" spans="1:38" x14ac:dyDescent="0.3">
      <c r="A1667" t="s">
        <v>1813</v>
      </c>
      <c r="B1667">
        <v>138784</v>
      </c>
      <c r="C1667">
        <v>3</v>
      </c>
      <c r="D1667" t="s">
        <v>2308</v>
      </c>
      <c r="E1667" t="s">
        <v>333</v>
      </c>
      <c r="F1667">
        <v>88</v>
      </c>
      <c r="G1667">
        <v>21.38</v>
      </c>
      <c r="H1667">
        <v>70.69</v>
      </c>
      <c r="I1667">
        <v>15.96</v>
      </c>
      <c r="J1667">
        <v>52.78</v>
      </c>
      <c r="K1667">
        <v>11</v>
      </c>
      <c r="T1667">
        <v>3</v>
      </c>
      <c r="U1667">
        <v>1</v>
      </c>
      <c r="V1667" t="s">
        <v>93</v>
      </c>
      <c r="W1667" t="s">
        <v>490</v>
      </c>
      <c r="X1667">
        <v>20</v>
      </c>
      <c r="Y1667">
        <v>20</v>
      </c>
      <c r="Z1667" t="s">
        <v>2309</v>
      </c>
      <c r="AA1667" t="s">
        <v>2310</v>
      </c>
      <c r="AB1667" t="s">
        <v>96</v>
      </c>
      <c r="AC1667" t="s">
        <v>97</v>
      </c>
      <c r="AD1667" t="s">
        <v>1818</v>
      </c>
      <c r="AG1667" t="s">
        <v>2311</v>
      </c>
      <c r="AH1667">
        <v>0</v>
      </c>
      <c r="AI1667">
        <v>874</v>
      </c>
      <c r="AJ1667">
        <v>75</v>
      </c>
      <c r="AK1667">
        <v>83</v>
      </c>
      <c r="AL1667">
        <v>0.94</v>
      </c>
    </row>
    <row r="1668" spans="1:38" x14ac:dyDescent="0.3">
      <c r="A1668" t="s">
        <v>1813</v>
      </c>
      <c r="B1668">
        <v>138784</v>
      </c>
      <c r="C1668">
        <v>4</v>
      </c>
      <c r="D1668" t="s">
        <v>2308</v>
      </c>
      <c r="E1668" t="s">
        <v>333</v>
      </c>
      <c r="F1668">
        <v>88</v>
      </c>
      <c r="G1668">
        <v>21.49</v>
      </c>
      <c r="H1668">
        <v>71.06</v>
      </c>
      <c r="I1668">
        <v>16.18</v>
      </c>
      <c r="J1668">
        <v>53.5</v>
      </c>
      <c r="K1668">
        <v>11</v>
      </c>
      <c r="T1668">
        <v>3</v>
      </c>
      <c r="U1668">
        <v>1</v>
      </c>
      <c r="V1668" t="s">
        <v>211</v>
      </c>
      <c r="W1668" t="s">
        <v>460</v>
      </c>
      <c r="X1668">
        <v>20</v>
      </c>
      <c r="Y1668">
        <v>20</v>
      </c>
      <c r="Z1668" t="s">
        <v>2309</v>
      </c>
      <c r="AA1668" t="s">
        <v>2310</v>
      </c>
      <c r="AB1668" t="s">
        <v>96</v>
      </c>
      <c r="AC1668" t="s">
        <v>97</v>
      </c>
      <c r="AD1668" t="s">
        <v>1818</v>
      </c>
      <c r="AG1668" t="s">
        <v>2311</v>
      </c>
      <c r="AH1668">
        <v>0</v>
      </c>
      <c r="AI1668">
        <v>874</v>
      </c>
      <c r="AJ1668">
        <v>75</v>
      </c>
      <c r="AK1668">
        <v>83</v>
      </c>
      <c r="AL1668">
        <v>0.94</v>
      </c>
    </row>
    <row r="1669" spans="1:38" x14ac:dyDescent="0.3">
      <c r="A1669" t="s">
        <v>1813</v>
      </c>
      <c r="B1669">
        <v>138784</v>
      </c>
      <c r="C1669">
        <v>5</v>
      </c>
      <c r="D1669" t="s">
        <v>2308</v>
      </c>
      <c r="E1669" t="s">
        <v>333</v>
      </c>
      <c r="F1669">
        <v>88</v>
      </c>
      <c r="G1669">
        <v>21.5</v>
      </c>
      <c r="H1669">
        <v>71.08</v>
      </c>
      <c r="I1669">
        <v>16.38</v>
      </c>
      <c r="J1669">
        <v>54.17</v>
      </c>
      <c r="K1669">
        <v>11</v>
      </c>
      <c r="T1669">
        <v>3</v>
      </c>
      <c r="U1669">
        <v>1</v>
      </c>
      <c r="V1669" t="s">
        <v>211</v>
      </c>
      <c r="W1669" t="s">
        <v>2127</v>
      </c>
      <c r="X1669">
        <v>20</v>
      </c>
      <c r="Y1669">
        <v>20</v>
      </c>
      <c r="Z1669" t="s">
        <v>2309</v>
      </c>
      <c r="AA1669" t="s">
        <v>2310</v>
      </c>
      <c r="AB1669" t="s">
        <v>96</v>
      </c>
      <c r="AC1669" t="s">
        <v>97</v>
      </c>
      <c r="AD1669" t="s">
        <v>1818</v>
      </c>
      <c r="AG1669" t="s">
        <v>2311</v>
      </c>
      <c r="AH1669">
        <v>0</v>
      </c>
      <c r="AI1669">
        <v>874</v>
      </c>
      <c r="AJ1669">
        <v>75</v>
      </c>
      <c r="AK1669">
        <v>83</v>
      </c>
      <c r="AL1669">
        <v>0.94</v>
      </c>
    </row>
    <row r="1670" spans="1:38" x14ac:dyDescent="0.3">
      <c r="A1670" t="s">
        <v>1813</v>
      </c>
      <c r="B1670">
        <v>138784</v>
      </c>
      <c r="C1670">
        <v>6</v>
      </c>
      <c r="D1670" t="s">
        <v>2308</v>
      </c>
      <c r="E1670" t="s">
        <v>333</v>
      </c>
      <c r="F1670">
        <v>88</v>
      </c>
      <c r="G1670">
        <v>22.3</v>
      </c>
      <c r="H1670">
        <v>73.739999999999995</v>
      </c>
      <c r="I1670">
        <v>16.87</v>
      </c>
      <c r="J1670">
        <v>55.78</v>
      </c>
      <c r="K1670">
        <v>11</v>
      </c>
      <c r="T1670">
        <v>3</v>
      </c>
      <c r="U1670">
        <v>1</v>
      </c>
      <c r="V1670" t="s">
        <v>211</v>
      </c>
      <c r="W1670" t="s">
        <v>903</v>
      </c>
      <c r="X1670">
        <v>20</v>
      </c>
      <c r="Y1670">
        <v>20</v>
      </c>
      <c r="Z1670" t="s">
        <v>2309</v>
      </c>
      <c r="AA1670" t="s">
        <v>2310</v>
      </c>
      <c r="AB1670" t="s">
        <v>96</v>
      </c>
      <c r="AC1670" t="s">
        <v>97</v>
      </c>
      <c r="AD1670" t="s">
        <v>1818</v>
      </c>
      <c r="AG1670" t="s">
        <v>2311</v>
      </c>
      <c r="AH1670">
        <v>0</v>
      </c>
      <c r="AI1670">
        <v>874</v>
      </c>
      <c r="AJ1670">
        <v>75</v>
      </c>
      <c r="AK1670">
        <v>83</v>
      </c>
      <c r="AL1670">
        <v>0.94</v>
      </c>
    </row>
    <row r="1671" spans="1:38" x14ac:dyDescent="0.3">
      <c r="A1671" t="s">
        <v>1813</v>
      </c>
      <c r="B1671">
        <v>138784</v>
      </c>
      <c r="C1671">
        <v>7</v>
      </c>
      <c r="D1671" t="s">
        <v>2308</v>
      </c>
      <c r="E1671" t="s">
        <v>333</v>
      </c>
      <c r="F1671">
        <v>88</v>
      </c>
      <c r="G1671">
        <v>22.34</v>
      </c>
      <c r="H1671">
        <v>73.86</v>
      </c>
      <c r="I1671">
        <v>17.03</v>
      </c>
      <c r="J1671">
        <v>56.31</v>
      </c>
      <c r="K1671">
        <v>11</v>
      </c>
      <c r="T1671">
        <v>3</v>
      </c>
      <c r="U1671">
        <v>1</v>
      </c>
      <c r="V1671" t="s">
        <v>211</v>
      </c>
      <c r="W1671" t="s">
        <v>2312</v>
      </c>
      <c r="X1671">
        <v>20</v>
      </c>
      <c r="Y1671">
        <v>20</v>
      </c>
      <c r="Z1671" t="s">
        <v>2309</v>
      </c>
      <c r="AA1671" t="s">
        <v>2310</v>
      </c>
      <c r="AB1671" t="s">
        <v>96</v>
      </c>
      <c r="AC1671" t="s">
        <v>97</v>
      </c>
      <c r="AD1671" t="s">
        <v>1818</v>
      </c>
      <c r="AG1671" t="s">
        <v>2311</v>
      </c>
      <c r="AH1671">
        <v>0</v>
      </c>
      <c r="AI1671">
        <v>874</v>
      </c>
      <c r="AJ1671">
        <v>75</v>
      </c>
      <c r="AK1671">
        <v>83</v>
      </c>
      <c r="AL1671">
        <v>0.94</v>
      </c>
    </row>
    <row r="1672" spans="1:38" x14ac:dyDescent="0.3">
      <c r="A1672" t="s">
        <v>1813</v>
      </c>
      <c r="B1672">
        <v>138784</v>
      </c>
      <c r="C1672">
        <v>8</v>
      </c>
      <c r="D1672" t="s">
        <v>2308</v>
      </c>
      <c r="E1672" t="s">
        <v>333</v>
      </c>
      <c r="F1672">
        <v>88</v>
      </c>
      <c r="G1672">
        <v>22.83</v>
      </c>
      <c r="H1672">
        <v>75.5</v>
      </c>
      <c r="I1672">
        <v>17.440000000000001</v>
      </c>
      <c r="J1672">
        <v>57.68</v>
      </c>
      <c r="K1672">
        <v>11</v>
      </c>
      <c r="T1672">
        <v>3</v>
      </c>
      <c r="U1672">
        <v>1</v>
      </c>
      <c r="V1672" t="s">
        <v>211</v>
      </c>
      <c r="W1672" t="s">
        <v>882</v>
      </c>
      <c r="X1672">
        <v>20</v>
      </c>
      <c r="Y1672">
        <v>20</v>
      </c>
      <c r="Z1672" t="s">
        <v>2309</v>
      </c>
      <c r="AA1672" t="s">
        <v>2310</v>
      </c>
      <c r="AB1672" t="s">
        <v>96</v>
      </c>
      <c r="AC1672" t="s">
        <v>97</v>
      </c>
      <c r="AD1672" t="s">
        <v>1818</v>
      </c>
      <c r="AG1672" t="s">
        <v>2311</v>
      </c>
      <c r="AH1672">
        <v>0</v>
      </c>
      <c r="AI1672">
        <v>874</v>
      </c>
      <c r="AJ1672">
        <v>75</v>
      </c>
      <c r="AK1672">
        <v>83</v>
      </c>
      <c r="AL1672">
        <v>0.94</v>
      </c>
    </row>
    <row r="1673" spans="1:38" x14ac:dyDescent="0.3">
      <c r="A1673" t="s">
        <v>1813</v>
      </c>
      <c r="B1673">
        <v>119036</v>
      </c>
      <c r="C1673">
        <v>1</v>
      </c>
      <c r="D1673" t="s">
        <v>2313</v>
      </c>
      <c r="E1673" t="s">
        <v>245</v>
      </c>
      <c r="F1673">
        <v>12</v>
      </c>
      <c r="G1673">
        <v>10.050000000000001</v>
      </c>
      <c r="H1673">
        <v>33.25</v>
      </c>
      <c r="I1673">
        <v>8.49</v>
      </c>
      <c r="J1673">
        <v>28.08</v>
      </c>
      <c r="K1673">
        <v>2</v>
      </c>
      <c r="T1673">
        <v>1</v>
      </c>
      <c r="U1673">
        <v>1</v>
      </c>
      <c r="V1673" t="s">
        <v>93</v>
      </c>
      <c r="W1673">
        <v>33</v>
      </c>
      <c r="X1673">
        <v>5</v>
      </c>
      <c r="Y1673">
        <v>5</v>
      </c>
      <c r="Z1673" t="s">
        <v>2314</v>
      </c>
      <c r="AA1673" t="s">
        <v>2315</v>
      </c>
      <c r="AB1673" t="s">
        <v>96</v>
      </c>
      <c r="AC1673" t="s">
        <v>97</v>
      </c>
      <c r="AD1673" t="s">
        <v>1818</v>
      </c>
      <c r="AG1673" t="s">
        <v>2316</v>
      </c>
      <c r="AH1673">
        <v>0</v>
      </c>
      <c r="AI1673">
        <v>303</v>
      </c>
      <c r="AJ1673">
        <v>78</v>
      </c>
      <c r="AK1673">
        <v>4</v>
      </c>
      <c r="AL1673">
        <v>0.33</v>
      </c>
    </row>
    <row r="1674" spans="1:38" x14ac:dyDescent="0.3">
      <c r="A1674" t="s">
        <v>1813</v>
      </c>
      <c r="B1674">
        <v>119036</v>
      </c>
      <c r="C1674">
        <v>2</v>
      </c>
      <c r="D1674" t="s">
        <v>2313</v>
      </c>
      <c r="E1674" t="s">
        <v>245</v>
      </c>
      <c r="F1674">
        <v>12</v>
      </c>
      <c r="G1674">
        <v>11.49</v>
      </c>
      <c r="H1674">
        <v>37.99</v>
      </c>
      <c r="I1674">
        <v>9.6999999999999993</v>
      </c>
      <c r="J1674">
        <v>32.090000000000003</v>
      </c>
      <c r="K1674">
        <v>3</v>
      </c>
      <c r="T1674">
        <v>1</v>
      </c>
      <c r="U1674">
        <v>1</v>
      </c>
      <c r="V1674" t="s">
        <v>93</v>
      </c>
      <c r="W1674">
        <v>37</v>
      </c>
      <c r="X1674">
        <v>5</v>
      </c>
      <c r="Y1674">
        <v>5</v>
      </c>
      <c r="Z1674" t="s">
        <v>2314</v>
      </c>
      <c r="AA1674" t="s">
        <v>2315</v>
      </c>
      <c r="AB1674" t="s">
        <v>96</v>
      </c>
      <c r="AC1674" t="s">
        <v>97</v>
      </c>
      <c r="AD1674" t="s">
        <v>1818</v>
      </c>
      <c r="AG1674" t="s">
        <v>2316</v>
      </c>
      <c r="AH1674">
        <v>0</v>
      </c>
      <c r="AI1674">
        <v>303</v>
      </c>
      <c r="AJ1674">
        <v>78</v>
      </c>
      <c r="AK1674">
        <v>4</v>
      </c>
      <c r="AL1674">
        <v>0.33</v>
      </c>
    </row>
    <row r="1675" spans="1:38" x14ac:dyDescent="0.3">
      <c r="A1675" t="s">
        <v>1813</v>
      </c>
      <c r="B1675">
        <v>119036</v>
      </c>
      <c r="C1675">
        <v>3</v>
      </c>
      <c r="D1675" t="s">
        <v>2313</v>
      </c>
      <c r="E1675" t="s">
        <v>245</v>
      </c>
      <c r="F1675">
        <v>12</v>
      </c>
      <c r="G1675">
        <v>12.39</v>
      </c>
      <c r="H1675">
        <v>40.98</v>
      </c>
      <c r="I1675">
        <v>10.46</v>
      </c>
      <c r="J1675">
        <v>34.61</v>
      </c>
      <c r="K1675">
        <v>3</v>
      </c>
      <c r="T1675">
        <v>1</v>
      </c>
      <c r="U1675">
        <v>1</v>
      </c>
      <c r="V1675" t="s">
        <v>93</v>
      </c>
      <c r="W1675">
        <v>40</v>
      </c>
      <c r="X1675">
        <v>5</v>
      </c>
      <c r="Y1675">
        <v>5</v>
      </c>
      <c r="Z1675" t="s">
        <v>2314</v>
      </c>
      <c r="AA1675" t="s">
        <v>2315</v>
      </c>
      <c r="AB1675" t="s">
        <v>96</v>
      </c>
      <c r="AC1675" t="s">
        <v>97</v>
      </c>
      <c r="AD1675" t="s">
        <v>1818</v>
      </c>
      <c r="AG1675" t="s">
        <v>2316</v>
      </c>
      <c r="AH1675">
        <v>0</v>
      </c>
      <c r="AI1675">
        <v>303</v>
      </c>
      <c r="AJ1675">
        <v>78</v>
      </c>
      <c r="AK1675">
        <v>4</v>
      </c>
      <c r="AL1675">
        <v>0.33</v>
      </c>
    </row>
    <row r="1676" spans="1:38" x14ac:dyDescent="0.3">
      <c r="A1676" t="s">
        <v>1813</v>
      </c>
      <c r="B1676">
        <v>119036</v>
      </c>
      <c r="C1676">
        <v>4</v>
      </c>
      <c r="D1676" t="s">
        <v>2313</v>
      </c>
      <c r="E1676" t="s">
        <v>245</v>
      </c>
      <c r="F1676">
        <v>12</v>
      </c>
      <c r="G1676">
        <v>16.11</v>
      </c>
      <c r="H1676">
        <v>53.27</v>
      </c>
      <c r="I1676">
        <v>13.1</v>
      </c>
      <c r="J1676">
        <v>43.33</v>
      </c>
      <c r="K1676">
        <v>1</v>
      </c>
      <c r="T1676">
        <v>1</v>
      </c>
      <c r="U1676">
        <v>1</v>
      </c>
      <c r="V1676" t="s">
        <v>93</v>
      </c>
      <c r="W1676">
        <v>53</v>
      </c>
      <c r="X1676">
        <v>5</v>
      </c>
      <c r="Y1676">
        <v>5</v>
      </c>
      <c r="Z1676" t="s">
        <v>2314</v>
      </c>
      <c r="AA1676" t="s">
        <v>2315</v>
      </c>
      <c r="AB1676" t="s">
        <v>96</v>
      </c>
      <c r="AC1676" t="s">
        <v>97</v>
      </c>
      <c r="AD1676" t="s">
        <v>1818</v>
      </c>
      <c r="AG1676" t="s">
        <v>2316</v>
      </c>
      <c r="AH1676">
        <v>0</v>
      </c>
      <c r="AI1676">
        <v>303</v>
      </c>
      <c r="AJ1676">
        <v>78</v>
      </c>
      <c r="AK1676">
        <v>4</v>
      </c>
      <c r="AL1676">
        <v>0.33</v>
      </c>
    </row>
    <row r="1677" spans="1:38" x14ac:dyDescent="0.3">
      <c r="A1677" t="s">
        <v>1813</v>
      </c>
      <c r="B1677">
        <v>119036</v>
      </c>
      <c r="C1677">
        <v>5</v>
      </c>
      <c r="D1677" t="s">
        <v>2313</v>
      </c>
      <c r="E1677" t="s">
        <v>245</v>
      </c>
      <c r="F1677">
        <v>12</v>
      </c>
      <c r="G1677">
        <v>20.11</v>
      </c>
      <c r="H1677">
        <v>66.489999999999995</v>
      </c>
      <c r="I1677">
        <v>16.350000000000001</v>
      </c>
      <c r="J1677">
        <v>54.08</v>
      </c>
      <c r="K1677">
        <v>3</v>
      </c>
      <c r="T1677">
        <v>1</v>
      </c>
      <c r="U1677">
        <v>1</v>
      </c>
      <c r="V1677" t="s">
        <v>93</v>
      </c>
      <c r="W1677">
        <v>66</v>
      </c>
      <c r="X1677">
        <v>5</v>
      </c>
      <c r="Y1677">
        <v>5</v>
      </c>
      <c r="Z1677" t="s">
        <v>2314</v>
      </c>
      <c r="AA1677" t="s">
        <v>2315</v>
      </c>
      <c r="AB1677" t="s">
        <v>96</v>
      </c>
      <c r="AC1677" t="s">
        <v>97</v>
      </c>
      <c r="AD1677" t="s">
        <v>1818</v>
      </c>
      <c r="AG1677" t="s">
        <v>2316</v>
      </c>
      <c r="AH1677">
        <v>0</v>
      </c>
      <c r="AI1677">
        <v>303</v>
      </c>
      <c r="AJ1677">
        <v>78</v>
      </c>
      <c r="AK1677">
        <v>4</v>
      </c>
      <c r="AL1677">
        <v>0.33</v>
      </c>
    </row>
    <row r="1678" spans="1:38" x14ac:dyDescent="0.3">
      <c r="A1678" t="s">
        <v>1813</v>
      </c>
      <c r="B1678">
        <v>105492</v>
      </c>
      <c r="C1678">
        <v>1</v>
      </c>
      <c r="D1678" t="s">
        <v>2317</v>
      </c>
      <c r="E1678" t="s">
        <v>2318</v>
      </c>
      <c r="F1678">
        <v>46</v>
      </c>
      <c r="G1678">
        <v>24.52</v>
      </c>
      <c r="H1678">
        <v>81.06</v>
      </c>
      <c r="I1678">
        <v>19.21</v>
      </c>
      <c r="J1678">
        <v>63.53</v>
      </c>
      <c r="K1678">
        <v>6</v>
      </c>
      <c r="T1678">
        <v>2</v>
      </c>
      <c r="U1678">
        <v>1</v>
      </c>
      <c r="V1678" t="s">
        <v>93</v>
      </c>
      <c r="W1678">
        <v>81</v>
      </c>
      <c r="X1678">
        <v>6</v>
      </c>
      <c r="Y1678">
        <v>5</v>
      </c>
      <c r="Z1678" t="s">
        <v>2319</v>
      </c>
      <c r="AA1678" t="s">
        <v>2320</v>
      </c>
      <c r="AB1678" t="s">
        <v>96</v>
      </c>
      <c r="AC1678" t="s">
        <v>97</v>
      </c>
      <c r="AD1678" t="s">
        <v>1818</v>
      </c>
      <c r="AG1678" t="s">
        <v>2321</v>
      </c>
      <c r="AH1678">
        <v>0</v>
      </c>
      <c r="AI1678">
        <v>248</v>
      </c>
      <c r="AJ1678">
        <v>43</v>
      </c>
      <c r="AK1678">
        <v>46</v>
      </c>
      <c r="AL1678">
        <v>1</v>
      </c>
    </row>
    <row r="1679" spans="1:38" x14ac:dyDescent="0.3">
      <c r="A1679" t="s">
        <v>1813</v>
      </c>
      <c r="B1679">
        <v>105492</v>
      </c>
      <c r="C1679">
        <v>2</v>
      </c>
      <c r="D1679" t="s">
        <v>2317</v>
      </c>
      <c r="E1679" t="s">
        <v>2318</v>
      </c>
      <c r="F1679">
        <v>46</v>
      </c>
      <c r="G1679">
        <v>26.61</v>
      </c>
      <c r="H1679">
        <v>87.98</v>
      </c>
      <c r="I1679">
        <v>20.89</v>
      </c>
      <c r="J1679">
        <v>69.06</v>
      </c>
      <c r="K1679">
        <v>32</v>
      </c>
      <c r="T1679">
        <v>3</v>
      </c>
      <c r="U1679">
        <v>2</v>
      </c>
      <c r="V1679" t="s">
        <v>211</v>
      </c>
      <c r="W1679">
        <v>87</v>
      </c>
      <c r="X1679">
        <v>6</v>
      </c>
      <c r="Y1679">
        <v>5</v>
      </c>
      <c r="Z1679" t="s">
        <v>2319</v>
      </c>
      <c r="AA1679" t="s">
        <v>2320</v>
      </c>
      <c r="AB1679" t="s">
        <v>96</v>
      </c>
      <c r="AC1679" t="s">
        <v>97</v>
      </c>
      <c r="AD1679" t="s">
        <v>1818</v>
      </c>
      <c r="AG1679" t="s">
        <v>2321</v>
      </c>
      <c r="AH1679">
        <v>0</v>
      </c>
      <c r="AI1679">
        <v>248</v>
      </c>
      <c r="AJ1679">
        <v>43</v>
      </c>
      <c r="AK1679">
        <v>46</v>
      </c>
      <c r="AL1679">
        <v>1</v>
      </c>
    </row>
    <row r="1680" spans="1:38" x14ac:dyDescent="0.3">
      <c r="A1680" t="s">
        <v>1813</v>
      </c>
      <c r="B1680">
        <v>105492</v>
      </c>
      <c r="C1680">
        <v>3</v>
      </c>
      <c r="D1680" t="s">
        <v>2317</v>
      </c>
      <c r="E1680" t="s">
        <v>2318</v>
      </c>
      <c r="F1680">
        <v>46</v>
      </c>
      <c r="G1680">
        <v>32.01</v>
      </c>
      <c r="H1680">
        <v>105.85</v>
      </c>
      <c r="I1680">
        <v>24.79</v>
      </c>
      <c r="J1680">
        <v>81.97</v>
      </c>
      <c r="K1680">
        <v>6</v>
      </c>
      <c r="T1680">
        <v>3</v>
      </c>
      <c r="U1680">
        <v>2</v>
      </c>
      <c r="V1680" t="s">
        <v>211</v>
      </c>
      <c r="W1680" t="s">
        <v>551</v>
      </c>
      <c r="X1680">
        <v>6</v>
      </c>
      <c r="Y1680">
        <v>5</v>
      </c>
      <c r="Z1680" t="s">
        <v>2319</v>
      </c>
      <c r="AA1680" t="s">
        <v>2320</v>
      </c>
      <c r="AB1680" t="s">
        <v>96</v>
      </c>
      <c r="AC1680" t="s">
        <v>97</v>
      </c>
      <c r="AD1680" t="s">
        <v>1818</v>
      </c>
      <c r="AG1680" t="s">
        <v>2321</v>
      </c>
      <c r="AH1680">
        <v>0</v>
      </c>
      <c r="AI1680">
        <v>248</v>
      </c>
      <c r="AJ1680">
        <v>43</v>
      </c>
      <c r="AK1680">
        <v>46</v>
      </c>
      <c r="AL1680">
        <v>1</v>
      </c>
    </row>
    <row r="1681" spans="1:38" x14ac:dyDescent="0.3">
      <c r="A1681" t="s">
        <v>1813</v>
      </c>
      <c r="B1681">
        <v>105492</v>
      </c>
      <c r="C1681">
        <v>4</v>
      </c>
      <c r="D1681" t="s">
        <v>2317</v>
      </c>
      <c r="E1681" t="s">
        <v>2318</v>
      </c>
      <c r="F1681">
        <v>46</v>
      </c>
      <c r="G1681">
        <v>32.369999999999997</v>
      </c>
      <c r="H1681">
        <v>107.02</v>
      </c>
      <c r="I1681">
        <v>25.24</v>
      </c>
      <c r="J1681">
        <v>83.44</v>
      </c>
      <c r="K1681">
        <v>2</v>
      </c>
      <c r="T1681">
        <v>3</v>
      </c>
      <c r="U1681">
        <v>2</v>
      </c>
      <c r="V1681" t="s">
        <v>211</v>
      </c>
      <c r="W1681" t="s">
        <v>2322</v>
      </c>
      <c r="X1681">
        <v>6</v>
      </c>
      <c r="Y1681">
        <v>5</v>
      </c>
      <c r="Z1681" t="s">
        <v>2319</v>
      </c>
      <c r="AA1681" t="s">
        <v>2320</v>
      </c>
      <c r="AB1681" t="s">
        <v>96</v>
      </c>
      <c r="AC1681" t="s">
        <v>97</v>
      </c>
      <c r="AD1681" t="s">
        <v>1818</v>
      </c>
      <c r="AG1681" t="s">
        <v>2321</v>
      </c>
      <c r="AH1681">
        <v>0</v>
      </c>
      <c r="AI1681">
        <v>248</v>
      </c>
      <c r="AJ1681">
        <v>43</v>
      </c>
      <c r="AK1681">
        <v>46</v>
      </c>
      <c r="AL1681">
        <v>1</v>
      </c>
    </row>
    <row r="1682" spans="1:38" x14ac:dyDescent="0.3">
      <c r="A1682" t="s">
        <v>1813</v>
      </c>
      <c r="B1682">
        <v>120645</v>
      </c>
      <c r="C1682">
        <v>1</v>
      </c>
      <c r="D1682" t="s">
        <v>2323</v>
      </c>
      <c r="E1682" t="s">
        <v>732</v>
      </c>
      <c r="F1682">
        <v>32</v>
      </c>
      <c r="G1682">
        <v>18.55</v>
      </c>
      <c r="H1682">
        <v>61.34</v>
      </c>
      <c r="I1682">
        <v>13.82</v>
      </c>
      <c r="J1682">
        <v>45.71</v>
      </c>
      <c r="K1682">
        <v>13</v>
      </c>
      <c r="T1682">
        <v>2</v>
      </c>
      <c r="U1682">
        <v>1</v>
      </c>
      <c r="V1682" t="s">
        <v>211</v>
      </c>
      <c r="W1682" t="s">
        <v>693</v>
      </c>
      <c r="X1682">
        <v>13</v>
      </c>
      <c r="Y1682">
        <v>13</v>
      </c>
      <c r="Z1682" t="s">
        <v>2324</v>
      </c>
      <c r="AA1682" t="s">
        <v>2325</v>
      </c>
      <c r="AB1682" t="s">
        <v>96</v>
      </c>
      <c r="AC1682" t="s">
        <v>97</v>
      </c>
      <c r="AD1682" t="s">
        <v>1818</v>
      </c>
      <c r="AG1682" t="s">
        <v>2326</v>
      </c>
      <c r="AH1682">
        <v>0</v>
      </c>
      <c r="AI1682">
        <v>571</v>
      </c>
      <c r="AJ1682">
        <v>69</v>
      </c>
      <c r="AK1682">
        <v>22</v>
      </c>
      <c r="AL1682">
        <v>0.69</v>
      </c>
    </row>
    <row r="1683" spans="1:38" x14ac:dyDescent="0.3">
      <c r="A1683" t="s">
        <v>1813</v>
      </c>
      <c r="B1683">
        <v>120645</v>
      </c>
      <c r="C1683">
        <v>2</v>
      </c>
      <c r="D1683" t="s">
        <v>2323</v>
      </c>
      <c r="E1683" t="s">
        <v>732</v>
      </c>
      <c r="F1683">
        <v>32</v>
      </c>
      <c r="G1683">
        <v>18.86</v>
      </c>
      <c r="H1683">
        <v>62.35</v>
      </c>
      <c r="I1683">
        <v>14.23</v>
      </c>
      <c r="J1683">
        <v>47.06</v>
      </c>
      <c r="K1683">
        <v>13</v>
      </c>
      <c r="T1683">
        <v>2</v>
      </c>
      <c r="U1683">
        <v>1</v>
      </c>
      <c r="V1683" t="s">
        <v>211</v>
      </c>
      <c r="W1683" t="s">
        <v>848</v>
      </c>
      <c r="X1683">
        <v>13</v>
      </c>
      <c r="Y1683">
        <v>13</v>
      </c>
      <c r="Z1683" t="s">
        <v>2324</v>
      </c>
      <c r="AA1683" t="s">
        <v>2325</v>
      </c>
      <c r="AB1683" t="s">
        <v>96</v>
      </c>
      <c r="AC1683" t="s">
        <v>97</v>
      </c>
      <c r="AD1683" t="s">
        <v>1818</v>
      </c>
      <c r="AG1683" t="s">
        <v>2326</v>
      </c>
      <c r="AH1683">
        <v>0</v>
      </c>
      <c r="AI1683">
        <v>571</v>
      </c>
      <c r="AJ1683">
        <v>69</v>
      </c>
      <c r="AK1683">
        <v>22</v>
      </c>
      <c r="AL1683">
        <v>0.69</v>
      </c>
    </row>
    <row r="1684" spans="1:38" x14ac:dyDescent="0.3">
      <c r="A1684" t="s">
        <v>1813</v>
      </c>
      <c r="B1684">
        <v>120645</v>
      </c>
      <c r="C1684">
        <v>3</v>
      </c>
      <c r="D1684" t="s">
        <v>2323</v>
      </c>
      <c r="E1684" t="s">
        <v>732</v>
      </c>
      <c r="F1684">
        <v>32</v>
      </c>
      <c r="G1684">
        <v>18.809999999999999</v>
      </c>
      <c r="H1684">
        <v>62.19</v>
      </c>
      <c r="I1684">
        <v>14.02</v>
      </c>
      <c r="J1684">
        <v>46.35</v>
      </c>
      <c r="K1684">
        <v>4</v>
      </c>
      <c r="T1684">
        <v>2</v>
      </c>
      <c r="U1684">
        <v>1</v>
      </c>
      <c r="V1684" t="s">
        <v>211</v>
      </c>
      <c r="W1684" t="s">
        <v>512</v>
      </c>
      <c r="X1684">
        <v>13</v>
      </c>
      <c r="Y1684">
        <v>13</v>
      </c>
      <c r="Z1684" t="s">
        <v>2324</v>
      </c>
      <c r="AA1684" t="s">
        <v>2325</v>
      </c>
      <c r="AB1684" t="s">
        <v>96</v>
      </c>
      <c r="AC1684" t="s">
        <v>97</v>
      </c>
      <c r="AD1684" t="s">
        <v>1818</v>
      </c>
      <c r="AG1684" t="s">
        <v>2326</v>
      </c>
      <c r="AH1684">
        <v>0</v>
      </c>
      <c r="AI1684">
        <v>571</v>
      </c>
      <c r="AJ1684">
        <v>69</v>
      </c>
      <c r="AK1684">
        <v>22</v>
      </c>
      <c r="AL1684">
        <v>0.69</v>
      </c>
    </row>
    <row r="1685" spans="1:38" x14ac:dyDescent="0.3">
      <c r="A1685" t="s">
        <v>1813</v>
      </c>
      <c r="B1685">
        <v>120645</v>
      </c>
      <c r="C1685">
        <v>4</v>
      </c>
      <c r="D1685" t="s">
        <v>2323</v>
      </c>
      <c r="E1685" t="s">
        <v>732</v>
      </c>
      <c r="F1685">
        <v>32</v>
      </c>
      <c r="G1685">
        <v>18.8</v>
      </c>
      <c r="H1685">
        <v>62.17</v>
      </c>
      <c r="I1685">
        <v>13.99</v>
      </c>
      <c r="J1685">
        <v>46.25</v>
      </c>
      <c r="K1685">
        <v>2</v>
      </c>
      <c r="T1685">
        <v>2</v>
      </c>
      <c r="U1685">
        <v>1</v>
      </c>
      <c r="V1685" t="s">
        <v>211</v>
      </c>
      <c r="W1685" t="s">
        <v>255</v>
      </c>
      <c r="X1685">
        <v>13</v>
      </c>
      <c r="Y1685">
        <v>13</v>
      </c>
      <c r="Z1685" t="s">
        <v>2324</v>
      </c>
      <c r="AA1685" t="s">
        <v>2325</v>
      </c>
      <c r="AB1685" t="s">
        <v>96</v>
      </c>
      <c r="AC1685" t="s">
        <v>97</v>
      </c>
      <c r="AD1685" t="s">
        <v>1818</v>
      </c>
      <c r="AG1685" t="s">
        <v>2326</v>
      </c>
      <c r="AH1685">
        <v>0</v>
      </c>
      <c r="AI1685">
        <v>571</v>
      </c>
      <c r="AJ1685">
        <v>69</v>
      </c>
      <c r="AK1685">
        <v>22</v>
      </c>
      <c r="AL1685">
        <v>0.69</v>
      </c>
    </row>
    <row r="1686" spans="1:38" x14ac:dyDescent="0.3">
      <c r="A1686" t="s">
        <v>1813</v>
      </c>
      <c r="B1686">
        <v>122432</v>
      </c>
      <c r="C1686">
        <v>1</v>
      </c>
      <c r="D1686" t="s">
        <v>2327</v>
      </c>
      <c r="E1686" t="s">
        <v>292</v>
      </c>
      <c r="F1686">
        <v>3</v>
      </c>
      <c r="G1686">
        <v>19.98</v>
      </c>
      <c r="H1686">
        <v>66.05</v>
      </c>
      <c r="I1686">
        <v>16.260000000000002</v>
      </c>
      <c r="J1686">
        <v>53.77</v>
      </c>
      <c r="K1686">
        <v>1</v>
      </c>
      <c r="T1686">
        <v>3</v>
      </c>
      <c r="U1686">
        <v>1</v>
      </c>
      <c r="V1686" t="s">
        <v>93</v>
      </c>
      <c r="W1686">
        <v>66</v>
      </c>
      <c r="X1686">
        <v>2</v>
      </c>
      <c r="Y1686">
        <v>2</v>
      </c>
      <c r="Z1686" t="s">
        <v>2328</v>
      </c>
      <c r="AA1686" t="s">
        <v>2329</v>
      </c>
      <c r="AB1686" t="s">
        <v>96</v>
      </c>
      <c r="AC1686" t="s">
        <v>97</v>
      </c>
      <c r="AD1686" t="s">
        <v>1818</v>
      </c>
      <c r="AG1686" t="s">
        <v>2330</v>
      </c>
      <c r="AH1686">
        <v>0</v>
      </c>
      <c r="AI1686">
        <v>499</v>
      </c>
      <c r="AJ1686">
        <v>58</v>
      </c>
      <c r="AK1686">
        <v>3</v>
      </c>
      <c r="AL1686">
        <v>1</v>
      </c>
    </row>
    <row r="1687" spans="1:38" x14ac:dyDescent="0.3">
      <c r="A1687" t="s">
        <v>1813</v>
      </c>
      <c r="B1687">
        <v>122432</v>
      </c>
      <c r="C1687">
        <v>2</v>
      </c>
      <c r="D1687" t="s">
        <v>2327</v>
      </c>
      <c r="E1687" t="s">
        <v>292</v>
      </c>
      <c r="F1687">
        <v>3</v>
      </c>
      <c r="G1687">
        <v>20.73</v>
      </c>
      <c r="H1687">
        <v>68.540000000000006</v>
      </c>
      <c r="I1687">
        <v>16.87</v>
      </c>
      <c r="J1687">
        <v>55.8</v>
      </c>
      <c r="K1687">
        <v>1</v>
      </c>
      <c r="T1687">
        <v>3</v>
      </c>
      <c r="U1687">
        <v>1</v>
      </c>
      <c r="V1687" t="s">
        <v>93</v>
      </c>
      <c r="W1687" t="s">
        <v>226</v>
      </c>
      <c r="X1687">
        <v>2</v>
      </c>
      <c r="Y1687">
        <v>2</v>
      </c>
      <c r="Z1687" t="s">
        <v>2328</v>
      </c>
      <c r="AA1687" t="s">
        <v>2329</v>
      </c>
      <c r="AB1687" t="s">
        <v>96</v>
      </c>
      <c r="AC1687" t="s">
        <v>97</v>
      </c>
      <c r="AD1687" t="s">
        <v>1818</v>
      </c>
      <c r="AG1687" t="s">
        <v>2330</v>
      </c>
      <c r="AH1687">
        <v>0</v>
      </c>
      <c r="AI1687">
        <v>499</v>
      </c>
      <c r="AJ1687">
        <v>58</v>
      </c>
      <c r="AK1687">
        <v>3</v>
      </c>
      <c r="AL1687">
        <v>1</v>
      </c>
    </row>
    <row r="1688" spans="1:38" x14ac:dyDescent="0.3">
      <c r="A1688" t="s">
        <v>1813</v>
      </c>
      <c r="B1688">
        <v>122432</v>
      </c>
      <c r="C1688">
        <v>3</v>
      </c>
      <c r="D1688" t="s">
        <v>2327</v>
      </c>
      <c r="E1688" t="s">
        <v>292</v>
      </c>
      <c r="F1688">
        <v>3</v>
      </c>
      <c r="G1688">
        <v>21</v>
      </c>
      <c r="H1688">
        <v>69.430000000000007</v>
      </c>
      <c r="I1688">
        <v>17.100000000000001</v>
      </c>
      <c r="J1688">
        <v>56.53</v>
      </c>
      <c r="K1688">
        <v>1</v>
      </c>
      <c r="T1688">
        <v>3</v>
      </c>
      <c r="U1688">
        <v>1</v>
      </c>
      <c r="V1688" t="s">
        <v>93</v>
      </c>
      <c r="W1688" t="s">
        <v>381</v>
      </c>
      <c r="X1688">
        <v>2</v>
      </c>
      <c r="Y1688">
        <v>2</v>
      </c>
      <c r="Z1688" t="s">
        <v>2328</v>
      </c>
      <c r="AA1688" t="s">
        <v>2329</v>
      </c>
      <c r="AB1688" t="s">
        <v>96</v>
      </c>
      <c r="AC1688" t="s">
        <v>97</v>
      </c>
      <c r="AD1688" t="s">
        <v>1818</v>
      </c>
      <c r="AG1688" t="s">
        <v>2330</v>
      </c>
      <c r="AH1688">
        <v>0</v>
      </c>
      <c r="AI1688">
        <v>499</v>
      </c>
      <c r="AJ1688">
        <v>58</v>
      </c>
      <c r="AK1688">
        <v>3</v>
      </c>
      <c r="AL1688">
        <v>1</v>
      </c>
    </row>
    <row r="1689" spans="1:38" x14ac:dyDescent="0.3">
      <c r="A1689" t="s">
        <v>1813</v>
      </c>
      <c r="B1689">
        <v>127517</v>
      </c>
      <c r="C1689">
        <v>1</v>
      </c>
      <c r="D1689" t="s">
        <v>2331</v>
      </c>
      <c r="E1689" t="s">
        <v>397</v>
      </c>
      <c r="F1689">
        <v>10</v>
      </c>
      <c r="G1689">
        <v>18.079999999999998</v>
      </c>
      <c r="H1689">
        <v>59.77</v>
      </c>
      <c r="I1689">
        <v>14.57</v>
      </c>
      <c r="J1689">
        <v>48.18</v>
      </c>
      <c r="K1689">
        <v>3</v>
      </c>
      <c r="T1689">
        <v>2</v>
      </c>
      <c r="U1689">
        <v>1</v>
      </c>
      <c r="V1689" t="s">
        <v>93</v>
      </c>
      <c r="W1689">
        <v>59</v>
      </c>
      <c r="X1689">
        <v>10</v>
      </c>
      <c r="Y1689">
        <v>10</v>
      </c>
      <c r="Z1689" t="s">
        <v>2332</v>
      </c>
      <c r="AA1689" t="s">
        <v>2333</v>
      </c>
      <c r="AB1689" t="s">
        <v>96</v>
      </c>
      <c r="AC1689" t="s">
        <v>97</v>
      </c>
      <c r="AD1689" t="s">
        <v>1818</v>
      </c>
      <c r="AG1689" t="s">
        <v>2334</v>
      </c>
      <c r="AH1689">
        <v>0</v>
      </c>
      <c r="AI1689">
        <v>681</v>
      </c>
      <c r="AJ1689">
        <v>79</v>
      </c>
      <c r="AK1689">
        <v>8</v>
      </c>
      <c r="AL1689">
        <v>0.8</v>
      </c>
    </row>
    <row r="1690" spans="1:38" x14ac:dyDescent="0.3">
      <c r="A1690" t="s">
        <v>1813</v>
      </c>
      <c r="B1690">
        <v>127517</v>
      </c>
      <c r="C1690">
        <v>2</v>
      </c>
      <c r="D1690" t="s">
        <v>2331</v>
      </c>
      <c r="E1690" t="s">
        <v>397</v>
      </c>
      <c r="F1690">
        <v>10</v>
      </c>
      <c r="G1690">
        <v>18.559999999999999</v>
      </c>
      <c r="H1690">
        <v>61.36</v>
      </c>
      <c r="I1690">
        <v>15.01</v>
      </c>
      <c r="J1690">
        <v>49.62</v>
      </c>
      <c r="K1690">
        <v>3</v>
      </c>
      <c r="T1690">
        <v>2</v>
      </c>
      <c r="U1690">
        <v>1</v>
      </c>
      <c r="V1690" t="s">
        <v>93</v>
      </c>
      <c r="W1690" t="s">
        <v>697</v>
      </c>
      <c r="X1690">
        <v>10</v>
      </c>
      <c r="Y1690">
        <v>10</v>
      </c>
      <c r="Z1690" t="s">
        <v>2332</v>
      </c>
      <c r="AA1690" t="s">
        <v>2333</v>
      </c>
      <c r="AB1690" t="s">
        <v>96</v>
      </c>
      <c r="AC1690" t="s">
        <v>97</v>
      </c>
      <c r="AD1690" t="s">
        <v>1818</v>
      </c>
      <c r="AG1690" t="s">
        <v>2334</v>
      </c>
      <c r="AH1690">
        <v>0</v>
      </c>
      <c r="AI1690">
        <v>681</v>
      </c>
      <c r="AJ1690">
        <v>79</v>
      </c>
      <c r="AK1690">
        <v>8</v>
      </c>
      <c r="AL1690">
        <v>0.8</v>
      </c>
    </row>
    <row r="1691" spans="1:38" x14ac:dyDescent="0.3">
      <c r="A1691" t="s">
        <v>1813</v>
      </c>
      <c r="B1691">
        <v>127517</v>
      </c>
      <c r="C1691">
        <v>3</v>
      </c>
      <c r="D1691" t="s">
        <v>2331</v>
      </c>
      <c r="E1691" t="s">
        <v>397</v>
      </c>
      <c r="F1691">
        <v>10</v>
      </c>
      <c r="G1691">
        <v>18.57</v>
      </c>
      <c r="H1691">
        <v>61.41</v>
      </c>
      <c r="I1691">
        <v>15</v>
      </c>
      <c r="J1691">
        <v>49.6</v>
      </c>
      <c r="K1691">
        <v>2</v>
      </c>
      <c r="T1691">
        <v>2</v>
      </c>
      <c r="U1691">
        <v>1</v>
      </c>
      <c r="V1691" t="s">
        <v>93</v>
      </c>
      <c r="W1691" t="s">
        <v>693</v>
      </c>
      <c r="X1691">
        <v>10</v>
      </c>
      <c r="Y1691">
        <v>10</v>
      </c>
      <c r="Z1691" t="s">
        <v>2332</v>
      </c>
      <c r="AA1691" t="s">
        <v>2333</v>
      </c>
      <c r="AB1691" t="s">
        <v>96</v>
      </c>
      <c r="AC1691" t="s">
        <v>97</v>
      </c>
      <c r="AD1691" t="s">
        <v>1818</v>
      </c>
      <c r="AG1691" t="s">
        <v>2334</v>
      </c>
      <c r="AH1691">
        <v>0</v>
      </c>
      <c r="AI1691">
        <v>681</v>
      </c>
      <c r="AJ1691">
        <v>79</v>
      </c>
      <c r="AK1691">
        <v>8</v>
      </c>
      <c r="AL1691">
        <v>0.8</v>
      </c>
    </row>
    <row r="1692" spans="1:38" x14ac:dyDescent="0.3">
      <c r="A1692" t="s">
        <v>1813</v>
      </c>
      <c r="B1692">
        <v>127517</v>
      </c>
      <c r="C1692">
        <v>4</v>
      </c>
      <c r="D1692" t="s">
        <v>2331</v>
      </c>
      <c r="E1692" t="s">
        <v>397</v>
      </c>
      <c r="F1692">
        <v>10</v>
      </c>
      <c r="G1692">
        <v>18.63</v>
      </c>
      <c r="H1692">
        <v>61.59</v>
      </c>
      <c r="I1692">
        <v>15.01</v>
      </c>
      <c r="J1692">
        <v>49.63</v>
      </c>
      <c r="K1692">
        <v>2</v>
      </c>
      <c r="T1692">
        <v>2</v>
      </c>
      <c r="U1692">
        <v>1</v>
      </c>
      <c r="V1692" t="s">
        <v>93</v>
      </c>
      <c r="W1692" t="s">
        <v>698</v>
      </c>
      <c r="X1692">
        <v>10</v>
      </c>
      <c r="Y1692">
        <v>10</v>
      </c>
      <c r="Z1692" t="s">
        <v>2332</v>
      </c>
      <c r="AA1692" t="s">
        <v>2333</v>
      </c>
      <c r="AB1692" t="s">
        <v>96</v>
      </c>
      <c r="AC1692" t="s">
        <v>97</v>
      </c>
      <c r="AD1692" t="s">
        <v>1818</v>
      </c>
      <c r="AG1692" t="s">
        <v>2334</v>
      </c>
      <c r="AH1692">
        <v>0</v>
      </c>
      <c r="AI1692">
        <v>681</v>
      </c>
      <c r="AJ1692">
        <v>79</v>
      </c>
      <c r="AK1692">
        <v>8</v>
      </c>
      <c r="AL1692">
        <v>0.8</v>
      </c>
    </row>
    <row r="1693" spans="1:38" x14ac:dyDescent="0.3">
      <c r="A1693" t="s">
        <v>1813</v>
      </c>
      <c r="B1693">
        <v>2444</v>
      </c>
      <c r="C1693">
        <v>1</v>
      </c>
      <c r="D1693" t="s">
        <v>2335</v>
      </c>
      <c r="E1693" t="s">
        <v>146</v>
      </c>
      <c r="F1693">
        <v>768</v>
      </c>
      <c r="G1693">
        <v>23.23</v>
      </c>
      <c r="H1693">
        <v>76.81</v>
      </c>
      <c r="I1693">
        <v>21.61</v>
      </c>
      <c r="J1693">
        <v>71.44</v>
      </c>
      <c r="K1693">
        <v>75</v>
      </c>
      <c r="T1693">
        <v>3</v>
      </c>
      <c r="U1693">
        <v>1</v>
      </c>
      <c r="V1693" t="s">
        <v>93</v>
      </c>
      <c r="W1693" t="s">
        <v>1126</v>
      </c>
      <c r="X1693">
        <v>12</v>
      </c>
      <c r="Y1693">
        <v>12</v>
      </c>
      <c r="Z1693" t="s">
        <v>2336</v>
      </c>
      <c r="AA1693" t="s">
        <v>2337</v>
      </c>
      <c r="AB1693" t="s">
        <v>96</v>
      </c>
      <c r="AC1693" t="s">
        <v>97</v>
      </c>
      <c r="AD1693" t="s">
        <v>1818</v>
      </c>
      <c r="AG1693" t="s">
        <v>2338</v>
      </c>
      <c r="AH1693">
        <v>0</v>
      </c>
      <c r="AI1693">
        <v>186</v>
      </c>
      <c r="AJ1693">
        <v>17</v>
      </c>
      <c r="AK1693">
        <v>0</v>
      </c>
      <c r="AL1693">
        <v>0</v>
      </c>
    </row>
    <row r="1694" spans="1:38" x14ac:dyDescent="0.3">
      <c r="A1694" t="s">
        <v>1813</v>
      </c>
      <c r="B1694">
        <v>2444</v>
      </c>
      <c r="C1694">
        <v>2</v>
      </c>
      <c r="D1694" t="s">
        <v>2335</v>
      </c>
      <c r="E1694" t="s">
        <v>146</v>
      </c>
      <c r="F1694">
        <v>768</v>
      </c>
      <c r="G1694">
        <v>23.23</v>
      </c>
      <c r="H1694">
        <v>76.8</v>
      </c>
      <c r="I1694">
        <v>21.6</v>
      </c>
      <c r="J1694">
        <v>71.430000000000007</v>
      </c>
      <c r="K1694">
        <v>69</v>
      </c>
      <c r="T1694">
        <v>3</v>
      </c>
      <c r="U1694">
        <v>1</v>
      </c>
      <c r="V1694" t="s">
        <v>132</v>
      </c>
      <c r="W1694" t="s">
        <v>1413</v>
      </c>
      <c r="X1694">
        <v>12</v>
      </c>
      <c r="Y1694">
        <v>12</v>
      </c>
      <c r="Z1694" t="s">
        <v>2336</v>
      </c>
      <c r="AA1694" t="s">
        <v>2337</v>
      </c>
      <c r="AB1694" t="s">
        <v>96</v>
      </c>
      <c r="AC1694" t="s">
        <v>97</v>
      </c>
      <c r="AD1694" t="s">
        <v>1818</v>
      </c>
      <c r="AG1694" t="s">
        <v>2338</v>
      </c>
      <c r="AH1694">
        <v>0</v>
      </c>
      <c r="AI1694">
        <v>186</v>
      </c>
      <c r="AJ1694">
        <v>17</v>
      </c>
      <c r="AK1694">
        <v>0</v>
      </c>
      <c r="AL1694">
        <v>0</v>
      </c>
    </row>
    <row r="1695" spans="1:38" x14ac:dyDescent="0.3">
      <c r="A1695" t="s">
        <v>1813</v>
      </c>
      <c r="B1695">
        <v>2444</v>
      </c>
      <c r="C1695">
        <v>3</v>
      </c>
      <c r="D1695" t="s">
        <v>2335</v>
      </c>
      <c r="E1695" t="s">
        <v>146</v>
      </c>
      <c r="F1695">
        <v>768</v>
      </c>
      <c r="G1695">
        <v>27.11</v>
      </c>
      <c r="H1695">
        <v>89.63</v>
      </c>
      <c r="I1695">
        <v>25.21</v>
      </c>
      <c r="J1695">
        <v>83.36</v>
      </c>
      <c r="K1695">
        <v>75</v>
      </c>
      <c r="T1695">
        <v>3</v>
      </c>
      <c r="U1695">
        <v>1</v>
      </c>
      <c r="V1695" t="s">
        <v>93</v>
      </c>
      <c r="W1695" t="s">
        <v>139</v>
      </c>
      <c r="X1695">
        <v>12</v>
      </c>
      <c r="Y1695">
        <v>12</v>
      </c>
      <c r="Z1695" t="s">
        <v>2336</v>
      </c>
      <c r="AA1695" t="s">
        <v>2337</v>
      </c>
      <c r="AB1695" t="s">
        <v>96</v>
      </c>
      <c r="AC1695" t="s">
        <v>97</v>
      </c>
      <c r="AD1695" t="s">
        <v>1818</v>
      </c>
      <c r="AG1695" t="s">
        <v>2338</v>
      </c>
      <c r="AH1695">
        <v>0</v>
      </c>
      <c r="AI1695">
        <v>186</v>
      </c>
      <c r="AJ1695">
        <v>17</v>
      </c>
      <c r="AK1695">
        <v>0</v>
      </c>
      <c r="AL1695">
        <v>0</v>
      </c>
    </row>
    <row r="1696" spans="1:38" x14ac:dyDescent="0.3">
      <c r="A1696" t="s">
        <v>1813</v>
      </c>
      <c r="B1696">
        <v>2444</v>
      </c>
      <c r="C1696">
        <v>4</v>
      </c>
      <c r="D1696" t="s">
        <v>2335</v>
      </c>
      <c r="E1696" t="s">
        <v>146</v>
      </c>
      <c r="F1696">
        <v>768</v>
      </c>
      <c r="G1696">
        <v>27.11</v>
      </c>
      <c r="H1696">
        <v>89.64</v>
      </c>
      <c r="I1696">
        <v>25.21</v>
      </c>
      <c r="J1696">
        <v>83.37</v>
      </c>
      <c r="K1696">
        <v>69</v>
      </c>
      <c r="T1696">
        <v>3</v>
      </c>
      <c r="U1696">
        <v>1</v>
      </c>
      <c r="V1696" t="s">
        <v>132</v>
      </c>
      <c r="W1696" t="s">
        <v>305</v>
      </c>
      <c r="X1696">
        <v>12</v>
      </c>
      <c r="Y1696">
        <v>12</v>
      </c>
      <c r="Z1696" t="s">
        <v>2336</v>
      </c>
      <c r="AA1696" t="s">
        <v>2337</v>
      </c>
      <c r="AB1696" t="s">
        <v>96</v>
      </c>
      <c r="AC1696" t="s">
        <v>97</v>
      </c>
      <c r="AD1696" t="s">
        <v>1818</v>
      </c>
      <c r="AG1696" t="s">
        <v>2338</v>
      </c>
      <c r="AH1696">
        <v>0</v>
      </c>
      <c r="AI1696">
        <v>186</v>
      </c>
      <c r="AJ1696">
        <v>17</v>
      </c>
      <c r="AK1696">
        <v>0</v>
      </c>
      <c r="AL1696">
        <v>0</v>
      </c>
    </row>
    <row r="1697" spans="1:38" x14ac:dyDescent="0.3">
      <c r="A1697" t="s">
        <v>1813</v>
      </c>
      <c r="B1697">
        <v>2444</v>
      </c>
      <c r="C1697">
        <v>5</v>
      </c>
      <c r="D1697" t="s">
        <v>2335</v>
      </c>
      <c r="E1697" t="s">
        <v>146</v>
      </c>
      <c r="F1697">
        <v>768</v>
      </c>
      <c r="G1697">
        <v>27.5</v>
      </c>
      <c r="H1697">
        <v>90.94</v>
      </c>
      <c r="I1697">
        <v>25.44</v>
      </c>
      <c r="J1697">
        <v>84.12</v>
      </c>
      <c r="K1697">
        <v>96</v>
      </c>
      <c r="T1697">
        <v>3</v>
      </c>
      <c r="U1697">
        <v>1</v>
      </c>
      <c r="V1697" t="s">
        <v>93</v>
      </c>
      <c r="W1697">
        <v>90</v>
      </c>
      <c r="X1697">
        <v>12</v>
      </c>
      <c r="Y1697">
        <v>12</v>
      </c>
      <c r="Z1697" t="s">
        <v>2336</v>
      </c>
      <c r="AA1697" t="s">
        <v>2337</v>
      </c>
      <c r="AB1697" t="s">
        <v>96</v>
      </c>
      <c r="AC1697" t="s">
        <v>97</v>
      </c>
      <c r="AD1697" t="s">
        <v>1818</v>
      </c>
      <c r="AG1697" t="s">
        <v>2338</v>
      </c>
      <c r="AH1697">
        <v>0</v>
      </c>
      <c r="AI1697">
        <v>186</v>
      </c>
      <c r="AJ1697">
        <v>17</v>
      </c>
      <c r="AK1697">
        <v>0</v>
      </c>
      <c r="AL1697">
        <v>0</v>
      </c>
    </row>
    <row r="1698" spans="1:38" x14ac:dyDescent="0.3">
      <c r="A1698" t="s">
        <v>1813</v>
      </c>
      <c r="B1698">
        <v>2444</v>
      </c>
      <c r="C1698">
        <v>6</v>
      </c>
      <c r="D1698" t="s">
        <v>2335</v>
      </c>
      <c r="E1698" t="s">
        <v>146</v>
      </c>
      <c r="F1698">
        <v>768</v>
      </c>
      <c r="G1698">
        <v>31.13</v>
      </c>
      <c r="H1698">
        <v>102.94</v>
      </c>
      <c r="I1698">
        <v>28.77</v>
      </c>
      <c r="J1698">
        <v>95.13</v>
      </c>
      <c r="K1698">
        <v>140</v>
      </c>
      <c r="T1698">
        <v>3</v>
      </c>
      <c r="U1698">
        <v>1</v>
      </c>
      <c r="V1698" t="s">
        <v>93</v>
      </c>
      <c r="W1698" t="s">
        <v>634</v>
      </c>
      <c r="X1698">
        <v>12</v>
      </c>
      <c r="Y1698">
        <v>12</v>
      </c>
      <c r="Z1698" t="s">
        <v>2336</v>
      </c>
      <c r="AA1698" t="s">
        <v>2337</v>
      </c>
      <c r="AB1698" t="s">
        <v>96</v>
      </c>
      <c r="AC1698" t="s">
        <v>97</v>
      </c>
      <c r="AD1698" t="s">
        <v>1818</v>
      </c>
      <c r="AG1698" t="s">
        <v>2338</v>
      </c>
      <c r="AH1698">
        <v>0</v>
      </c>
      <c r="AI1698">
        <v>186</v>
      </c>
      <c r="AJ1698">
        <v>17</v>
      </c>
      <c r="AK1698">
        <v>0</v>
      </c>
      <c r="AL1698">
        <v>0</v>
      </c>
    </row>
    <row r="1699" spans="1:38" x14ac:dyDescent="0.3">
      <c r="A1699" t="s">
        <v>1813</v>
      </c>
      <c r="B1699">
        <v>2444</v>
      </c>
      <c r="C1699">
        <v>7</v>
      </c>
      <c r="D1699" t="s">
        <v>2335</v>
      </c>
      <c r="E1699" t="s">
        <v>146</v>
      </c>
      <c r="F1699">
        <v>768</v>
      </c>
      <c r="G1699">
        <v>31.09</v>
      </c>
      <c r="H1699">
        <v>102.79</v>
      </c>
      <c r="I1699">
        <v>28.73</v>
      </c>
      <c r="J1699">
        <v>94.98</v>
      </c>
      <c r="K1699">
        <v>72</v>
      </c>
      <c r="T1699">
        <v>3</v>
      </c>
      <c r="U1699">
        <v>1</v>
      </c>
      <c r="V1699" t="s">
        <v>93</v>
      </c>
      <c r="W1699" t="s">
        <v>186</v>
      </c>
      <c r="X1699">
        <v>12</v>
      </c>
      <c r="Y1699">
        <v>12</v>
      </c>
      <c r="Z1699" t="s">
        <v>2336</v>
      </c>
      <c r="AA1699" t="s">
        <v>2337</v>
      </c>
      <c r="AB1699" t="s">
        <v>96</v>
      </c>
      <c r="AC1699" t="s">
        <v>97</v>
      </c>
      <c r="AD1699" t="s">
        <v>1818</v>
      </c>
      <c r="AG1699" t="s">
        <v>2338</v>
      </c>
      <c r="AH1699">
        <v>0</v>
      </c>
      <c r="AI1699">
        <v>186</v>
      </c>
      <c r="AJ1699">
        <v>17</v>
      </c>
      <c r="AK1699">
        <v>0</v>
      </c>
      <c r="AL1699">
        <v>0</v>
      </c>
    </row>
    <row r="1700" spans="1:38" x14ac:dyDescent="0.3">
      <c r="A1700" t="s">
        <v>1813</v>
      </c>
      <c r="B1700">
        <v>2444</v>
      </c>
      <c r="C1700">
        <v>8</v>
      </c>
      <c r="D1700" t="s">
        <v>2335</v>
      </c>
      <c r="E1700" t="s">
        <v>146</v>
      </c>
      <c r="F1700">
        <v>768</v>
      </c>
      <c r="G1700">
        <v>31.14</v>
      </c>
      <c r="H1700">
        <v>102.95</v>
      </c>
      <c r="I1700">
        <v>28.77</v>
      </c>
      <c r="J1700">
        <v>95.14</v>
      </c>
      <c r="K1700">
        <v>28</v>
      </c>
      <c r="T1700">
        <v>3</v>
      </c>
      <c r="U1700">
        <v>1</v>
      </c>
      <c r="V1700" t="s">
        <v>93</v>
      </c>
      <c r="W1700" t="s">
        <v>1262</v>
      </c>
      <c r="X1700">
        <v>12</v>
      </c>
      <c r="Y1700">
        <v>12</v>
      </c>
      <c r="Z1700" t="s">
        <v>2336</v>
      </c>
      <c r="AA1700" t="s">
        <v>2337</v>
      </c>
      <c r="AB1700" t="s">
        <v>96</v>
      </c>
      <c r="AC1700" t="s">
        <v>97</v>
      </c>
      <c r="AD1700" t="s">
        <v>1818</v>
      </c>
      <c r="AG1700" t="s">
        <v>2338</v>
      </c>
      <c r="AH1700">
        <v>0</v>
      </c>
      <c r="AI1700">
        <v>186</v>
      </c>
      <c r="AJ1700">
        <v>17</v>
      </c>
      <c r="AK1700">
        <v>0</v>
      </c>
      <c r="AL1700">
        <v>0</v>
      </c>
    </row>
    <row r="1701" spans="1:38" x14ac:dyDescent="0.3">
      <c r="A1701" t="s">
        <v>1813</v>
      </c>
      <c r="B1701">
        <v>2444</v>
      </c>
      <c r="C1701">
        <v>9</v>
      </c>
      <c r="D1701" t="s">
        <v>2335</v>
      </c>
      <c r="E1701" t="s">
        <v>146</v>
      </c>
      <c r="F1701">
        <v>768</v>
      </c>
      <c r="G1701">
        <v>41.98</v>
      </c>
      <c r="H1701">
        <v>138.79</v>
      </c>
      <c r="I1701">
        <v>38.78</v>
      </c>
      <c r="J1701">
        <v>128.22</v>
      </c>
      <c r="K1701">
        <v>120</v>
      </c>
      <c r="T1701">
        <v>4</v>
      </c>
      <c r="U1701">
        <v>2</v>
      </c>
      <c r="V1701" t="s">
        <v>93</v>
      </c>
      <c r="W1701" t="s">
        <v>2339</v>
      </c>
      <c r="X1701">
        <v>12</v>
      </c>
      <c r="Y1701">
        <v>12</v>
      </c>
      <c r="Z1701" t="s">
        <v>2336</v>
      </c>
      <c r="AA1701" t="s">
        <v>2337</v>
      </c>
      <c r="AB1701" t="s">
        <v>96</v>
      </c>
      <c r="AC1701" t="s">
        <v>97</v>
      </c>
      <c r="AD1701" t="s">
        <v>1818</v>
      </c>
      <c r="AG1701" t="s">
        <v>2338</v>
      </c>
      <c r="AH1701">
        <v>0</v>
      </c>
      <c r="AI1701">
        <v>186</v>
      </c>
      <c r="AJ1701">
        <v>17</v>
      </c>
      <c r="AK1701">
        <v>0</v>
      </c>
      <c r="AL1701">
        <v>0</v>
      </c>
    </row>
    <row r="1702" spans="1:38" x14ac:dyDescent="0.3">
      <c r="A1702" t="s">
        <v>1813</v>
      </c>
      <c r="B1702">
        <v>2444</v>
      </c>
      <c r="C1702">
        <v>10</v>
      </c>
      <c r="D1702" t="s">
        <v>2335</v>
      </c>
      <c r="E1702" t="s">
        <v>146</v>
      </c>
      <c r="F1702">
        <v>768</v>
      </c>
      <c r="G1702">
        <v>41.99</v>
      </c>
      <c r="H1702">
        <v>138.81</v>
      </c>
      <c r="I1702">
        <v>38.78</v>
      </c>
      <c r="J1702">
        <v>128.22999999999999</v>
      </c>
      <c r="K1702">
        <v>24</v>
      </c>
      <c r="T1702">
        <v>4</v>
      </c>
      <c r="U1702">
        <v>2</v>
      </c>
      <c r="V1702" t="s">
        <v>93</v>
      </c>
      <c r="W1702" t="s">
        <v>363</v>
      </c>
      <c r="X1702">
        <v>12</v>
      </c>
      <c r="Y1702">
        <v>12</v>
      </c>
      <c r="Z1702" t="s">
        <v>2336</v>
      </c>
      <c r="AA1702" t="s">
        <v>2337</v>
      </c>
      <c r="AB1702" t="s">
        <v>96</v>
      </c>
      <c r="AC1702" t="s">
        <v>97</v>
      </c>
      <c r="AD1702" t="s">
        <v>1818</v>
      </c>
      <c r="AG1702" t="s">
        <v>2338</v>
      </c>
      <c r="AH1702">
        <v>0</v>
      </c>
      <c r="AI1702">
        <v>186</v>
      </c>
      <c r="AJ1702">
        <v>17</v>
      </c>
      <c r="AK1702">
        <v>0</v>
      </c>
      <c r="AL1702">
        <v>0</v>
      </c>
    </row>
    <row r="1703" spans="1:38" x14ac:dyDescent="0.3">
      <c r="A1703" t="s">
        <v>1813</v>
      </c>
      <c r="B1703">
        <v>12919</v>
      </c>
      <c r="C1703">
        <v>1</v>
      </c>
      <c r="D1703" t="s">
        <v>2340</v>
      </c>
      <c r="E1703" t="s">
        <v>281</v>
      </c>
      <c r="F1703">
        <v>45</v>
      </c>
      <c r="G1703">
        <v>19.420000000000002</v>
      </c>
      <c r="H1703">
        <v>64.22</v>
      </c>
      <c r="I1703">
        <v>17.47</v>
      </c>
      <c r="J1703">
        <v>57.78</v>
      </c>
      <c r="K1703">
        <v>40</v>
      </c>
      <c r="T1703">
        <v>3</v>
      </c>
      <c r="U1703">
        <v>1</v>
      </c>
      <c r="V1703" t="s">
        <v>93</v>
      </c>
      <c r="W1703">
        <v>64</v>
      </c>
      <c r="X1703">
        <v>5</v>
      </c>
      <c r="Y1703">
        <v>5</v>
      </c>
      <c r="Z1703" t="s">
        <v>2341</v>
      </c>
      <c r="AA1703" t="s">
        <v>2342</v>
      </c>
      <c r="AB1703" t="s">
        <v>96</v>
      </c>
      <c r="AC1703" t="s">
        <v>97</v>
      </c>
      <c r="AD1703" t="s">
        <v>1818</v>
      </c>
      <c r="AG1703" t="s">
        <v>2343</v>
      </c>
      <c r="AH1703">
        <v>0</v>
      </c>
      <c r="AI1703">
        <v>0</v>
      </c>
      <c r="AJ1703">
        <v>0</v>
      </c>
      <c r="AK1703">
        <v>0</v>
      </c>
      <c r="AL1703">
        <v>0</v>
      </c>
    </row>
    <row r="1704" spans="1:38" x14ac:dyDescent="0.3">
      <c r="A1704" t="s">
        <v>1813</v>
      </c>
      <c r="B1704">
        <v>12919</v>
      </c>
      <c r="C1704">
        <v>2</v>
      </c>
      <c r="D1704" t="s">
        <v>2340</v>
      </c>
      <c r="E1704" t="s">
        <v>281</v>
      </c>
      <c r="F1704">
        <v>45</v>
      </c>
      <c r="G1704">
        <v>19.75</v>
      </c>
      <c r="H1704">
        <v>65.3</v>
      </c>
      <c r="I1704">
        <v>17.8</v>
      </c>
      <c r="J1704">
        <v>58.86</v>
      </c>
      <c r="K1704">
        <v>5</v>
      </c>
      <c r="T1704">
        <v>3</v>
      </c>
      <c r="U1704">
        <v>1</v>
      </c>
      <c r="V1704" t="s">
        <v>93</v>
      </c>
      <c r="W1704">
        <v>65</v>
      </c>
      <c r="X1704">
        <v>5</v>
      </c>
      <c r="Y1704">
        <v>5</v>
      </c>
      <c r="Z1704" t="s">
        <v>2341</v>
      </c>
      <c r="AA1704" t="s">
        <v>2342</v>
      </c>
      <c r="AB1704" t="s">
        <v>96</v>
      </c>
      <c r="AC1704" t="s">
        <v>97</v>
      </c>
      <c r="AD1704" t="s">
        <v>1818</v>
      </c>
      <c r="AG1704" t="s">
        <v>2343</v>
      </c>
      <c r="AH1704">
        <v>0</v>
      </c>
      <c r="AI1704">
        <v>0</v>
      </c>
      <c r="AJ1704">
        <v>0</v>
      </c>
      <c r="AK1704">
        <v>0</v>
      </c>
      <c r="AL1704">
        <v>0</v>
      </c>
    </row>
    <row r="1705" spans="1:38" x14ac:dyDescent="0.3">
      <c r="A1705" t="s">
        <v>1813</v>
      </c>
      <c r="B1705">
        <v>113446</v>
      </c>
      <c r="C1705">
        <v>1</v>
      </c>
      <c r="D1705" t="s">
        <v>2344</v>
      </c>
      <c r="E1705" t="s">
        <v>414</v>
      </c>
      <c r="F1705">
        <v>8</v>
      </c>
      <c r="G1705">
        <v>21.82</v>
      </c>
      <c r="H1705">
        <v>72.14</v>
      </c>
      <c r="I1705">
        <v>16.690000000000001</v>
      </c>
      <c r="J1705">
        <v>55.19</v>
      </c>
      <c r="K1705">
        <v>8</v>
      </c>
      <c r="T1705">
        <v>3</v>
      </c>
      <c r="U1705">
        <v>1</v>
      </c>
      <c r="V1705" t="s">
        <v>93</v>
      </c>
      <c r="W1705">
        <v>72</v>
      </c>
      <c r="X1705">
        <v>3</v>
      </c>
      <c r="Y1705">
        <v>3</v>
      </c>
      <c r="Z1705" t="s">
        <v>2345</v>
      </c>
      <c r="AA1705" t="s">
        <v>2346</v>
      </c>
      <c r="AB1705" t="s">
        <v>96</v>
      </c>
      <c r="AC1705" t="s">
        <v>97</v>
      </c>
      <c r="AD1705" t="s">
        <v>1818</v>
      </c>
      <c r="AG1705" t="s">
        <v>2347</v>
      </c>
      <c r="AH1705">
        <v>0</v>
      </c>
      <c r="AI1705">
        <v>479</v>
      </c>
      <c r="AJ1705">
        <v>58</v>
      </c>
      <c r="AK1705">
        <v>8</v>
      </c>
      <c r="AL1705">
        <v>1</v>
      </c>
    </row>
    <row r="1706" spans="1:38" x14ac:dyDescent="0.3">
      <c r="A1706" t="s">
        <v>1813</v>
      </c>
      <c r="B1706">
        <v>16565</v>
      </c>
      <c r="C1706">
        <v>1</v>
      </c>
      <c r="D1706" t="s">
        <v>2348</v>
      </c>
      <c r="E1706" t="s">
        <v>800</v>
      </c>
      <c r="F1706">
        <v>16</v>
      </c>
      <c r="G1706">
        <v>12.95</v>
      </c>
      <c r="H1706">
        <v>42.83</v>
      </c>
      <c r="I1706">
        <v>11.45</v>
      </c>
      <c r="J1706">
        <v>37.880000000000003</v>
      </c>
      <c r="K1706">
        <v>1</v>
      </c>
      <c r="T1706">
        <v>2</v>
      </c>
      <c r="U1706">
        <v>1</v>
      </c>
      <c r="V1706" t="s">
        <v>93</v>
      </c>
      <c r="W1706">
        <v>42</v>
      </c>
      <c r="X1706">
        <v>5</v>
      </c>
      <c r="Y1706">
        <v>5</v>
      </c>
      <c r="Z1706" t="s">
        <v>2349</v>
      </c>
      <c r="AA1706" t="s">
        <v>2350</v>
      </c>
      <c r="AB1706" t="s">
        <v>96</v>
      </c>
      <c r="AC1706" t="s">
        <v>97</v>
      </c>
      <c r="AD1706" t="s">
        <v>1818</v>
      </c>
      <c r="AG1706" t="s">
        <v>2351</v>
      </c>
      <c r="AH1706">
        <v>0</v>
      </c>
      <c r="AI1706">
        <v>0</v>
      </c>
      <c r="AJ1706">
        <v>0</v>
      </c>
      <c r="AK1706">
        <v>9</v>
      </c>
      <c r="AL1706">
        <v>0.56000000000000005</v>
      </c>
    </row>
    <row r="1707" spans="1:38" x14ac:dyDescent="0.3">
      <c r="A1707" t="s">
        <v>1813</v>
      </c>
      <c r="B1707">
        <v>16565</v>
      </c>
      <c r="C1707">
        <v>2</v>
      </c>
      <c r="D1707" t="s">
        <v>2348</v>
      </c>
      <c r="E1707" t="s">
        <v>800</v>
      </c>
      <c r="F1707">
        <v>16</v>
      </c>
      <c r="G1707">
        <v>17.22</v>
      </c>
      <c r="H1707">
        <v>56.93</v>
      </c>
      <c r="I1707">
        <v>15.23</v>
      </c>
      <c r="J1707">
        <v>50.36</v>
      </c>
      <c r="K1707">
        <v>1</v>
      </c>
      <c r="T1707">
        <v>2</v>
      </c>
      <c r="U1707">
        <v>1</v>
      </c>
      <c r="V1707" t="s">
        <v>93</v>
      </c>
      <c r="W1707">
        <v>56</v>
      </c>
      <c r="X1707">
        <v>5</v>
      </c>
      <c r="Y1707">
        <v>5</v>
      </c>
      <c r="Z1707" t="s">
        <v>2349</v>
      </c>
      <c r="AA1707" t="s">
        <v>2350</v>
      </c>
      <c r="AB1707" t="s">
        <v>96</v>
      </c>
      <c r="AC1707" t="s">
        <v>97</v>
      </c>
      <c r="AD1707" t="s">
        <v>1818</v>
      </c>
      <c r="AG1707" t="s">
        <v>2351</v>
      </c>
      <c r="AH1707">
        <v>0</v>
      </c>
      <c r="AI1707">
        <v>0</v>
      </c>
      <c r="AJ1707">
        <v>0</v>
      </c>
      <c r="AK1707">
        <v>9</v>
      </c>
      <c r="AL1707">
        <v>0.56000000000000005</v>
      </c>
    </row>
    <row r="1708" spans="1:38" x14ac:dyDescent="0.3">
      <c r="A1708" t="s">
        <v>1813</v>
      </c>
      <c r="B1708">
        <v>16565</v>
      </c>
      <c r="C1708">
        <v>3</v>
      </c>
      <c r="D1708" t="s">
        <v>2348</v>
      </c>
      <c r="E1708" t="s">
        <v>800</v>
      </c>
      <c r="F1708">
        <v>16</v>
      </c>
      <c r="G1708">
        <v>20.5</v>
      </c>
      <c r="H1708">
        <v>67.790000000000006</v>
      </c>
      <c r="I1708">
        <v>18.13</v>
      </c>
      <c r="J1708">
        <v>59.96</v>
      </c>
      <c r="K1708">
        <v>6</v>
      </c>
      <c r="T1708">
        <v>2</v>
      </c>
      <c r="U1708">
        <v>1</v>
      </c>
      <c r="V1708" t="s">
        <v>93</v>
      </c>
      <c r="W1708" t="s">
        <v>395</v>
      </c>
      <c r="X1708">
        <v>5</v>
      </c>
      <c r="Y1708">
        <v>5</v>
      </c>
      <c r="Z1708" t="s">
        <v>2349</v>
      </c>
      <c r="AA1708" t="s">
        <v>2350</v>
      </c>
      <c r="AB1708" t="s">
        <v>96</v>
      </c>
      <c r="AC1708" t="s">
        <v>97</v>
      </c>
      <c r="AD1708" t="s">
        <v>1818</v>
      </c>
      <c r="AG1708" t="s">
        <v>2351</v>
      </c>
      <c r="AH1708">
        <v>0</v>
      </c>
      <c r="AI1708">
        <v>0</v>
      </c>
      <c r="AJ1708">
        <v>0</v>
      </c>
      <c r="AK1708">
        <v>9</v>
      </c>
      <c r="AL1708">
        <v>0.56000000000000005</v>
      </c>
    </row>
    <row r="1709" spans="1:38" x14ac:dyDescent="0.3">
      <c r="A1709" t="s">
        <v>1813</v>
      </c>
      <c r="B1709">
        <v>16565</v>
      </c>
      <c r="C1709">
        <v>4</v>
      </c>
      <c r="D1709" t="s">
        <v>2348</v>
      </c>
      <c r="E1709" t="s">
        <v>800</v>
      </c>
      <c r="F1709">
        <v>16</v>
      </c>
      <c r="G1709">
        <v>20.76</v>
      </c>
      <c r="H1709">
        <v>68.63</v>
      </c>
      <c r="I1709">
        <v>18.73</v>
      </c>
      <c r="J1709">
        <v>61.92</v>
      </c>
      <c r="K1709">
        <v>7</v>
      </c>
      <c r="T1709">
        <v>2</v>
      </c>
      <c r="U1709">
        <v>1</v>
      </c>
      <c r="V1709" t="s">
        <v>93</v>
      </c>
      <c r="W1709" t="s">
        <v>230</v>
      </c>
      <c r="X1709">
        <v>5</v>
      </c>
      <c r="Y1709">
        <v>5</v>
      </c>
      <c r="Z1709" t="s">
        <v>2349</v>
      </c>
      <c r="AA1709" t="s">
        <v>2350</v>
      </c>
      <c r="AB1709" t="s">
        <v>96</v>
      </c>
      <c r="AC1709" t="s">
        <v>97</v>
      </c>
      <c r="AD1709" t="s">
        <v>1818</v>
      </c>
      <c r="AG1709" t="s">
        <v>2351</v>
      </c>
      <c r="AH1709">
        <v>0</v>
      </c>
      <c r="AI1709">
        <v>0</v>
      </c>
      <c r="AJ1709">
        <v>0</v>
      </c>
      <c r="AK1709">
        <v>9</v>
      </c>
      <c r="AL1709">
        <v>0.56000000000000005</v>
      </c>
    </row>
    <row r="1710" spans="1:38" x14ac:dyDescent="0.3">
      <c r="A1710" t="s">
        <v>1813</v>
      </c>
      <c r="B1710">
        <v>16565</v>
      </c>
      <c r="C1710">
        <v>5</v>
      </c>
      <c r="D1710" t="s">
        <v>2348</v>
      </c>
      <c r="E1710" t="s">
        <v>800</v>
      </c>
      <c r="F1710">
        <v>16</v>
      </c>
      <c r="G1710">
        <v>21.22</v>
      </c>
      <c r="H1710">
        <v>70.150000000000006</v>
      </c>
      <c r="I1710">
        <v>19.14</v>
      </c>
      <c r="J1710">
        <v>63.3</v>
      </c>
      <c r="K1710">
        <v>1</v>
      </c>
      <c r="T1710">
        <v>2</v>
      </c>
      <c r="U1710">
        <v>1</v>
      </c>
      <c r="V1710" t="s">
        <v>93</v>
      </c>
      <c r="W1710" t="s">
        <v>1194</v>
      </c>
      <c r="X1710">
        <v>5</v>
      </c>
      <c r="Y1710">
        <v>5</v>
      </c>
      <c r="Z1710" t="s">
        <v>2349</v>
      </c>
      <c r="AA1710" t="s">
        <v>2350</v>
      </c>
      <c r="AB1710" t="s">
        <v>96</v>
      </c>
      <c r="AC1710" t="s">
        <v>97</v>
      </c>
      <c r="AD1710" t="s">
        <v>1818</v>
      </c>
      <c r="AG1710" t="s">
        <v>2351</v>
      </c>
      <c r="AH1710">
        <v>0</v>
      </c>
      <c r="AI1710">
        <v>0</v>
      </c>
      <c r="AJ1710">
        <v>0</v>
      </c>
      <c r="AK1710">
        <v>9</v>
      </c>
      <c r="AL1710">
        <v>0.56000000000000005</v>
      </c>
    </row>
    <row r="1711" spans="1:38" x14ac:dyDescent="0.3">
      <c r="A1711" t="s">
        <v>1813</v>
      </c>
      <c r="B1711">
        <v>103327</v>
      </c>
      <c r="C1711">
        <v>1</v>
      </c>
      <c r="D1711" t="s">
        <v>2352</v>
      </c>
      <c r="E1711" t="s">
        <v>269</v>
      </c>
      <c r="F1711">
        <v>17</v>
      </c>
      <c r="G1711">
        <v>13.1</v>
      </c>
      <c r="H1711">
        <v>43.33</v>
      </c>
      <c r="I1711">
        <v>11.38</v>
      </c>
      <c r="J1711">
        <v>37.65</v>
      </c>
      <c r="K1711">
        <v>1</v>
      </c>
      <c r="T1711">
        <v>2</v>
      </c>
      <c r="U1711">
        <v>1</v>
      </c>
      <c r="V1711" t="s">
        <v>93</v>
      </c>
      <c r="W1711">
        <v>43</v>
      </c>
      <c r="X1711">
        <v>6</v>
      </c>
      <c r="Y1711">
        <v>5</v>
      </c>
      <c r="Z1711" t="s">
        <v>2353</v>
      </c>
      <c r="AA1711" t="s">
        <v>2354</v>
      </c>
      <c r="AB1711" t="s">
        <v>96</v>
      </c>
      <c r="AC1711" t="s">
        <v>97</v>
      </c>
      <c r="AD1711" t="s">
        <v>1818</v>
      </c>
      <c r="AG1711" t="s">
        <v>2355</v>
      </c>
      <c r="AH1711">
        <v>0</v>
      </c>
      <c r="AI1711">
        <v>0</v>
      </c>
      <c r="AJ1711">
        <v>0</v>
      </c>
      <c r="AK1711">
        <v>16</v>
      </c>
      <c r="AL1711">
        <v>0.94</v>
      </c>
    </row>
    <row r="1712" spans="1:38" x14ac:dyDescent="0.3">
      <c r="A1712" t="s">
        <v>1813</v>
      </c>
      <c r="B1712">
        <v>103327</v>
      </c>
      <c r="C1712">
        <v>2</v>
      </c>
      <c r="D1712" t="s">
        <v>2352</v>
      </c>
      <c r="E1712" t="s">
        <v>269</v>
      </c>
      <c r="F1712">
        <v>17</v>
      </c>
      <c r="G1712">
        <v>14.27</v>
      </c>
      <c r="H1712">
        <v>47.2</v>
      </c>
      <c r="I1712">
        <v>12.01</v>
      </c>
      <c r="J1712">
        <v>39.72</v>
      </c>
      <c r="K1712">
        <v>1</v>
      </c>
      <c r="T1712">
        <v>2</v>
      </c>
      <c r="U1712">
        <v>1</v>
      </c>
      <c r="V1712" t="s">
        <v>93</v>
      </c>
      <c r="W1712" t="s">
        <v>2071</v>
      </c>
      <c r="X1712">
        <v>6</v>
      </c>
      <c r="Y1712">
        <v>5</v>
      </c>
      <c r="Z1712" t="s">
        <v>2353</v>
      </c>
      <c r="AA1712" t="s">
        <v>2354</v>
      </c>
      <c r="AB1712" t="s">
        <v>96</v>
      </c>
      <c r="AC1712" t="s">
        <v>97</v>
      </c>
      <c r="AD1712" t="s">
        <v>1818</v>
      </c>
      <c r="AG1712" t="s">
        <v>2355</v>
      </c>
      <c r="AH1712">
        <v>0</v>
      </c>
      <c r="AI1712">
        <v>0</v>
      </c>
      <c r="AJ1712">
        <v>0</v>
      </c>
      <c r="AK1712">
        <v>16</v>
      </c>
      <c r="AL1712">
        <v>0.94</v>
      </c>
    </row>
    <row r="1713" spans="1:38" x14ac:dyDescent="0.3">
      <c r="A1713" t="s">
        <v>1813</v>
      </c>
      <c r="B1713">
        <v>103327</v>
      </c>
      <c r="C1713">
        <v>3</v>
      </c>
      <c r="D1713" t="s">
        <v>2352</v>
      </c>
      <c r="E1713" t="s">
        <v>269</v>
      </c>
      <c r="F1713">
        <v>17</v>
      </c>
      <c r="G1713">
        <v>14.34</v>
      </c>
      <c r="H1713">
        <v>47.42</v>
      </c>
      <c r="I1713">
        <v>12.06</v>
      </c>
      <c r="J1713">
        <v>39.9</v>
      </c>
      <c r="K1713">
        <v>1</v>
      </c>
      <c r="T1713">
        <v>2</v>
      </c>
      <c r="U1713">
        <v>1</v>
      </c>
      <c r="V1713" t="s">
        <v>93</v>
      </c>
      <c r="W1713" t="s">
        <v>2072</v>
      </c>
      <c r="X1713">
        <v>6</v>
      </c>
      <c r="Y1713">
        <v>5</v>
      </c>
      <c r="Z1713" t="s">
        <v>2353</v>
      </c>
      <c r="AA1713" t="s">
        <v>2354</v>
      </c>
      <c r="AB1713" t="s">
        <v>96</v>
      </c>
      <c r="AC1713" t="s">
        <v>97</v>
      </c>
      <c r="AD1713" t="s">
        <v>1818</v>
      </c>
      <c r="AG1713" t="s">
        <v>2355</v>
      </c>
      <c r="AH1713">
        <v>0</v>
      </c>
      <c r="AI1713">
        <v>0</v>
      </c>
      <c r="AJ1713">
        <v>0</v>
      </c>
      <c r="AK1713">
        <v>16</v>
      </c>
      <c r="AL1713">
        <v>0.94</v>
      </c>
    </row>
    <row r="1714" spans="1:38" x14ac:dyDescent="0.3">
      <c r="A1714" t="s">
        <v>1813</v>
      </c>
      <c r="B1714">
        <v>103327</v>
      </c>
      <c r="C1714">
        <v>4</v>
      </c>
      <c r="D1714" t="s">
        <v>2352</v>
      </c>
      <c r="E1714" t="s">
        <v>269</v>
      </c>
      <c r="F1714">
        <v>17</v>
      </c>
      <c r="G1714">
        <v>18.36</v>
      </c>
      <c r="H1714">
        <v>60.71</v>
      </c>
      <c r="I1714">
        <v>15.95</v>
      </c>
      <c r="J1714">
        <v>52.76</v>
      </c>
      <c r="K1714">
        <v>1</v>
      </c>
      <c r="T1714">
        <v>2</v>
      </c>
      <c r="U1714">
        <v>1</v>
      </c>
      <c r="V1714" t="s">
        <v>93</v>
      </c>
      <c r="W1714">
        <v>60</v>
      </c>
      <c r="X1714">
        <v>6</v>
      </c>
      <c r="Y1714">
        <v>5</v>
      </c>
      <c r="Z1714" t="s">
        <v>2353</v>
      </c>
      <c r="AA1714" t="s">
        <v>2354</v>
      </c>
      <c r="AB1714" t="s">
        <v>96</v>
      </c>
      <c r="AC1714" t="s">
        <v>97</v>
      </c>
      <c r="AD1714" t="s">
        <v>1818</v>
      </c>
      <c r="AG1714" t="s">
        <v>2355</v>
      </c>
      <c r="AH1714">
        <v>0</v>
      </c>
      <c r="AI1714">
        <v>0</v>
      </c>
      <c r="AJ1714">
        <v>0</v>
      </c>
      <c r="AK1714">
        <v>16</v>
      </c>
      <c r="AL1714">
        <v>0.94</v>
      </c>
    </row>
    <row r="1715" spans="1:38" x14ac:dyDescent="0.3">
      <c r="A1715" t="s">
        <v>1813</v>
      </c>
      <c r="B1715">
        <v>103327</v>
      </c>
      <c r="C1715">
        <v>5</v>
      </c>
      <c r="D1715" t="s">
        <v>2352</v>
      </c>
      <c r="E1715" t="s">
        <v>269</v>
      </c>
      <c r="F1715">
        <v>17</v>
      </c>
      <c r="G1715">
        <v>19.010000000000002</v>
      </c>
      <c r="H1715">
        <v>62.86</v>
      </c>
      <c r="I1715">
        <v>15.99</v>
      </c>
      <c r="J1715">
        <v>52.88</v>
      </c>
      <c r="K1715">
        <v>6</v>
      </c>
      <c r="T1715">
        <v>2</v>
      </c>
      <c r="U1715">
        <v>1</v>
      </c>
      <c r="V1715" t="s">
        <v>93</v>
      </c>
      <c r="W1715">
        <v>62</v>
      </c>
      <c r="X1715">
        <v>6</v>
      </c>
      <c r="Y1715">
        <v>5</v>
      </c>
      <c r="Z1715" t="s">
        <v>2353</v>
      </c>
      <c r="AA1715" t="s">
        <v>2354</v>
      </c>
      <c r="AB1715" t="s">
        <v>96</v>
      </c>
      <c r="AC1715" t="s">
        <v>97</v>
      </c>
      <c r="AD1715" t="s">
        <v>1818</v>
      </c>
      <c r="AG1715" t="s">
        <v>2355</v>
      </c>
      <c r="AH1715">
        <v>0</v>
      </c>
      <c r="AI1715">
        <v>0</v>
      </c>
      <c r="AJ1715">
        <v>0</v>
      </c>
      <c r="AK1715">
        <v>16</v>
      </c>
      <c r="AL1715">
        <v>0.94</v>
      </c>
    </row>
    <row r="1716" spans="1:38" x14ac:dyDescent="0.3">
      <c r="A1716" t="s">
        <v>1813</v>
      </c>
      <c r="B1716">
        <v>103327</v>
      </c>
      <c r="C1716">
        <v>6</v>
      </c>
      <c r="D1716" t="s">
        <v>2352</v>
      </c>
      <c r="E1716" t="s">
        <v>269</v>
      </c>
      <c r="F1716">
        <v>17</v>
      </c>
      <c r="G1716">
        <v>20.190000000000001</v>
      </c>
      <c r="H1716">
        <v>66.77</v>
      </c>
      <c r="I1716">
        <v>17.55</v>
      </c>
      <c r="J1716">
        <v>58.02</v>
      </c>
      <c r="K1716">
        <v>7</v>
      </c>
      <c r="T1716">
        <v>2</v>
      </c>
      <c r="U1716">
        <v>1</v>
      </c>
      <c r="V1716" t="s">
        <v>93</v>
      </c>
      <c r="W1716">
        <v>66</v>
      </c>
      <c r="X1716">
        <v>6</v>
      </c>
      <c r="Y1716">
        <v>5</v>
      </c>
      <c r="Z1716" t="s">
        <v>2353</v>
      </c>
      <c r="AA1716" t="s">
        <v>2354</v>
      </c>
      <c r="AB1716" t="s">
        <v>96</v>
      </c>
      <c r="AC1716" t="s">
        <v>97</v>
      </c>
      <c r="AD1716" t="s">
        <v>1818</v>
      </c>
      <c r="AG1716" t="s">
        <v>2355</v>
      </c>
      <c r="AH1716">
        <v>0</v>
      </c>
      <c r="AI1716">
        <v>0</v>
      </c>
      <c r="AJ1716">
        <v>0</v>
      </c>
      <c r="AK1716">
        <v>16</v>
      </c>
      <c r="AL1716">
        <v>0.94</v>
      </c>
    </row>
    <row r="1717" spans="1:38" x14ac:dyDescent="0.3">
      <c r="A1717" t="s">
        <v>1813</v>
      </c>
      <c r="B1717">
        <v>9592</v>
      </c>
      <c r="C1717">
        <v>1</v>
      </c>
      <c r="D1717" t="s">
        <v>2356</v>
      </c>
      <c r="E1717" t="s">
        <v>2357</v>
      </c>
      <c r="F1717">
        <v>115</v>
      </c>
      <c r="G1717">
        <v>15.12</v>
      </c>
      <c r="H1717">
        <v>50.01</v>
      </c>
      <c r="I1717">
        <v>11.92</v>
      </c>
      <c r="J1717">
        <v>39.42</v>
      </c>
      <c r="K1717">
        <v>30</v>
      </c>
      <c r="T1717">
        <v>2</v>
      </c>
      <c r="U1717">
        <v>1</v>
      </c>
      <c r="V1717" t="s">
        <v>93</v>
      </c>
      <c r="W1717">
        <v>50</v>
      </c>
      <c r="X1717">
        <v>5</v>
      </c>
      <c r="Y1717">
        <v>5</v>
      </c>
      <c r="Z1717" t="s">
        <v>2358</v>
      </c>
      <c r="AA1717" t="s">
        <v>2359</v>
      </c>
      <c r="AB1717" t="s">
        <v>96</v>
      </c>
      <c r="AC1717" t="s">
        <v>97</v>
      </c>
      <c r="AD1717" t="s">
        <v>1818</v>
      </c>
      <c r="AG1717" t="s">
        <v>2360</v>
      </c>
      <c r="AH1717">
        <v>0</v>
      </c>
      <c r="AI1717">
        <v>0</v>
      </c>
      <c r="AJ1717">
        <v>0</v>
      </c>
      <c r="AK1717">
        <v>0</v>
      </c>
      <c r="AL1717">
        <v>0</v>
      </c>
    </row>
    <row r="1718" spans="1:38" x14ac:dyDescent="0.3">
      <c r="A1718" t="s">
        <v>1813</v>
      </c>
      <c r="B1718">
        <v>9592</v>
      </c>
      <c r="C1718">
        <v>2</v>
      </c>
      <c r="D1718" t="s">
        <v>2356</v>
      </c>
      <c r="E1718" t="s">
        <v>2357</v>
      </c>
      <c r="F1718">
        <v>115</v>
      </c>
      <c r="G1718">
        <v>15.9</v>
      </c>
      <c r="H1718">
        <v>52.58</v>
      </c>
      <c r="I1718">
        <v>11.32</v>
      </c>
      <c r="J1718">
        <v>37.44</v>
      </c>
      <c r="K1718">
        <v>5</v>
      </c>
      <c r="T1718">
        <v>2</v>
      </c>
      <c r="U1718">
        <v>1</v>
      </c>
      <c r="V1718" t="s">
        <v>93</v>
      </c>
      <c r="W1718" t="s">
        <v>583</v>
      </c>
      <c r="X1718">
        <v>5</v>
      </c>
      <c r="Y1718">
        <v>5</v>
      </c>
      <c r="Z1718" t="s">
        <v>2358</v>
      </c>
      <c r="AA1718" t="s">
        <v>2359</v>
      </c>
      <c r="AB1718" t="s">
        <v>96</v>
      </c>
      <c r="AC1718" t="s">
        <v>97</v>
      </c>
      <c r="AD1718" t="s">
        <v>1818</v>
      </c>
      <c r="AG1718" t="s">
        <v>2360</v>
      </c>
      <c r="AH1718">
        <v>0</v>
      </c>
      <c r="AI1718">
        <v>0</v>
      </c>
      <c r="AJ1718">
        <v>0</v>
      </c>
      <c r="AK1718">
        <v>0</v>
      </c>
      <c r="AL1718">
        <v>0</v>
      </c>
    </row>
    <row r="1719" spans="1:38" x14ac:dyDescent="0.3">
      <c r="A1719" t="s">
        <v>1813</v>
      </c>
      <c r="B1719">
        <v>9592</v>
      </c>
      <c r="C1719">
        <v>3</v>
      </c>
      <c r="D1719" t="s">
        <v>2356</v>
      </c>
      <c r="E1719" t="s">
        <v>2357</v>
      </c>
      <c r="F1719">
        <v>115</v>
      </c>
      <c r="G1719">
        <v>16.03</v>
      </c>
      <c r="H1719">
        <v>53.01</v>
      </c>
      <c r="I1719">
        <v>12.79</v>
      </c>
      <c r="J1719">
        <v>42.3</v>
      </c>
      <c r="K1719">
        <v>40</v>
      </c>
      <c r="T1719">
        <v>2</v>
      </c>
      <c r="U1719">
        <v>1</v>
      </c>
      <c r="V1719" t="s">
        <v>93</v>
      </c>
      <c r="W1719" t="s">
        <v>1273</v>
      </c>
      <c r="X1719">
        <v>5</v>
      </c>
      <c r="Y1719">
        <v>5</v>
      </c>
      <c r="Z1719" t="s">
        <v>2358</v>
      </c>
      <c r="AA1719" t="s">
        <v>2359</v>
      </c>
      <c r="AB1719" t="s">
        <v>96</v>
      </c>
      <c r="AC1719" t="s">
        <v>97</v>
      </c>
      <c r="AD1719" t="s">
        <v>1818</v>
      </c>
      <c r="AG1719" t="s">
        <v>2360</v>
      </c>
      <c r="AH1719">
        <v>0</v>
      </c>
      <c r="AI1719">
        <v>0</v>
      </c>
      <c r="AJ1719">
        <v>0</v>
      </c>
      <c r="AK1719">
        <v>0</v>
      </c>
      <c r="AL1719">
        <v>0</v>
      </c>
    </row>
    <row r="1720" spans="1:38" x14ac:dyDescent="0.3">
      <c r="A1720" t="s">
        <v>1813</v>
      </c>
      <c r="B1720">
        <v>9592</v>
      </c>
      <c r="C1720">
        <v>4</v>
      </c>
      <c r="D1720" t="s">
        <v>2356</v>
      </c>
      <c r="E1720" t="s">
        <v>2357</v>
      </c>
      <c r="F1720">
        <v>115</v>
      </c>
      <c r="G1720">
        <v>16.09</v>
      </c>
      <c r="H1720">
        <v>53.2</v>
      </c>
      <c r="I1720">
        <v>12.95</v>
      </c>
      <c r="J1720">
        <v>42.84</v>
      </c>
      <c r="K1720">
        <v>40</v>
      </c>
      <c r="T1720">
        <v>2</v>
      </c>
      <c r="U1720">
        <v>1</v>
      </c>
      <c r="V1720" t="s">
        <v>93</v>
      </c>
      <c r="W1720" t="s">
        <v>1274</v>
      </c>
      <c r="X1720">
        <v>5</v>
      </c>
      <c r="Y1720">
        <v>5</v>
      </c>
      <c r="Z1720" t="s">
        <v>2358</v>
      </c>
      <c r="AA1720" t="s">
        <v>2359</v>
      </c>
      <c r="AB1720" t="s">
        <v>96</v>
      </c>
      <c r="AC1720" t="s">
        <v>97</v>
      </c>
      <c r="AD1720" t="s">
        <v>1818</v>
      </c>
      <c r="AG1720" t="s">
        <v>2360</v>
      </c>
      <c r="AH1720">
        <v>0</v>
      </c>
      <c r="AI1720">
        <v>0</v>
      </c>
      <c r="AJ1720">
        <v>0</v>
      </c>
      <c r="AK1720">
        <v>0</v>
      </c>
      <c r="AL1720">
        <v>0</v>
      </c>
    </row>
    <row r="1721" spans="1:38" x14ac:dyDescent="0.3">
      <c r="A1721" t="s">
        <v>1813</v>
      </c>
      <c r="B1721">
        <v>11508</v>
      </c>
      <c r="C1721">
        <v>1</v>
      </c>
      <c r="D1721" t="s">
        <v>2361</v>
      </c>
      <c r="E1721" t="s">
        <v>890</v>
      </c>
      <c r="F1721">
        <v>17</v>
      </c>
      <c r="G1721">
        <v>11.84</v>
      </c>
      <c r="H1721">
        <v>39.159999999999997</v>
      </c>
      <c r="I1721">
        <v>9.9700000000000006</v>
      </c>
      <c r="J1721">
        <v>32.979999999999997</v>
      </c>
      <c r="K1721">
        <v>5</v>
      </c>
      <c r="T1721">
        <v>1</v>
      </c>
      <c r="U1721">
        <v>1</v>
      </c>
      <c r="V1721" t="s">
        <v>93</v>
      </c>
      <c r="W1721">
        <v>39</v>
      </c>
      <c r="X1721">
        <v>7</v>
      </c>
      <c r="Y1721">
        <v>6</v>
      </c>
      <c r="Z1721" t="s">
        <v>2362</v>
      </c>
      <c r="AA1721" t="s">
        <v>2363</v>
      </c>
      <c r="AB1721" t="s">
        <v>96</v>
      </c>
      <c r="AC1721" t="s">
        <v>97</v>
      </c>
      <c r="AD1721" t="s">
        <v>1818</v>
      </c>
      <c r="AG1721" t="s">
        <v>2364</v>
      </c>
      <c r="AH1721">
        <v>0</v>
      </c>
      <c r="AI1721">
        <v>290</v>
      </c>
      <c r="AJ1721">
        <v>55</v>
      </c>
      <c r="AK1721">
        <v>7</v>
      </c>
      <c r="AL1721">
        <v>0.41</v>
      </c>
    </row>
    <row r="1722" spans="1:38" x14ac:dyDescent="0.3">
      <c r="A1722" t="s">
        <v>1813</v>
      </c>
      <c r="B1722">
        <v>11508</v>
      </c>
      <c r="C1722">
        <v>2</v>
      </c>
      <c r="D1722" t="s">
        <v>2361</v>
      </c>
      <c r="E1722" t="s">
        <v>890</v>
      </c>
      <c r="F1722">
        <v>17</v>
      </c>
      <c r="G1722">
        <v>19.03</v>
      </c>
      <c r="H1722">
        <v>62.92</v>
      </c>
      <c r="I1722">
        <v>16.04</v>
      </c>
      <c r="J1722">
        <v>53.03</v>
      </c>
      <c r="K1722">
        <v>5</v>
      </c>
      <c r="T1722">
        <v>2</v>
      </c>
      <c r="U1722">
        <v>1</v>
      </c>
      <c r="V1722" t="s">
        <v>93</v>
      </c>
      <c r="W1722" t="s">
        <v>255</v>
      </c>
      <c r="X1722">
        <v>7</v>
      </c>
      <c r="Y1722">
        <v>6</v>
      </c>
      <c r="Z1722" t="s">
        <v>2362</v>
      </c>
      <c r="AA1722" t="s">
        <v>2363</v>
      </c>
      <c r="AB1722" t="s">
        <v>96</v>
      </c>
      <c r="AC1722" t="s">
        <v>97</v>
      </c>
      <c r="AD1722" t="s">
        <v>1818</v>
      </c>
      <c r="AG1722" t="s">
        <v>2364</v>
      </c>
      <c r="AH1722">
        <v>0</v>
      </c>
      <c r="AI1722">
        <v>290</v>
      </c>
      <c r="AJ1722">
        <v>55</v>
      </c>
      <c r="AK1722">
        <v>7</v>
      </c>
      <c r="AL1722">
        <v>0.41</v>
      </c>
    </row>
    <row r="1723" spans="1:38" x14ac:dyDescent="0.3">
      <c r="A1723" t="s">
        <v>1813</v>
      </c>
      <c r="B1723">
        <v>11508</v>
      </c>
      <c r="C1723">
        <v>3</v>
      </c>
      <c r="D1723" t="s">
        <v>2361</v>
      </c>
      <c r="E1723" t="s">
        <v>890</v>
      </c>
      <c r="F1723">
        <v>17</v>
      </c>
      <c r="G1723">
        <v>19.11</v>
      </c>
      <c r="H1723">
        <v>63.19</v>
      </c>
      <c r="I1723">
        <v>16.100000000000001</v>
      </c>
      <c r="J1723">
        <v>53.24</v>
      </c>
      <c r="K1723">
        <v>1</v>
      </c>
      <c r="T1723">
        <v>2</v>
      </c>
      <c r="U1723">
        <v>1</v>
      </c>
      <c r="V1723" t="s">
        <v>93</v>
      </c>
      <c r="W1723" t="s">
        <v>194</v>
      </c>
      <c r="X1723">
        <v>7</v>
      </c>
      <c r="Y1723">
        <v>6</v>
      </c>
      <c r="Z1723" t="s">
        <v>2362</v>
      </c>
      <c r="AA1723" t="s">
        <v>2363</v>
      </c>
      <c r="AB1723" t="s">
        <v>96</v>
      </c>
      <c r="AC1723" t="s">
        <v>97</v>
      </c>
      <c r="AD1723" t="s">
        <v>1818</v>
      </c>
      <c r="AG1723" t="s">
        <v>2364</v>
      </c>
      <c r="AH1723">
        <v>0</v>
      </c>
      <c r="AI1723">
        <v>290</v>
      </c>
      <c r="AJ1723">
        <v>55</v>
      </c>
      <c r="AK1723">
        <v>7</v>
      </c>
      <c r="AL1723">
        <v>0.41</v>
      </c>
    </row>
    <row r="1724" spans="1:38" x14ac:dyDescent="0.3">
      <c r="A1724" t="s">
        <v>1813</v>
      </c>
      <c r="B1724">
        <v>11508</v>
      </c>
      <c r="C1724">
        <v>4</v>
      </c>
      <c r="D1724" t="s">
        <v>2361</v>
      </c>
      <c r="E1724" t="s">
        <v>890</v>
      </c>
      <c r="F1724">
        <v>17</v>
      </c>
      <c r="G1724">
        <v>20.36</v>
      </c>
      <c r="H1724">
        <v>67.319999999999993</v>
      </c>
      <c r="I1724">
        <v>17.149999999999999</v>
      </c>
      <c r="J1724">
        <v>56.72</v>
      </c>
      <c r="K1724">
        <v>6</v>
      </c>
      <c r="T1724">
        <v>3</v>
      </c>
      <c r="U1724">
        <v>1</v>
      </c>
      <c r="V1724" t="s">
        <v>93</v>
      </c>
      <c r="W1724">
        <v>67</v>
      </c>
      <c r="X1724">
        <v>7</v>
      </c>
      <c r="Y1724">
        <v>6</v>
      </c>
      <c r="Z1724" t="s">
        <v>2362</v>
      </c>
      <c r="AA1724" t="s">
        <v>2363</v>
      </c>
      <c r="AB1724" t="s">
        <v>96</v>
      </c>
      <c r="AC1724" t="s">
        <v>97</v>
      </c>
      <c r="AD1724" t="s">
        <v>1818</v>
      </c>
      <c r="AG1724" t="s">
        <v>2364</v>
      </c>
      <c r="AH1724">
        <v>0</v>
      </c>
      <c r="AI1724">
        <v>290</v>
      </c>
      <c r="AJ1724">
        <v>55</v>
      </c>
      <c r="AK1724">
        <v>7</v>
      </c>
      <c r="AL1724">
        <v>0.41</v>
      </c>
    </row>
    <row r="1725" spans="1:38" x14ac:dyDescent="0.3">
      <c r="A1725" t="s">
        <v>1813</v>
      </c>
      <c r="B1725">
        <v>122551</v>
      </c>
      <c r="C1725">
        <v>1</v>
      </c>
      <c r="D1725" t="s">
        <v>2365</v>
      </c>
      <c r="E1725" t="s">
        <v>2366</v>
      </c>
      <c r="F1725">
        <v>8</v>
      </c>
      <c r="G1725">
        <v>23.26</v>
      </c>
      <c r="H1725">
        <v>76.91</v>
      </c>
      <c r="I1725">
        <v>21.14</v>
      </c>
      <c r="J1725">
        <v>69.900000000000006</v>
      </c>
      <c r="K1725">
        <v>1</v>
      </c>
      <c r="T1725">
        <v>3</v>
      </c>
      <c r="U1725">
        <v>1</v>
      </c>
      <c r="V1725" t="s">
        <v>93</v>
      </c>
      <c r="W1725" t="s">
        <v>1413</v>
      </c>
      <c r="X1725">
        <v>7</v>
      </c>
      <c r="Y1725">
        <v>7</v>
      </c>
      <c r="Z1725" t="s">
        <v>2367</v>
      </c>
      <c r="AA1725" t="s">
        <v>2368</v>
      </c>
      <c r="AB1725" t="s">
        <v>96</v>
      </c>
      <c r="AC1725" t="s">
        <v>97</v>
      </c>
      <c r="AD1725" t="s">
        <v>1818</v>
      </c>
      <c r="AG1725" t="s">
        <v>2369</v>
      </c>
      <c r="AH1725">
        <v>0</v>
      </c>
      <c r="AI1725">
        <v>454</v>
      </c>
      <c r="AJ1725">
        <v>79</v>
      </c>
      <c r="AK1725">
        <v>8</v>
      </c>
      <c r="AL1725">
        <v>1</v>
      </c>
    </row>
    <row r="1726" spans="1:38" x14ac:dyDescent="0.3">
      <c r="A1726" t="s">
        <v>1813</v>
      </c>
      <c r="B1726">
        <v>122551</v>
      </c>
      <c r="C1726">
        <v>2</v>
      </c>
      <c r="D1726" t="s">
        <v>2365</v>
      </c>
      <c r="E1726" t="s">
        <v>2366</v>
      </c>
      <c r="F1726">
        <v>8</v>
      </c>
      <c r="G1726">
        <v>23.41</v>
      </c>
      <c r="H1726">
        <v>77.42</v>
      </c>
      <c r="I1726">
        <v>21.28</v>
      </c>
      <c r="J1726">
        <v>70.37</v>
      </c>
      <c r="K1726">
        <v>1</v>
      </c>
      <c r="T1726">
        <v>3</v>
      </c>
      <c r="U1726">
        <v>1</v>
      </c>
      <c r="V1726" t="s">
        <v>93</v>
      </c>
      <c r="W1726" t="s">
        <v>948</v>
      </c>
      <c r="X1726">
        <v>7</v>
      </c>
      <c r="Y1726">
        <v>7</v>
      </c>
      <c r="Z1726" t="s">
        <v>2367</v>
      </c>
      <c r="AA1726" t="s">
        <v>2368</v>
      </c>
      <c r="AB1726" t="s">
        <v>96</v>
      </c>
      <c r="AC1726" t="s">
        <v>97</v>
      </c>
      <c r="AD1726" t="s">
        <v>1818</v>
      </c>
      <c r="AG1726" t="s">
        <v>2369</v>
      </c>
      <c r="AH1726">
        <v>0</v>
      </c>
      <c r="AI1726">
        <v>454</v>
      </c>
      <c r="AJ1726">
        <v>79</v>
      </c>
      <c r="AK1726">
        <v>8</v>
      </c>
      <c r="AL1726">
        <v>1</v>
      </c>
    </row>
    <row r="1727" spans="1:38" x14ac:dyDescent="0.3">
      <c r="A1727" t="s">
        <v>1813</v>
      </c>
      <c r="B1727">
        <v>122551</v>
      </c>
      <c r="C1727">
        <v>3</v>
      </c>
      <c r="D1727" t="s">
        <v>2365</v>
      </c>
      <c r="E1727" t="s">
        <v>2366</v>
      </c>
      <c r="F1727">
        <v>8</v>
      </c>
      <c r="G1727">
        <v>23.61</v>
      </c>
      <c r="H1727">
        <v>78.06</v>
      </c>
      <c r="I1727">
        <v>21.46</v>
      </c>
      <c r="J1727">
        <v>70.95</v>
      </c>
      <c r="K1727">
        <v>3</v>
      </c>
      <c r="T1727">
        <v>3</v>
      </c>
      <c r="U1727">
        <v>1</v>
      </c>
      <c r="V1727" t="s">
        <v>93</v>
      </c>
      <c r="W1727">
        <v>78</v>
      </c>
      <c r="X1727">
        <v>7</v>
      </c>
      <c r="Y1727">
        <v>7</v>
      </c>
      <c r="Z1727" t="s">
        <v>2367</v>
      </c>
      <c r="AA1727" t="s">
        <v>2368</v>
      </c>
      <c r="AB1727" t="s">
        <v>96</v>
      </c>
      <c r="AC1727" t="s">
        <v>97</v>
      </c>
      <c r="AD1727" t="s">
        <v>1818</v>
      </c>
      <c r="AG1727" t="s">
        <v>2369</v>
      </c>
      <c r="AH1727">
        <v>0</v>
      </c>
      <c r="AI1727">
        <v>454</v>
      </c>
      <c r="AJ1727">
        <v>79</v>
      </c>
      <c r="AK1727">
        <v>8</v>
      </c>
      <c r="AL1727">
        <v>1</v>
      </c>
    </row>
    <row r="1728" spans="1:38" x14ac:dyDescent="0.3">
      <c r="A1728" t="s">
        <v>1813</v>
      </c>
      <c r="B1728">
        <v>122551</v>
      </c>
      <c r="C1728">
        <v>4</v>
      </c>
      <c r="D1728" t="s">
        <v>2365</v>
      </c>
      <c r="E1728" t="s">
        <v>2366</v>
      </c>
      <c r="F1728">
        <v>8</v>
      </c>
      <c r="G1728">
        <v>25.06</v>
      </c>
      <c r="H1728">
        <v>82.85</v>
      </c>
      <c r="I1728">
        <v>22.77</v>
      </c>
      <c r="J1728">
        <v>75.3</v>
      </c>
      <c r="K1728">
        <v>1</v>
      </c>
      <c r="T1728">
        <v>3</v>
      </c>
      <c r="U1728">
        <v>2</v>
      </c>
      <c r="V1728" t="s">
        <v>93</v>
      </c>
      <c r="W1728">
        <v>82</v>
      </c>
      <c r="X1728">
        <v>7</v>
      </c>
      <c r="Y1728">
        <v>7</v>
      </c>
      <c r="Z1728" t="s">
        <v>2367</v>
      </c>
      <c r="AA1728" t="s">
        <v>2368</v>
      </c>
      <c r="AB1728" t="s">
        <v>96</v>
      </c>
      <c r="AC1728" t="s">
        <v>97</v>
      </c>
      <c r="AD1728" t="s">
        <v>1818</v>
      </c>
      <c r="AG1728" t="s">
        <v>2369</v>
      </c>
      <c r="AH1728">
        <v>0</v>
      </c>
      <c r="AI1728">
        <v>454</v>
      </c>
      <c r="AJ1728">
        <v>79</v>
      </c>
      <c r="AK1728">
        <v>8</v>
      </c>
      <c r="AL1728">
        <v>1</v>
      </c>
    </row>
    <row r="1729" spans="1:38" x14ac:dyDescent="0.3">
      <c r="A1729" t="s">
        <v>1813</v>
      </c>
      <c r="B1729">
        <v>122551</v>
      </c>
      <c r="C1729">
        <v>5</v>
      </c>
      <c r="D1729" t="s">
        <v>2365</v>
      </c>
      <c r="E1729" t="s">
        <v>2366</v>
      </c>
      <c r="F1729">
        <v>8</v>
      </c>
      <c r="G1729">
        <v>26.58</v>
      </c>
      <c r="H1729">
        <v>87.9</v>
      </c>
      <c r="I1729">
        <v>24.16</v>
      </c>
      <c r="J1729">
        <v>79.89</v>
      </c>
      <c r="K1729">
        <v>1</v>
      </c>
      <c r="T1729">
        <v>3</v>
      </c>
      <c r="U1729">
        <v>2</v>
      </c>
      <c r="V1729" t="s">
        <v>93</v>
      </c>
      <c r="W1729">
        <v>87</v>
      </c>
      <c r="X1729">
        <v>7</v>
      </c>
      <c r="Y1729">
        <v>7</v>
      </c>
      <c r="Z1729" t="s">
        <v>2367</v>
      </c>
      <c r="AA1729" t="s">
        <v>2368</v>
      </c>
      <c r="AB1729" t="s">
        <v>96</v>
      </c>
      <c r="AC1729" t="s">
        <v>97</v>
      </c>
      <c r="AD1729" t="s">
        <v>1818</v>
      </c>
      <c r="AG1729" t="s">
        <v>2369</v>
      </c>
      <c r="AH1729">
        <v>0</v>
      </c>
      <c r="AI1729">
        <v>454</v>
      </c>
      <c r="AJ1729">
        <v>79</v>
      </c>
      <c r="AK1729">
        <v>8</v>
      </c>
      <c r="AL1729">
        <v>1</v>
      </c>
    </row>
    <row r="1730" spans="1:38" x14ac:dyDescent="0.3">
      <c r="A1730" t="s">
        <v>1813</v>
      </c>
      <c r="B1730">
        <v>122551</v>
      </c>
      <c r="C1730">
        <v>6</v>
      </c>
      <c r="D1730" t="s">
        <v>2365</v>
      </c>
      <c r="E1730" t="s">
        <v>2366</v>
      </c>
      <c r="F1730">
        <v>8</v>
      </c>
      <c r="G1730">
        <v>27.74</v>
      </c>
      <c r="H1730">
        <v>91.73</v>
      </c>
      <c r="I1730">
        <v>25.21</v>
      </c>
      <c r="J1730">
        <v>83.37</v>
      </c>
      <c r="K1730">
        <v>1</v>
      </c>
      <c r="T1730">
        <v>3</v>
      </c>
      <c r="U1730">
        <v>2</v>
      </c>
      <c r="V1730" t="s">
        <v>93</v>
      </c>
      <c r="W1730">
        <v>91</v>
      </c>
      <c r="X1730">
        <v>7</v>
      </c>
      <c r="Y1730">
        <v>7</v>
      </c>
      <c r="Z1730" t="s">
        <v>2367</v>
      </c>
      <c r="AA1730" t="s">
        <v>2368</v>
      </c>
      <c r="AB1730" t="s">
        <v>96</v>
      </c>
      <c r="AC1730" t="s">
        <v>97</v>
      </c>
      <c r="AD1730" t="s">
        <v>1818</v>
      </c>
      <c r="AG1730" t="s">
        <v>2369</v>
      </c>
      <c r="AH1730">
        <v>0</v>
      </c>
      <c r="AI1730">
        <v>454</v>
      </c>
      <c r="AJ1730">
        <v>79</v>
      </c>
      <c r="AK1730">
        <v>8</v>
      </c>
      <c r="AL1730">
        <v>1</v>
      </c>
    </row>
    <row r="1731" spans="1:38" x14ac:dyDescent="0.3">
      <c r="A1731" t="s">
        <v>1813</v>
      </c>
      <c r="B1731">
        <v>108978</v>
      </c>
      <c r="C1731">
        <v>1</v>
      </c>
      <c r="D1731" t="s">
        <v>2370</v>
      </c>
      <c r="E1731" t="s">
        <v>2371</v>
      </c>
      <c r="F1731">
        <v>36</v>
      </c>
      <c r="G1731">
        <v>18.489999999999998</v>
      </c>
      <c r="H1731">
        <v>61.13</v>
      </c>
      <c r="I1731">
        <v>14.33</v>
      </c>
      <c r="J1731">
        <v>47.39</v>
      </c>
      <c r="K1731">
        <v>18</v>
      </c>
      <c r="T1731">
        <v>1</v>
      </c>
      <c r="U1731">
        <v>1</v>
      </c>
      <c r="V1731" t="s">
        <v>93</v>
      </c>
      <c r="W1731">
        <v>61</v>
      </c>
      <c r="X1731">
        <v>14</v>
      </c>
      <c r="Y1731">
        <v>14</v>
      </c>
      <c r="Z1731" t="s">
        <v>2372</v>
      </c>
      <c r="AA1731" t="s">
        <v>2373</v>
      </c>
      <c r="AB1731" t="s">
        <v>96</v>
      </c>
      <c r="AC1731" t="s">
        <v>97</v>
      </c>
      <c r="AD1731" t="s">
        <v>1818</v>
      </c>
      <c r="AG1731" t="s">
        <v>2374</v>
      </c>
      <c r="AH1731">
        <v>0</v>
      </c>
      <c r="AI1731">
        <v>688</v>
      </c>
      <c r="AJ1731">
        <v>70</v>
      </c>
      <c r="AK1731">
        <v>22</v>
      </c>
      <c r="AL1731">
        <v>0.61</v>
      </c>
    </row>
    <row r="1732" spans="1:38" x14ac:dyDescent="0.3">
      <c r="A1732" t="s">
        <v>1813</v>
      </c>
      <c r="B1732">
        <v>108978</v>
      </c>
      <c r="C1732">
        <v>2</v>
      </c>
      <c r="D1732" t="s">
        <v>2370</v>
      </c>
      <c r="E1732" t="s">
        <v>2371</v>
      </c>
      <c r="F1732">
        <v>36</v>
      </c>
      <c r="G1732">
        <v>19.36</v>
      </c>
      <c r="H1732">
        <v>64.02</v>
      </c>
      <c r="I1732">
        <v>15.01</v>
      </c>
      <c r="J1732">
        <v>49.62</v>
      </c>
      <c r="K1732">
        <v>18</v>
      </c>
      <c r="T1732">
        <v>1</v>
      </c>
      <c r="U1732">
        <v>1</v>
      </c>
      <c r="V1732" t="s">
        <v>93</v>
      </c>
      <c r="W1732">
        <v>64</v>
      </c>
      <c r="X1732">
        <v>14</v>
      </c>
      <c r="Y1732">
        <v>14</v>
      </c>
      <c r="Z1732" t="s">
        <v>2372</v>
      </c>
      <c r="AA1732" t="s">
        <v>2373</v>
      </c>
      <c r="AB1732" t="s">
        <v>96</v>
      </c>
      <c r="AC1732" t="s">
        <v>97</v>
      </c>
      <c r="AD1732" t="s">
        <v>1818</v>
      </c>
      <c r="AG1732" t="s">
        <v>2374</v>
      </c>
      <c r="AH1732">
        <v>0</v>
      </c>
      <c r="AI1732">
        <v>688</v>
      </c>
      <c r="AJ1732">
        <v>70</v>
      </c>
      <c r="AK1732">
        <v>22</v>
      </c>
      <c r="AL1732">
        <v>0.61</v>
      </c>
    </row>
    <row r="1733" spans="1:38" x14ac:dyDescent="0.3">
      <c r="A1733" t="s">
        <v>1813</v>
      </c>
      <c r="B1733">
        <v>126434</v>
      </c>
      <c r="C1733">
        <v>1</v>
      </c>
      <c r="D1733" t="s">
        <v>2375</v>
      </c>
      <c r="E1733" t="s">
        <v>2376</v>
      </c>
      <c r="F1733">
        <v>244</v>
      </c>
      <c r="G1733">
        <v>26.47</v>
      </c>
      <c r="H1733">
        <v>87.53</v>
      </c>
      <c r="I1733">
        <v>19.61</v>
      </c>
      <c r="J1733">
        <v>64.84</v>
      </c>
      <c r="K1733">
        <v>93</v>
      </c>
      <c r="T1733">
        <v>3</v>
      </c>
      <c r="U1733">
        <v>2</v>
      </c>
      <c r="V1733" t="s">
        <v>93</v>
      </c>
      <c r="W1733">
        <v>87</v>
      </c>
      <c r="X1733">
        <v>20</v>
      </c>
      <c r="Y1733">
        <v>10</v>
      </c>
      <c r="Z1733" t="s">
        <v>2377</v>
      </c>
      <c r="AA1733" t="s">
        <v>2378</v>
      </c>
      <c r="AB1733" t="s">
        <v>96</v>
      </c>
      <c r="AC1733" t="s">
        <v>97</v>
      </c>
      <c r="AD1733" t="s">
        <v>1818</v>
      </c>
      <c r="AG1733" t="s">
        <v>2379</v>
      </c>
      <c r="AH1733">
        <v>0</v>
      </c>
      <c r="AI1733">
        <v>0</v>
      </c>
      <c r="AJ1733">
        <v>0</v>
      </c>
      <c r="AK1733">
        <v>262</v>
      </c>
      <c r="AL1733">
        <v>1.07</v>
      </c>
    </row>
    <row r="1734" spans="1:38" x14ac:dyDescent="0.3">
      <c r="A1734" t="s">
        <v>1813</v>
      </c>
      <c r="B1734">
        <v>126434</v>
      </c>
      <c r="C1734">
        <v>2</v>
      </c>
      <c r="D1734" t="s">
        <v>2375</v>
      </c>
      <c r="E1734" t="s">
        <v>2376</v>
      </c>
      <c r="F1734">
        <v>244</v>
      </c>
      <c r="G1734">
        <v>27.86</v>
      </c>
      <c r="H1734">
        <v>92.11</v>
      </c>
      <c r="I1734">
        <v>20.37</v>
      </c>
      <c r="J1734">
        <v>67.37</v>
      </c>
      <c r="K1734">
        <v>68</v>
      </c>
      <c r="T1734">
        <v>3</v>
      </c>
      <c r="U1734">
        <v>2</v>
      </c>
      <c r="V1734" t="s">
        <v>93</v>
      </c>
      <c r="W1734">
        <v>92</v>
      </c>
      <c r="X1734">
        <v>20</v>
      </c>
      <c r="Y1734">
        <v>10</v>
      </c>
      <c r="Z1734" t="s">
        <v>2377</v>
      </c>
      <c r="AA1734" t="s">
        <v>2378</v>
      </c>
      <c r="AB1734" t="s">
        <v>96</v>
      </c>
      <c r="AC1734" t="s">
        <v>97</v>
      </c>
      <c r="AD1734" t="s">
        <v>1818</v>
      </c>
      <c r="AG1734" t="s">
        <v>2379</v>
      </c>
      <c r="AH1734">
        <v>0</v>
      </c>
      <c r="AI1734">
        <v>0</v>
      </c>
      <c r="AJ1734">
        <v>0</v>
      </c>
      <c r="AK1734">
        <v>262</v>
      </c>
      <c r="AL1734">
        <v>1.07</v>
      </c>
    </row>
    <row r="1735" spans="1:38" x14ac:dyDescent="0.3">
      <c r="A1735" t="s">
        <v>1813</v>
      </c>
      <c r="B1735">
        <v>126434</v>
      </c>
      <c r="C1735">
        <v>3</v>
      </c>
      <c r="D1735" t="s">
        <v>2375</v>
      </c>
      <c r="E1735" t="s">
        <v>2376</v>
      </c>
      <c r="F1735">
        <v>244</v>
      </c>
      <c r="G1735">
        <v>29.66</v>
      </c>
      <c r="H1735">
        <v>98.05</v>
      </c>
      <c r="I1735">
        <v>21.96</v>
      </c>
      <c r="J1735">
        <v>72.599999999999994</v>
      </c>
      <c r="K1735">
        <v>45</v>
      </c>
      <c r="T1735">
        <v>3</v>
      </c>
      <c r="U1735">
        <v>2</v>
      </c>
      <c r="V1735" t="s">
        <v>93</v>
      </c>
      <c r="W1735">
        <v>98</v>
      </c>
      <c r="X1735">
        <v>20</v>
      </c>
      <c r="Y1735">
        <v>10</v>
      </c>
      <c r="Z1735" t="s">
        <v>2377</v>
      </c>
      <c r="AA1735" t="s">
        <v>2378</v>
      </c>
      <c r="AB1735" t="s">
        <v>96</v>
      </c>
      <c r="AC1735" t="s">
        <v>97</v>
      </c>
      <c r="AD1735" t="s">
        <v>1818</v>
      </c>
      <c r="AG1735" t="s">
        <v>2379</v>
      </c>
      <c r="AH1735">
        <v>0</v>
      </c>
      <c r="AI1735">
        <v>0</v>
      </c>
      <c r="AJ1735">
        <v>0</v>
      </c>
      <c r="AK1735">
        <v>262</v>
      </c>
      <c r="AL1735">
        <v>1.07</v>
      </c>
    </row>
    <row r="1736" spans="1:38" x14ac:dyDescent="0.3">
      <c r="A1736" t="s">
        <v>1813</v>
      </c>
      <c r="B1736">
        <v>126434</v>
      </c>
      <c r="C1736">
        <v>4</v>
      </c>
      <c r="D1736" t="s">
        <v>2375</v>
      </c>
      <c r="E1736" t="s">
        <v>2376</v>
      </c>
      <c r="F1736">
        <v>244</v>
      </c>
      <c r="G1736">
        <v>32.99</v>
      </c>
      <c r="H1736">
        <v>109.08</v>
      </c>
      <c r="I1736">
        <v>25.7</v>
      </c>
      <c r="J1736">
        <v>84.99</v>
      </c>
      <c r="K1736">
        <v>19</v>
      </c>
      <c r="T1736">
        <v>3</v>
      </c>
      <c r="U1736">
        <v>2</v>
      </c>
      <c r="V1736" t="s">
        <v>93</v>
      </c>
      <c r="W1736" t="s">
        <v>156</v>
      </c>
      <c r="X1736">
        <v>20</v>
      </c>
      <c r="Y1736">
        <v>10</v>
      </c>
      <c r="Z1736" t="s">
        <v>2377</v>
      </c>
      <c r="AA1736" t="s">
        <v>2378</v>
      </c>
      <c r="AB1736" t="s">
        <v>96</v>
      </c>
      <c r="AC1736" t="s">
        <v>97</v>
      </c>
      <c r="AD1736" t="s">
        <v>1818</v>
      </c>
      <c r="AG1736" t="s">
        <v>2379</v>
      </c>
      <c r="AH1736">
        <v>0</v>
      </c>
      <c r="AI1736">
        <v>0</v>
      </c>
      <c r="AJ1736">
        <v>0</v>
      </c>
      <c r="AK1736">
        <v>262</v>
      </c>
      <c r="AL1736">
        <v>1.07</v>
      </c>
    </row>
    <row r="1737" spans="1:38" x14ac:dyDescent="0.3">
      <c r="A1737" t="s">
        <v>1813</v>
      </c>
      <c r="B1737">
        <v>126434</v>
      </c>
      <c r="C1737">
        <v>5</v>
      </c>
      <c r="D1737" t="s">
        <v>2375</v>
      </c>
      <c r="E1737" t="s">
        <v>2376</v>
      </c>
      <c r="F1737">
        <v>244</v>
      </c>
      <c r="G1737">
        <v>33.01</v>
      </c>
      <c r="H1737">
        <v>109.14</v>
      </c>
      <c r="I1737">
        <v>25.69</v>
      </c>
      <c r="J1737">
        <v>84.95</v>
      </c>
      <c r="K1737">
        <v>19</v>
      </c>
      <c r="T1737">
        <v>3</v>
      </c>
      <c r="U1737">
        <v>2</v>
      </c>
      <c r="V1737" t="s">
        <v>93</v>
      </c>
      <c r="W1737" t="s">
        <v>864</v>
      </c>
      <c r="X1737">
        <v>20</v>
      </c>
      <c r="Y1737">
        <v>10</v>
      </c>
      <c r="Z1737" t="s">
        <v>2377</v>
      </c>
      <c r="AA1737" t="s">
        <v>2378</v>
      </c>
      <c r="AB1737" t="s">
        <v>96</v>
      </c>
      <c r="AC1737" t="s">
        <v>97</v>
      </c>
      <c r="AD1737" t="s">
        <v>1818</v>
      </c>
      <c r="AG1737" t="s">
        <v>2379</v>
      </c>
      <c r="AH1737">
        <v>0</v>
      </c>
      <c r="AI1737">
        <v>0</v>
      </c>
      <c r="AJ1737">
        <v>0</v>
      </c>
      <c r="AK1737">
        <v>262</v>
      </c>
      <c r="AL1737">
        <v>1.07</v>
      </c>
    </row>
    <row r="1738" spans="1:38" x14ac:dyDescent="0.3">
      <c r="A1738" t="s">
        <v>1813</v>
      </c>
      <c r="B1738">
        <v>121724</v>
      </c>
      <c r="C1738">
        <v>1</v>
      </c>
      <c r="D1738" t="s">
        <v>741</v>
      </c>
      <c r="E1738" t="s">
        <v>1151</v>
      </c>
      <c r="F1738">
        <v>24</v>
      </c>
      <c r="G1738">
        <v>16.62</v>
      </c>
      <c r="H1738">
        <v>54.95</v>
      </c>
      <c r="I1738">
        <v>13.87</v>
      </c>
      <c r="J1738">
        <v>45.88</v>
      </c>
      <c r="K1738">
        <v>12</v>
      </c>
      <c r="T1738">
        <v>2</v>
      </c>
      <c r="U1738">
        <v>1</v>
      </c>
      <c r="V1738" t="s">
        <v>93</v>
      </c>
      <c r="W1738" t="s">
        <v>176</v>
      </c>
      <c r="X1738">
        <v>13</v>
      </c>
      <c r="Y1738">
        <v>13</v>
      </c>
      <c r="Z1738" t="s">
        <v>2380</v>
      </c>
      <c r="AA1738" t="s">
        <v>2381</v>
      </c>
      <c r="AB1738" t="s">
        <v>96</v>
      </c>
      <c r="AC1738" t="s">
        <v>97</v>
      </c>
      <c r="AD1738" t="s">
        <v>1818</v>
      </c>
      <c r="AG1738" t="s">
        <v>2382</v>
      </c>
      <c r="AH1738">
        <v>0</v>
      </c>
      <c r="AI1738">
        <v>799</v>
      </c>
      <c r="AJ1738">
        <v>78</v>
      </c>
      <c r="AK1738">
        <v>16</v>
      </c>
      <c r="AL1738">
        <v>0.67</v>
      </c>
    </row>
    <row r="1739" spans="1:38" x14ac:dyDescent="0.3">
      <c r="A1739" t="s">
        <v>1813</v>
      </c>
      <c r="B1739">
        <v>121724</v>
      </c>
      <c r="C1739">
        <v>2</v>
      </c>
      <c r="D1739" t="s">
        <v>741</v>
      </c>
      <c r="E1739" t="s">
        <v>1151</v>
      </c>
      <c r="F1739">
        <v>24</v>
      </c>
      <c r="G1739">
        <v>16.62</v>
      </c>
      <c r="H1739">
        <v>54.96</v>
      </c>
      <c r="I1739">
        <v>14.02</v>
      </c>
      <c r="J1739">
        <v>46.35</v>
      </c>
      <c r="K1739">
        <v>12</v>
      </c>
      <c r="T1739">
        <v>2</v>
      </c>
      <c r="U1739">
        <v>1</v>
      </c>
      <c r="V1739" t="s">
        <v>93</v>
      </c>
      <c r="W1739" t="s">
        <v>2074</v>
      </c>
      <c r="X1739">
        <v>13</v>
      </c>
      <c r="Y1739">
        <v>13</v>
      </c>
      <c r="Z1739" t="s">
        <v>2380</v>
      </c>
      <c r="AA1739" t="s">
        <v>2381</v>
      </c>
      <c r="AB1739" t="s">
        <v>96</v>
      </c>
      <c r="AC1739" t="s">
        <v>97</v>
      </c>
      <c r="AD1739" t="s">
        <v>1818</v>
      </c>
      <c r="AG1739" t="s">
        <v>2382</v>
      </c>
      <c r="AH1739">
        <v>0</v>
      </c>
      <c r="AI1739">
        <v>799</v>
      </c>
      <c r="AJ1739">
        <v>78</v>
      </c>
      <c r="AK1739">
        <v>16</v>
      </c>
      <c r="AL1739">
        <v>0.67</v>
      </c>
    </row>
    <row r="1740" spans="1:38" x14ac:dyDescent="0.3">
      <c r="A1740" t="s">
        <v>1813</v>
      </c>
      <c r="B1740">
        <v>117435</v>
      </c>
      <c r="C1740">
        <v>1</v>
      </c>
      <c r="D1740" t="s">
        <v>2383</v>
      </c>
      <c r="E1740" t="s">
        <v>391</v>
      </c>
      <c r="F1740">
        <v>18</v>
      </c>
      <c r="G1740">
        <v>18.829999999999998</v>
      </c>
      <c r="H1740">
        <v>62.28</v>
      </c>
      <c r="I1740">
        <v>14.93</v>
      </c>
      <c r="J1740">
        <v>49.37</v>
      </c>
      <c r="K1740">
        <v>3</v>
      </c>
      <c r="T1740">
        <v>2</v>
      </c>
      <c r="U1740">
        <v>1</v>
      </c>
      <c r="V1740" t="s">
        <v>132</v>
      </c>
      <c r="W1740">
        <v>62</v>
      </c>
      <c r="X1740">
        <v>14</v>
      </c>
      <c r="Y1740">
        <v>14</v>
      </c>
      <c r="Z1740" t="s">
        <v>2384</v>
      </c>
      <c r="AA1740" t="s">
        <v>2385</v>
      </c>
      <c r="AB1740" t="s">
        <v>96</v>
      </c>
      <c r="AC1740" t="s">
        <v>97</v>
      </c>
      <c r="AD1740" t="s">
        <v>1818</v>
      </c>
      <c r="AG1740" t="s">
        <v>2386</v>
      </c>
      <c r="AH1740">
        <v>0</v>
      </c>
      <c r="AI1740">
        <v>825</v>
      </c>
      <c r="AJ1740">
        <v>71</v>
      </c>
      <c r="AK1740">
        <v>16</v>
      </c>
      <c r="AL1740">
        <v>0.89</v>
      </c>
    </row>
    <row r="1741" spans="1:38" x14ac:dyDescent="0.3">
      <c r="A1741" t="s">
        <v>1813</v>
      </c>
      <c r="B1741">
        <v>117435</v>
      </c>
      <c r="C1741">
        <v>2</v>
      </c>
      <c r="D1741" t="s">
        <v>2383</v>
      </c>
      <c r="E1741" t="s">
        <v>391</v>
      </c>
      <c r="F1741">
        <v>18</v>
      </c>
      <c r="G1741">
        <v>21.12</v>
      </c>
      <c r="H1741">
        <v>69.849999999999994</v>
      </c>
      <c r="I1741">
        <v>16.78</v>
      </c>
      <c r="J1741">
        <v>55.49</v>
      </c>
      <c r="K1741">
        <v>3</v>
      </c>
      <c r="T1741">
        <v>3</v>
      </c>
      <c r="U1741">
        <v>1</v>
      </c>
      <c r="V1741" t="s">
        <v>132</v>
      </c>
      <c r="W1741">
        <v>69</v>
      </c>
      <c r="X1741">
        <v>14</v>
      </c>
      <c r="Y1741">
        <v>14</v>
      </c>
      <c r="Z1741" t="s">
        <v>2384</v>
      </c>
      <c r="AA1741" t="s">
        <v>2385</v>
      </c>
      <c r="AB1741" t="s">
        <v>96</v>
      </c>
      <c r="AC1741" t="s">
        <v>97</v>
      </c>
      <c r="AD1741" t="s">
        <v>1818</v>
      </c>
      <c r="AG1741" t="s">
        <v>2386</v>
      </c>
      <c r="AH1741">
        <v>0</v>
      </c>
      <c r="AI1741">
        <v>825</v>
      </c>
      <c r="AJ1741">
        <v>71</v>
      </c>
      <c r="AK1741">
        <v>16</v>
      </c>
      <c r="AL1741">
        <v>0.89</v>
      </c>
    </row>
    <row r="1742" spans="1:38" x14ac:dyDescent="0.3">
      <c r="A1742" t="s">
        <v>1813</v>
      </c>
      <c r="B1742">
        <v>117435</v>
      </c>
      <c r="C1742">
        <v>3</v>
      </c>
      <c r="D1742" t="s">
        <v>2383</v>
      </c>
      <c r="E1742" t="s">
        <v>391</v>
      </c>
      <c r="F1742">
        <v>18</v>
      </c>
      <c r="G1742">
        <v>21.8</v>
      </c>
      <c r="H1742">
        <v>72.09</v>
      </c>
      <c r="I1742">
        <v>17.21</v>
      </c>
      <c r="J1742">
        <v>56.9</v>
      </c>
      <c r="K1742">
        <v>3</v>
      </c>
      <c r="T1742">
        <v>3</v>
      </c>
      <c r="U1742">
        <v>1</v>
      </c>
      <c r="V1742" t="s">
        <v>132</v>
      </c>
      <c r="W1742" t="s">
        <v>282</v>
      </c>
      <c r="X1742">
        <v>14</v>
      </c>
      <c r="Y1742">
        <v>14</v>
      </c>
      <c r="Z1742" t="s">
        <v>2384</v>
      </c>
      <c r="AA1742" t="s">
        <v>2385</v>
      </c>
      <c r="AB1742" t="s">
        <v>96</v>
      </c>
      <c r="AC1742" t="s">
        <v>97</v>
      </c>
      <c r="AD1742" t="s">
        <v>1818</v>
      </c>
      <c r="AG1742" t="s">
        <v>2386</v>
      </c>
      <c r="AH1742">
        <v>0</v>
      </c>
      <c r="AI1742">
        <v>825</v>
      </c>
      <c r="AJ1742">
        <v>71</v>
      </c>
      <c r="AK1742">
        <v>16</v>
      </c>
      <c r="AL1742">
        <v>0.89</v>
      </c>
    </row>
    <row r="1743" spans="1:38" x14ac:dyDescent="0.3">
      <c r="A1743" t="s">
        <v>1813</v>
      </c>
      <c r="B1743">
        <v>117435</v>
      </c>
      <c r="C1743">
        <v>4</v>
      </c>
      <c r="D1743" t="s">
        <v>2383</v>
      </c>
      <c r="E1743" t="s">
        <v>391</v>
      </c>
      <c r="F1743">
        <v>18</v>
      </c>
      <c r="G1743">
        <v>21.82</v>
      </c>
      <c r="H1743">
        <v>72.14</v>
      </c>
      <c r="I1743">
        <v>17.329999999999998</v>
      </c>
      <c r="J1743">
        <v>57.29</v>
      </c>
      <c r="K1743">
        <v>3</v>
      </c>
      <c r="T1743">
        <v>3</v>
      </c>
      <c r="U1743">
        <v>1</v>
      </c>
      <c r="V1743" t="s">
        <v>132</v>
      </c>
      <c r="W1743" t="s">
        <v>296</v>
      </c>
      <c r="X1743">
        <v>14</v>
      </c>
      <c r="Y1743">
        <v>14</v>
      </c>
      <c r="Z1743" t="s">
        <v>2384</v>
      </c>
      <c r="AA1743" t="s">
        <v>2385</v>
      </c>
      <c r="AB1743" t="s">
        <v>96</v>
      </c>
      <c r="AC1743" t="s">
        <v>97</v>
      </c>
      <c r="AD1743" t="s">
        <v>1818</v>
      </c>
      <c r="AG1743" t="s">
        <v>2386</v>
      </c>
      <c r="AH1743">
        <v>0</v>
      </c>
      <c r="AI1743">
        <v>825</v>
      </c>
      <c r="AJ1743">
        <v>71</v>
      </c>
      <c r="AK1743">
        <v>16</v>
      </c>
      <c r="AL1743">
        <v>0.89</v>
      </c>
    </row>
    <row r="1744" spans="1:38" x14ac:dyDescent="0.3">
      <c r="A1744" t="s">
        <v>1813</v>
      </c>
      <c r="B1744">
        <v>117435</v>
      </c>
      <c r="C1744">
        <v>5</v>
      </c>
      <c r="D1744" t="s">
        <v>2383</v>
      </c>
      <c r="E1744" t="s">
        <v>391</v>
      </c>
      <c r="F1744">
        <v>18</v>
      </c>
      <c r="G1744">
        <v>22.17</v>
      </c>
      <c r="H1744">
        <v>73.31</v>
      </c>
      <c r="I1744">
        <v>17.37</v>
      </c>
      <c r="J1744">
        <v>57.44</v>
      </c>
      <c r="K1744">
        <v>3</v>
      </c>
      <c r="T1744">
        <v>3</v>
      </c>
      <c r="U1744">
        <v>1</v>
      </c>
      <c r="V1744" t="s">
        <v>132</v>
      </c>
      <c r="W1744" t="s">
        <v>903</v>
      </c>
      <c r="X1744">
        <v>14</v>
      </c>
      <c r="Y1744">
        <v>14</v>
      </c>
      <c r="Z1744" t="s">
        <v>2384</v>
      </c>
      <c r="AA1744" t="s">
        <v>2385</v>
      </c>
      <c r="AB1744" t="s">
        <v>96</v>
      </c>
      <c r="AC1744" t="s">
        <v>97</v>
      </c>
      <c r="AD1744" t="s">
        <v>1818</v>
      </c>
      <c r="AG1744" t="s">
        <v>2386</v>
      </c>
      <c r="AH1744">
        <v>0</v>
      </c>
      <c r="AI1744">
        <v>825</v>
      </c>
      <c r="AJ1744">
        <v>71</v>
      </c>
      <c r="AK1744">
        <v>16</v>
      </c>
      <c r="AL1744">
        <v>0.89</v>
      </c>
    </row>
    <row r="1745" spans="1:38" x14ac:dyDescent="0.3">
      <c r="A1745" t="s">
        <v>1813</v>
      </c>
      <c r="B1745">
        <v>117435</v>
      </c>
      <c r="C1745">
        <v>6</v>
      </c>
      <c r="D1745" t="s">
        <v>2383</v>
      </c>
      <c r="E1745" t="s">
        <v>391</v>
      </c>
      <c r="F1745">
        <v>18</v>
      </c>
      <c r="G1745">
        <v>22.27</v>
      </c>
      <c r="H1745">
        <v>73.63</v>
      </c>
      <c r="I1745">
        <v>17.63</v>
      </c>
      <c r="J1745">
        <v>58.31</v>
      </c>
      <c r="K1745">
        <v>2</v>
      </c>
      <c r="T1745">
        <v>3</v>
      </c>
      <c r="U1745">
        <v>1</v>
      </c>
      <c r="V1745" t="s">
        <v>132</v>
      </c>
      <c r="W1745" t="s">
        <v>2312</v>
      </c>
      <c r="X1745">
        <v>14</v>
      </c>
      <c r="Y1745">
        <v>14</v>
      </c>
      <c r="Z1745" t="s">
        <v>2384</v>
      </c>
      <c r="AA1745" t="s">
        <v>2385</v>
      </c>
      <c r="AB1745" t="s">
        <v>96</v>
      </c>
      <c r="AC1745" t="s">
        <v>97</v>
      </c>
      <c r="AD1745" t="s">
        <v>1818</v>
      </c>
      <c r="AG1745" t="s">
        <v>2386</v>
      </c>
      <c r="AH1745">
        <v>0</v>
      </c>
      <c r="AI1745">
        <v>825</v>
      </c>
      <c r="AJ1745">
        <v>71</v>
      </c>
      <c r="AK1745">
        <v>16</v>
      </c>
      <c r="AL1745">
        <v>0.89</v>
      </c>
    </row>
    <row r="1746" spans="1:38" x14ac:dyDescent="0.3">
      <c r="A1746" t="s">
        <v>1813</v>
      </c>
      <c r="B1746">
        <v>117435</v>
      </c>
      <c r="C1746">
        <v>7</v>
      </c>
      <c r="D1746" t="s">
        <v>2383</v>
      </c>
      <c r="E1746" t="s">
        <v>391</v>
      </c>
      <c r="F1746">
        <v>18</v>
      </c>
      <c r="G1746">
        <v>22.27</v>
      </c>
      <c r="H1746">
        <v>73.63</v>
      </c>
      <c r="I1746">
        <v>17.63</v>
      </c>
      <c r="J1746">
        <v>58.31</v>
      </c>
      <c r="K1746">
        <v>1</v>
      </c>
      <c r="T1746">
        <v>3</v>
      </c>
      <c r="U1746">
        <v>1</v>
      </c>
      <c r="V1746" t="s">
        <v>132</v>
      </c>
      <c r="W1746" t="s">
        <v>2387</v>
      </c>
      <c r="X1746">
        <v>14</v>
      </c>
      <c r="Y1746">
        <v>14</v>
      </c>
      <c r="Z1746" t="s">
        <v>2384</v>
      </c>
      <c r="AA1746" t="s">
        <v>2385</v>
      </c>
      <c r="AB1746" t="s">
        <v>96</v>
      </c>
      <c r="AC1746" t="s">
        <v>97</v>
      </c>
      <c r="AD1746" t="s">
        <v>1818</v>
      </c>
      <c r="AG1746" t="s">
        <v>2386</v>
      </c>
      <c r="AH1746">
        <v>0</v>
      </c>
      <c r="AI1746">
        <v>825</v>
      </c>
      <c r="AJ1746">
        <v>71</v>
      </c>
      <c r="AK1746">
        <v>16</v>
      </c>
      <c r="AL1746">
        <v>0.89</v>
      </c>
    </row>
    <row r="1747" spans="1:38" x14ac:dyDescent="0.3">
      <c r="A1747" t="s">
        <v>1813</v>
      </c>
      <c r="B1747">
        <v>104483</v>
      </c>
      <c r="C1747">
        <v>1</v>
      </c>
      <c r="D1747" t="s">
        <v>2388</v>
      </c>
      <c r="E1747" t="s">
        <v>2389</v>
      </c>
      <c r="F1747">
        <v>50</v>
      </c>
      <c r="G1747">
        <v>21.2</v>
      </c>
      <c r="H1747">
        <v>70.09</v>
      </c>
      <c r="I1747">
        <v>17.059999999999999</v>
      </c>
      <c r="J1747">
        <v>56.4</v>
      </c>
      <c r="K1747">
        <v>50</v>
      </c>
      <c r="T1747">
        <v>3</v>
      </c>
      <c r="U1747">
        <v>1</v>
      </c>
      <c r="V1747" t="s">
        <v>93</v>
      </c>
      <c r="W1747">
        <v>70</v>
      </c>
      <c r="X1747">
        <v>5</v>
      </c>
      <c r="Y1747">
        <v>5</v>
      </c>
      <c r="Z1747" t="s">
        <v>2390</v>
      </c>
      <c r="AA1747" t="s">
        <v>2391</v>
      </c>
      <c r="AB1747" t="s">
        <v>96</v>
      </c>
      <c r="AC1747" t="s">
        <v>97</v>
      </c>
      <c r="AD1747" t="s">
        <v>1818</v>
      </c>
      <c r="AG1747" t="s">
        <v>1915</v>
      </c>
      <c r="AH1747">
        <v>0</v>
      </c>
      <c r="AI1747">
        <v>0</v>
      </c>
      <c r="AJ1747">
        <v>0</v>
      </c>
      <c r="AK1747">
        <v>0</v>
      </c>
      <c r="AL1747">
        <v>0</v>
      </c>
    </row>
    <row r="1748" spans="1:38" x14ac:dyDescent="0.3">
      <c r="A1748" t="s">
        <v>1813</v>
      </c>
      <c r="B1748">
        <v>142058</v>
      </c>
      <c r="C1748">
        <v>1</v>
      </c>
      <c r="D1748" t="s">
        <v>2392</v>
      </c>
      <c r="E1748" t="s">
        <v>210</v>
      </c>
      <c r="F1748">
        <v>2</v>
      </c>
      <c r="G1748">
        <v>26.89</v>
      </c>
      <c r="H1748">
        <v>88.91</v>
      </c>
      <c r="I1748">
        <v>22.25</v>
      </c>
      <c r="J1748">
        <v>73.569999999999993</v>
      </c>
      <c r="K1748">
        <v>1</v>
      </c>
      <c r="T1748">
        <v>3</v>
      </c>
      <c r="U1748">
        <v>2</v>
      </c>
      <c r="V1748" t="s">
        <v>93</v>
      </c>
      <c r="W1748" t="s">
        <v>297</v>
      </c>
      <c r="X1748">
        <v>13</v>
      </c>
      <c r="Y1748">
        <v>13</v>
      </c>
      <c r="Z1748" t="s">
        <v>2393</v>
      </c>
      <c r="AA1748" t="s">
        <v>2394</v>
      </c>
      <c r="AB1748" t="s">
        <v>96</v>
      </c>
      <c r="AC1748" t="s">
        <v>97</v>
      </c>
      <c r="AD1748" t="s">
        <v>1818</v>
      </c>
      <c r="AG1748" t="s">
        <v>2395</v>
      </c>
      <c r="AH1748">
        <v>0</v>
      </c>
      <c r="AI1748">
        <v>497</v>
      </c>
      <c r="AJ1748">
        <v>43</v>
      </c>
      <c r="AK1748">
        <v>0</v>
      </c>
      <c r="AL1748">
        <v>0</v>
      </c>
    </row>
    <row r="1749" spans="1:38" x14ac:dyDescent="0.3">
      <c r="A1749" t="s">
        <v>1813</v>
      </c>
      <c r="B1749">
        <v>142058</v>
      </c>
      <c r="C1749">
        <v>2</v>
      </c>
      <c r="D1749" t="s">
        <v>2392</v>
      </c>
      <c r="E1749" t="s">
        <v>210</v>
      </c>
      <c r="F1749">
        <v>2</v>
      </c>
      <c r="G1749">
        <v>26.89</v>
      </c>
      <c r="H1749">
        <v>88.92</v>
      </c>
      <c r="I1749">
        <v>22.25</v>
      </c>
      <c r="J1749">
        <v>73.569999999999993</v>
      </c>
      <c r="K1749">
        <v>1</v>
      </c>
      <c r="T1749">
        <v>3</v>
      </c>
      <c r="U1749">
        <v>2</v>
      </c>
      <c r="V1749" t="s">
        <v>93</v>
      </c>
      <c r="W1749" t="s">
        <v>298</v>
      </c>
      <c r="X1749">
        <v>13</v>
      </c>
      <c r="Y1749">
        <v>13</v>
      </c>
      <c r="Z1749" t="s">
        <v>2393</v>
      </c>
      <c r="AA1749" t="s">
        <v>2394</v>
      </c>
      <c r="AB1749" t="s">
        <v>96</v>
      </c>
      <c r="AC1749" t="s">
        <v>97</v>
      </c>
      <c r="AD1749" t="s">
        <v>1818</v>
      </c>
      <c r="AG1749" t="s">
        <v>2395</v>
      </c>
      <c r="AH1749">
        <v>0</v>
      </c>
      <c r="AI1749">
        <v>497</v>
      </c>
      <c r="AJ1749">
        <v>43</v>
      </c>
      <c r="AK1749">
        <v>0</v>
      </c>
      <c r="AL1749">
        <v>0</v>
      </c>
    </row>
    <row r="1750" spans="1:38" x14ac:dyDescent="0.3">
      <c r="A1750" t="s">
        <v>1813</v>
      </c>
      <c r="B1750">
        <v>125123</v>
      </c>
      <c r="C1750">
        <v>1</v>
      </c>
      <c r="D1750" t="s">
        <v>2396</v>
      </c>
      <c r="E1750" t="s">
        <v>2397</v>
      </c>
      <c r="F1750">
        <v>28</v>
      </c>
      <c r="G1750">
        <v>18.46</v>
      </c>
      <c r="H1750">
        <v>61.04</v>
      </c>
      <c r="I1750">
        <v>14.4</v>
      </c>
      <c r="J1750">
        <v>47.61</v>
      </c>
      <c r="K1750">
        <v>4</v>
      </c>
      <c r="T1750">
        <v>3</v>
      </c>
      <c r="U1750">
        <v>2</v>
      </c>
      <c r="V1750" t="s">
        <v>93</v>
      </c>
      <c r="W1750">
        <v>61</v>
      </c>
      <c r="X1750">
        <v>13</v>
      </c>
      <c r="Y1750">
        <v>13</v>
      </c>
      <c r="Z1750" t="s">
        <v>2398</v>
      </c>
      <c r="AA1750" t="s">
        <v>2399</v>
      </c>
      <c r="AB1750" t="s">
        <v>96</v>
      </c>
      <c r="AC1750" t="s">
        <v>97</v>
      </c>
      <c r="AD1750" t="s">
        <v>1818</v>
      </c>
      <c r="AG1750" t="s">
        <v>2400</v>
      </c>
      <c r="AH1750">
        <v>0</v>
      </c>
      <c r="AI1750">
        <v>599</v>
      </c>
      <c r="AJ1750">
        <v>59</v>
      </c>
      <c r="AK1750">
        <v>23</v>
      </c>
      <c r="AL1750">
        <v>0.82</v>
      </c>
    </row>
    <row r="1751" spans="1:38" x14ac:dyDescent="0.3">
      <c r="A1751" t="s">
        <v>1813</v>
      </c>
      <c r="B1751">
        <v>125123</v>
      </c>
      <c r="C1751">
        <v>2</v>
      </c>
      <c r="D1751" t="s">
        <v>2396</v>
      </c>
      <c r="E1751" t="s">
        <v>2397</v>
      </c>
      <c r="F1751">
        <v>28</v>
      </c>
      <c r="G1751">
        <v>19.34</v>
      </c>
      <c r="H1751">
        <v>63.95</v>
      </c>
      <c r="I1751">
        <v>14.74</v>
      </c>
      <c r="J1751">
        <v>48.74</v>
      </c>
      <c r="K1751">
        <v>4</v>
      </c>
      <c r="T1751">
        <v>3</v>
      </c>
      <c r="U1751">
        <v>2</v>
      </c>
      <c r="V1751" t="s">
        <v>93</v>
      </c>
      <c r="W1751">
        <v>63</v>
      </c>
      <c r="X1751">
        <v>13</v>
      </c>
      <c r="Y1751">
        <v>13</v>
      </c>
      <c r="Z1751" t="s">
        <v>2398</v>
      </c>
      <c r="AA1751" t="s">
        <v>2399</v>
      </c>
      <c r="AB1751" t="s">
        <v>96</v>
      </c>
      <c r="AC1751" t="s">
        <v>97</v>
      </c>
      <c r="AD1751" t="s">
        <v>1818</v>
      </c>
      <c r="AG1751" t="s">
        <v>2400</v>
      </c>
      <c r="AH1751">
        <v>0</v>
      </c>
      <c r="AI1751">
        <v>599</v>
      </c>
      <c r="AJ1751">
        <v>59</v>
      </c>
      <c r="AK1751">
        <v>23</v>
      </c>
      <c r="AL1751">
        <v>0.82</v>
      </c>
    </row>
    <row r="1752" spans="1:38" x14ac:dyDescent="0.3">
      <c r="A1752" t="s">
        <v>1813</v>
      </c>
      <c r="B1752">
        <v>125123</v>
      </c>
      <c r="C1752">
        <v>3</v>
      </c>
      <c r="D1752" t="s">
        <v>2396</v>
      </c>
      <c r="E1752" t="s">
        <v>2397</v>
      </c>
      <c r="F1752">
        <v>28</v>
      </c>
      <c r="G1752">
        <v>19.57</v>
      </c>
      <c r="H1752">
        <v>64.72</v>
      </c>
      <c r="I1752">
        <v>15.1</v>
      </c>
      <c r="J1752">
        <v>49.92</v>
      </c>
      <c r="K1752">
        <v>4</v>
      </c>
      <c r="T1752">
        <v>3</v>
      </c>
      <c r="U1752">
        <v>2</v>
      </c>
      <c r="V1752" t="s">
        <v>93</v>
      </c>
      <c r="W1752">
        <v>64</v>
      </c>
      <c r="X1752">
        <v>13</v>
      </c>
      <c r="Y1752">
        <v>13</v>
      </c>
      <c r="Z1752" t="s">
        <v>2398</v>
      </c>
      <c r="AA1752" t="s">
        <v>2399</v>
      </c>
      <c r="AB1752" t="s">
        <v>96</v>
      </c>
      <c r="AC1752" t="s">
        <v>97</v>
      </c>
      <c r="AD1752" t="s">
        <v>1818</v>
      </c>
      <c r="AG1752" t="s">
        <v>2400</v>
      </c>
      <c r="AH1752">
        <v>0</v>
      </c>
      <c r="AI1752">
        <v>599</v>
      </c>
      <c r="AJ1752">
        <v>59</v>
      </c>
      <c r="AK1752">
        <v>23</v>
      </c>
      <c r="AL1752">
        <v>0.82</v>
      </c>
    </row>
    <row r="1753" spans="1:38" x14ac:dyDescent="0.3">
      <c r="A1753" t="s">
        <v>1813</v>
      </c>
      <c r="B1753">
        <v>125123</v>
      </c>
      <c r="C1753">
        <v>4</v>
      </c>
      <c r="D1753" t="s">
        <v>2396</v>
      </c>
      <c r="E1753" t="s">
        <v>2397</v>
      </c>
      <c r="F1753">
        <v>28</v>
      </c>
      <c r="G1753">
        <v>21.28</v>
      </c>
      <c r="H1753">
        <v>70.36</v>
      </c>
      <c r="I1753">
        <v>16.64</v>
      </c>
      <c r="J1753">
        <v>55.04</v>
      </c>
      <c r="K1753">
        <v>4</v>
      </c>
      <c r="T1753">
        <v>3</v>
      </c>
      <c r="U1753">
        <v>2</v>
      </c>
      <c r="V1753" t="s">
        <v>93</v>
      </c>
      <c r="W1753">
        <v>70</v>
      </c>
      <c r="X1753">
        <v>13</v>
      </c>
      <c r="Y1753">
        <v>13</v>
      </c>
      <c r="Z1753" t="s">
        <v>2398</v>
      </c>
      <c r="AA1753" t="s">
        <v>2399</v>
      </c>
      <c r="AB1753" t="s">
        <v>96</v>
      </c>
      <c r="AC1753" t="s">
        <v>97</v>
      </c>
      <c r="AD1753" t="s">
        <v>1818</v>
      </c>
      <c r="AG1753" t="s">
        <v>2400</v>
      </c>
      <c r="AH1753">
        <v>0</v>
      </c>
      <c r="AI1753">
        <v>599</v>
      </c>
      <c r="AJ1753">
        <v>59</v>
      </c>
      <c r="AK1753">
        <v>23</v>
      </c>
      <c r="AL1753">
        <v>0.82</v>
      </c>
    </row>
    <row r="1754" spans="1:38" x14ac:dyDescent="0.3">
      <c r="A1754" t="s">
        <v>1813</v>
      </c>
      <c r="B1754">
        <v>125123</v>
      </c>
      <c r="C1754">
        <v>5</v>
      </c>
      <c r="D1754" t="s">
        <v>2396</v>
      </c>
      <c r="E1754" t="s">
        <v>2397</v>
      </c>
      <c r="F1754">
        <v>28</v>
      </c>
      <c r="G1754">
        <v>21.64</v>
      </c>
      <c r="H1754">
        <v>71.55</v>
      </c>
      <c r="I1754">
        <v>16.510000000000002</v>
      </c>
      <c r="J1754">
        <v>54.59</v>
      </c>
      <c r="K1754">
        <v>4</v>
      </c>
      <c r="T1754">
        <v>3</v>
      </c>
      <c r="U1754">
        <v>2</v>
      </c>
      <c r="V1754" t="s">
        <v>93</v>
      </c>
      <c r="W1754">
        <v>71</v>
      </c>
      <c r="X1754">
        <v>13</v>
      </c>
      <c r="Y1754">
        <v>13</v>
      </c>
      <c r="Z1754" t="s">
        <v>2398</v>
      </c>
      <c r="AA1754" t="s">
        <v>2399</v>
      </c>
      <c r="AB1754" t="s">
        <v>96</v>
      </c>
      <c r="AC1754" t="s">
        <v>97</v>
      </c>
      <c r="AD1754" t="s">
        <v>1818</v>
      </c>
      <c r="AG1754" t="s">
        <v>2400</v>
      </c>
      <c r="AH1754">
        <v>0</v>
      </c>
      <c r="AI1754">
        <v>599</v>
      </c>
      <c r="AJ1754">
        <v>59</v>
      </c>
      <c r="AK1754">
        <v>23</v>
      </c>
      <c r="AL1754">
        <v>0.82</v>
      </c>
    </row>
    <row r="1755" spans="1:38" x14ac:dyDescent="0.3">
      <c r="A1755" t="s">
        <v>1813</v>
      </c>
      <c r="B1755">
        <v>125123</v>
      </c>
      <c r="C1755">
        <v>6</v>
      </c>
      <c r="D1755" t="s">
        <v>2396</v>
      </c>
      <c r="E1755" t="s">
        <v>2397</v>
      </c>
      <c r="F1755">
        <v>28</v>
      </c>
      <c r="G1755">
        <v>23.11</v>
      </c>
      <c r="H1755">
        <v>76.400000000000006</v>
      </c>
      <c r="I1755">
        <v>17.739999999999998</v>
      </c>
      <c r="J1755">
        <v>58.67</v>
      </c>
      <c r="K1755">
        <v>4</v>
      </c>
      <c r="T1755">
        <v>3</v>
      </c>
      <c r="U1755">
        <v>2</v>
      </c>
      <c r="V1755" t="s">
        <v>93</v>
      </c>
      <c r="W1755">
        <v>76</v>
      </c>
      <c r="X1755">
        <v>13</v>
      </c>
      <c r="Y1755">
        <v>13</v>
      </c>
      <c r="Z1755" t="s">
        <v>2398</v>
      </c>
      <c r="AA1755" t="s">
        <v>2399</v>
      </c>
      <c r="AB1755" t="s">
        <v>96</v>
      </c>
      <c r="AC1755" t="s">
        <v>97</v>
      </c>
      <c r="AD1755" t="s">
        <v>1818</v>
      </c>
      <c r="AG1755" t="s">
        <v>2400</v>
      </c>
      <c r="AH1755">
        <v>0</v>
      </c>
      <c r="AI1755">
        <v>599</v>
      </c>
      <c r="AJ1755">
        <v>59</v>
      </c>
      <c r="AK1755">
        <v>23</v>
      </c>
      <c r="AL1755">
        <v>0.82</v>
      </c>
    </row>
    <row r="1756" spans="1:38" x14ac:dyDescent="0.3">
      <c r="A1756" t="s">
        <v>1813</v>
      </c>
      <c r="B1756">
        <v>125123</v>
      </c>
      <c r="C1756">
        <v>7</v>
      </c>
      <c r="D1756" t="s">
        <v>2396</v>
      </c>
      <c r="E1756" t="s">
        <v>2397</v>
      </c>
      <c r="F1756">
        <v>28</v>
      </c>
      <c r="G1756">
        <v>23.65</v>
      </c>
      <c r="H1756">
        <v>78.209999999999994</v>
      </c>
      <c r="I1756">
        <v>18.13</v>
      </c>
      <c r="J1756">
        <v>59.95</v>
      </c>
      <c r="K1756">
        <v>4</v>
      </c>
      <c r="T1756">
        <v>3</v>
      </c>
      <c r="U1756">
        <v>2</v>
      </c>
      <c r="V1756" t="s">
        <v>93</v>
      </c>
      <c r="W1756">
        <v>78</v>
      </c>
      <c r="X1756">
        <v>13</v>
      </c>
      <c r="Y1756">
        <v>13</v>
      </c>
      <c r="Z1756" t="s">
        <v>2398</v>
      </c>
      <c r="AA1756" t="s">
        <v>2399</v>
      </c>
      <c r="AB1756" t="s">
        <v>96</v>
      </c>
      <c r="AC1756" t="s">
        <v>97</v>
      </c>
      <c r="AD1756" t="s">
        <v>1818</v>
      </c>
      <c r="AG1756" t="s">
        <v>2400</v>
      </c>
      <c r="AH1756">
        <v>0</v>
      </c>
      <c r="AI1756">
        <v>599</v>
      </c>
      <c r="AJ1756">
        <v>59</v>
      </c>
      <c r="AK1756">
        <v>23</v>
      </c>
      <c r="AL1756">
        <v>0.82</v>
      </c>
    </row>
    <row r="1757" spans="1:38" x14ac:dyDescent="0.3">
      <c r="A1757" t="s">
        <v>1813</v>
      </c>
      <c r="B1757">
        <v>115581</v>
      </c>
      <c r="C1757">
        <v>1</v>
      </c>
      <c r="D1757" t="s">
        <v>2401</v>
      </c>
      <c r="E1757" t="s">
        <v>1893</v>
      </c>
      <c r="F1757">
        <v>18</v>
      </c>
      <c r="G1757">
        <v>23.2</v>
      </c>
      <c r="H1757">
        <v>76.709999999999994</v>
      </c>
      <c r="I1757">
        <v>16.579999999999998</v>
      </c>
      <c r="J1757">
        <v>54.82</v>
      </c>
      <c r="K1757">
        <v>3</v>
      </c>
      <c r="T1757">
        <v>3</v>
      </c>
      <c r="U1757">
        <v>1</v>
      </c>
      <c r="V1757" t="s">
        <v>132</v>
      </c>
      <c r="W1757" t="s">
        <v>1413</v>
      </c>
      <c r="X1757">
        <v>9</v>
      </c>
      <c r="Y1757">
        <v>9</v>
      </c>
      <c r="Z1757" t="s">
        <v>2402</v>
      </c>
      <c r="AA1757" t="s">
        <v>2403</v>
      </c>
      <c r="AB1757" t="s">
        <v>96</v>
      </c>
      <c r="AC1757" t="s">
        <v>97</v>
      </c>
      <c r="AD1757" t="s">
        <v>1818</v>
      </c>
      <c r="AG1757" t="s">
        <v>2404</v>
      </c>
      <c r="AH1757">
        <v>0</v>
      </c>
      <c r="AI1757">
        <v>439</v>
      </c>
      <c r="AJ1757">
        <v>59</v>
      </c>
      <c r="AK1757">
        <v>20</v>
      </c>
      <c r="AL1757">
        <v>1.1100000000000001</v>
      </c>
    </row>
    <row r="1758" spans="1:38" x14ac:dyDescent="0.3">
      <c r="A1758" t="s">
        <v>1813</v>
      </c>
      <c r="B1758">
        <v>115581</v>
      </c>
      <c r="C1758">
        <v>2</v>
      </c>
      <c r="D1758" t="s">
        <v>2401</v>
      </c>
      <c r="E1758" t="s">
        <v>1893</v>
      </c>
      <c r="F1758">
        <v>18</v>
      </c>
      <c r="G1758">
        <v>23.07</v>
      </c>
      <c r="H1758">
        <v>76.290000000000006</v>
      </c>
      <c r="I1758">
        <v>16.5</v>
      </c>
      <c r="J1758">
        <v>54.56</v>
      </c>
      <c r="K1758">
        <v>3</v>
      </c>
      <c r="T1758">
        <v>3</v>
      </c>
      <c r="U1758">
        <v>1</v>
      </c>
      <c r="V1758" t="s">
        <v>132</v>
      </c>
      <c r="W1758" t="s">
        <v>1126</v>
      </c>
      <c r="X1758">
        <v>9</v>
      </c>
      <c r="Y1758">
        <v>9</v>
      </c>
      <c r="Z1758" t="s">
        <v>2402</v>
      </c>
      <c r="AA1758" t="s">
        <v>2403</v>
      </c>
      <c r="AB1758" t="s">
        <v>96</v>
      </c>
      <c r="AC1758" t="s">
        <v>97</v>
      </c>
      <c r="AD1758" t="s">
        <v>1818</v>
      </c>
      <c r="AG1758" t="s">
        <v>2404</v>
      </c>
      <c r="AH1758">
        <v>0</v>
      </c>
      <c r="AI1758">
        <v>439</v>
      </c>
      <c r="AJ1758">
        <v>59</v>
      </c>
      <c r="AK1758">
        <v>20</v>
      </c>
      <c r="AL1758">
        <v>1.1100000000000001</v>
      </c>
    </row>
    <row r="1759" spans="1:38" x14ac:dyDescent="0.3">
      <c r="A1759" t="s">
        <v>1813</v>
      </c>
      <c r="B1759">
        <v>115581</v>
      </c>
      <c r="C1759">
        <v>3</v>
      </c>
      <c r="D1759" t="s">
        <v>2401</v>
      </c>
      <c r="E1759" t="s">
        <v>1893</v>
      </c>
      <c r="F1759">
        <v>18</v>
      </c>
      <c r="G1759">
        <v>24.98</v>
      </c>
      <c r="H1759">
        <v>82.6</v>
      </c>
      <c r="I1759">
        <v>17.82</v>
      </c>
      <c r="J1759">
        <v>58.93</v>
      </c>
      <c r="K1759">
        <v>3</v>
      </c>
      <c r="T1759">
        <v>3</v>
      </c>
      <c r="U1759">
        <v>2</v>
      </c>
      <c r="V1759" t="s">
        <v>132</v>
      </c>
      <c r="W1759" t="s">
        <v>503</v>
      </c>
      <c r="X1759">
        <v>9</v>
      </c>
      <c r="Y1759">
        <v>9</v>
      </c>
      <c r="Z1759" t="s">
        <v>2402</v>
      </c>
      <c r="AA1759" t="s">
        <v>2403</v>
      </c>
      <c r="AB1759" t="s">
        <v>96</v>
      </c>
      <c r="AC1759" t="s">
        <v>97</v>
      </c>
      <c r="AD1759" t="s">
        <v>1818</v>
      </c>
      <c r="AG1759" t="s">
        <v>2404</v>
      </c>
      <c r="AH1759">
        <v>0</v>
      </c>
      <c r="AI1759">
        <v>439</v>
      </c>
      <c r="AJ1759">
        <v>59</v>
      </c>
      <c r="AK1759">
        <v>20</v>
      </c>
      <c r="AL1759">
        <v>1.1100000000000001</v>
      </c>
    </row>
    <row r="1760" spans="1:38" x14ac:dyDescent="0.3">
      <c r="A1760" t="s">
        <v>1813</v>
      </c>
      <c r="B1760">
        <v>115581</v>
      </c>
      <c r="C1760">
        <v>4</v>
      </c>
      <c r="D1760" t="s">
        <v>2401</v>
      </c>
      <c r="E1760" t="s">
        <v>1893</v>
      </c>
      <c r="F1760">
        <v>18</v>
      </c>
      <c r="G1760">
        <v>25.24</v>
      </c>
      <c r="H1760">
        <v>83.44</v>
      </c>
      <c r="I1760">
        <v>18.09</v>
      </c>
      <c r="J1760">
        <v>59.83</v>
      </c>
      <c r="K1760">
        <v>3</v>
      </c>
      <c r="T1760">
        <v>3</v>
      </c>
      <c r="U1760">
        <v>2</v>
      </c>
      <c r="V1760" t="s">
        <v>132</v>
      </c>
      <c r="W1760" t="s">
        <v>220</v>
      </c>
      <c r="X1760">
        <v>9</v>
      </c>
      <c r="Y1760">
        <v>9</v>
      </c>
      <c r="Z1760" t="s">
        <v>2402</v>
      </c>
      <c r="AA1760" t="s">
        <v>2403</v>
      </c>
      <c r="AB1760" t="s">
        <v>96</v>
      </c>
      <c r="AC1760" t="s">
        <v>97</v>
      </c>
      <c r="AD1760" t="s">
        <v>1818</v>
      </c>
      <c r="AG1760" t="s">
        <v>2404</v>
      </c>
      <c r="AH1760">
        <v>0</v>
      </c>
      <c r="AI1760">
        <v>439</v>
      </c>
      <c r="AJ1760">
        <v>59</v>
      </c>
      <c r="AK1760">
        <v>20</v>
      </c>
      <c r="AL1760">
        <v>1.1100000000000001</v>
      </c>
    </row>
    <row r="1761" spans="1:38" x14ac:dyDescent="0.3">
      <c r="A1761" t="s">
        <v>1813</v>
      </c>
      <c r="B1761">
        <v>115581</v>
      </c>
      <c r="C1761">
        <v>5</v>
      </c>
      <c r="D1761" t="s">
        <v>2401</v>
      </c>
      <c r="E1761" t="s">
        <v>1893</v>
      </c>
      <c r="F1761">
        <v>18</v>
      </c>
      <c r="G1761">
        <v>25.26</v>
      </c>
      <c r="H1761">
        <v>83.52</v>
      </c>
      <c r="I1761">
        <v>18.07</v>
      </c>
      <c r="J1761">
        <v>59.76</v>
      </c>
      <c r="K1761">
        <v>3</v>
      </c>
      <c r="T1761">
        <v>3</v>
      </c>
      <c r="U1761">
        <v>2</v>
      </c>
      <c r="V1761" t="s">
        <v>132</v>
      </c>
      <c r="W1761" t="s">
        <v>505</v>
      </c>
      <c r="X1761">
        <v>9</v>
      </c>
      <c r="Y1761">
        <v>9</v>
      </c>
      <c r="Z1761" t="s">
        <v>2402</v>
      </c>
      <c r="AA1761" t="s">
        <v>2403</v>
      </c>
      <c r="AB1761" t="s">
        <v>96</v>
      </c>
      <c r="AC1761" t="s">
        <v>97</v>
      </c>
      <c r="AD1761" t="s">
        <v>1818</v>
      </c>
      <c r="AG1761" t="s">
        <v>2404</v>
      </c>
      <c r="AH1761">
        <v>0</v>
      </c>
      <c r="AI1761">
        <v>439</v>
      </c>
      <c r="AJ1761">
        <v>59</v>
      </c>
      <c r="AK1761">
        <v>20</v>
      </c>
      <c r="AL1761">
        <v>1.1100000000000001</v>
      </c>
    </row>
    <row r="1762" spans="1:38" x14ac:dyDescent="0.3">
      <c r="A1762" t="s">
        <v>1813</v>
      </c>
      <c r="B1762">
        <v>115581</v>
      </c>
      <c r="C1762">
        <v>6</v>
      </c>
      <c r="D1762" t="s">
        <v>2401</v>
      </c>
      <c r="E1762" t="s">
        <v>1893</v>
      </c>
      <c r="F1762">
        <v>18</v>
      </c>
      <c r="G1762">
        <v>26.95</v>
      </c>
      <c r="H1762">
        <v>89.1</v>
      </c>
      <c r="I1762">
        <v>19.239999999999998</v>
      </c>
      <c r="J1762">
        <v>63.61</v>
      </c>
      <c r="K1762">
        <v>3</v>
      </c>
      <c r="T1762">
        <v>3</v>
      </c>
      <c r="U1762">
        <v>2</v>
      </c>
      <c r="V1762" t="s">
        <v>132</v>
      </c>
      <c r="W1762">
        <v>89</v>
      </c>
      <c r="X1762">
        <v>9</v>
      </c>
      <c r="Y1762">
        <v>9</v>
      </c>
      <c r="Z1762" t="s">
        <v>2402</v>
      </c>
      <c r="AA1762" t="s">
        <v>2403</v>
      </c>
      <c r="AB1762" t="s">
        <v>96</v>
      </c>
      <c r="AC1762" t="s">
        <v>97</v>
      </c>
      <c r="AD1762" t="s">
        <v>1818</v>
      </c>
      <c r="AG1762" t="s">
        <v>2404</v>
      </c>
      <c r="AH1762">
        <v>0</v>
      </c>
      <c r="AI1762">
        <v>439</v>
      </c>
      <c r="AJ1762">
        <v>59</v>
      </c>
      <c r="AK1762">
        <v>20</v>
      </c>
      <c r="AL1762">
        <v>1.1100000000000001</v>
      </c>
    </row>
    <row r="1763" spans="1:38" x14ac:dyDescent="0.3">
      <c r="A1763" t="s">
        <v>1813</v>
      </c>
      <c r="B1763">
        <v>10621</v>
      </c>
      <c r="C1763">
        <v>1</v>
      </c>
      <c r="D1763" t="s">
        <v>2405</v>
      </c>
      <c r="E1763" t="s">
        <v>2406</v>
      </c>
      <c r="F1763">
        <v>80</v>
      </c>
      <c r="G1763">
        <v>23.23</v>
      </c>
      <c r="H1763">
        <v>76.8</v>
      </c>
      <c r="I1763">
        <v>17.260000000000002</v>
      </c>
      <c r="J1763">
        <v>57.06</v>
      </c>
      <c r="K1763">
        <v>30</v>
      </c>
      <c r="T1763">
        <v>3</v>
      </c>
      <c r="U1763">
        <v>1</v>
      </c>
      <c r="V1763" t="s">
        <v>132</v>
      </c>
      <c r="W1763">
        <v>76</v>
      </c>
      <c r="X1763">
        <v>10</v>
      </c>
      <c r="Y1763">
        <v>10</v>
      </c>
      <c r="Z1763" t="s">
        <v>2407</v>
      </c>
      <c r="AA1763" t="s">
        <v>2408</v>
      </c>
      <c r="AB1763" t="s">
        <v>96</v>
      </c>
      <c r="AC1763" t="s">
        <v>97</v>
      </c>
      <c r="AD1763" t="s">
        <v>1818</v>
      </c>
      <c r="AG1763" t="s">
        <v>2409</v>
      </c>
      <c r="AH1763">
        <v>0</v>
      </c>
      <c r="AI1763">
        <v>251</v>
      </c>
      <c r="AJ1763">
        <v>36</v>
      </c>
      <c r="AK1763">
        <v>52</v>
      </c>
      <c r="AL1763">
        <v>0.65</v>
      </c>
    </row>
    <row r="1764" spans="1:38" x14ac:dyDescent="0.3">
      <c r="A1764" t="s">
        <v>1813</v>
      </c>
      <c r="B1764">
        <v>10621</v>
      </c>
      <c r="C1764">
        <v>2</v>
      </c>
      <c r="D1764" t="s">
        <v>2405</v>
      </c>
      <c r="E1764" t="s">
        <v>2406</v>
      </c>
      <c r="F1764">
        <v>80</v>
      </c>
      <c r="G1764">
        <v>24.01</v>
      </c>
      <c r="H1764">
        <v>79.39</v>
      </c>
      <c r="I1764">
        <v>17.84</v>
      </c>
      <c r="J1764">
        <v>58.98</v>
      </c>
      <c r="K1764">
        <v>10</v>
      </c>
      <c r="T1764">
        <v>3</v>
      </c>
      <c r="U1764">
        <v>1</v>
      </c>
      <c r="V1764" t="s">
        <v>132</v>
      </c>
      <c r="W1764">
        <v>79</v>
      </c>
      <c r="X1764">
        <v>10</v>
      </c>
      <c r="Y1764">
        <v>10</v>
      </c>
      <c r="Z1764" t="s">
        <v>2407</v>
      </c>
      <c r="AA1764" t="s">
        <v>2408</v>
      </c>
      <c r="AB1764" t="s">
        <v>96</v>
      </c>
      <c r="AC1764" t="s">
        <v>97</v>
      </c>
      <c r="AD1764" t="s">
        <v>1818</v>
      </c>
      <c r="AG1764" t="s">
        <v>2409</v>
      </c>
      <c r="AH1764">
        <v>0</v>
      </c>
      <c r="AI1764">
        <v>251</v>
      </c>
      <c r="AJ1764">
        <v>36</v>
      </c>
      <c r="AK1764">
        <v>52</v>
      </c>
      <c r="AL1764">
        <v>0.65</v>
      </c>
    </row>
    <row r="1765" spans="1:38" x14ac:dyDescent="0.3">
      <c r="A1765" t="s">
        <v>1813</v>
      </c>
      <c r="B1765">
        <v>10621</v>
      </c>
      <c r="C1765">
        <v>3</v>
      </c>
      <c r="D1765" t="s">
        <v>2405</v>
      </c>
      <c r="E1765" t="s">
        <v>2406</v>
      </c>
      <c r="F1765">
        <v>80</v>
      </c>
      <c r="G1765">
        <v>28.28</v>
      </c>
      <c r="H1765">
        <v>93.52</v>
      </c>
      <c r="I1765">
        <v>21.01</v>
      </c>
      <c r="J1765">
        <v>69.48</v>
      </c>
      <c r="K1765">
        <v>40</v>
      </c>
      <c r="T1765">
        <v>3</v>
      </c>
      <c r="U1765">
        <v>1</v>
      </c>
      <c r="V1765" t="s">
        <v>132</v>
      </c>
      <c r="W1765">
        <v>93</v>
      </c>
      <c r="X1765">
        <v>10</v>
      </c>
      <c r="Y1765">
        <v>10</v>
      </c>
      <c r="Z1765" t="s">
        <v>2407</v>
      </c>
      <c r="AA1765" t="s">
        <v>2408</v>
      </c>
      <c r="AB1765" t="s">
        <v>96</v>
      </c>
      <c r="AC1765" t="s">
        <v>97</v>
      </c>
      <c r="AD1765" t="s">
        <v>1818</v>
      </c>
      <c r="AG1765" t="s">
        <v>2409</v>
      </c>
      <c r="AH1765">
        <v>0</v>
      </c>
      <c r="AI1765">
        <v>251</v>
      </c>
      <c r="AJ1765">
        <v>36</v>
      </c>
      <c r="AK1765">
        <v>52</v>
      </c>
      <c r="AL1765">
        <v>0.65</v>
      </c>
    </row>
    <row r="1766" spans="1:38" x14ac:dyDescent="0.3">
      <c r="A1766" t="s">
        <v>1813</v>
      </c>
      <c r="B1766">
        <v>102836</v>
      </c>
      <c r="C1766">
        <v>1</v>
      </c>
      <c r="D1766" t="s">
        <v>2410</v>
      </c>
      <c r="E1766" t="s">
        <v>2411</v>
      </c>
      <c r="F1766">
        <v>91</v>
      </c>
      <c r="G1766">
        <v>23.87</v>
      </c>
      <c r="H1766">
        <v>78.91</v>
      </c>
      <c r="I1766">
        <v>18.11</v>
      </c>
      <c r="J1766">
        <v>59.87</v>
      </c>
      <c r="K1766">
        <v>41</v>
      </c>
      <c r="T1766">
        <v>3</v>
      </c>
      <c r="U1766">
        <v>2</v>
      </c>
      <c r="V1766" t="s">
        <v>93</v>
      </c>
      <c r="W1766">
        <v>78</v>
      </c>
      <c r="X1766">
        <v>11</v>
      </c>
      <c r="Y1766">
        <v>6</v>
      </c>
      <c r="Z1766" t="s">
        <v>2412</v>
      </c>
      <c r="AA1766" t="s">
        <v>2413</v>
      </c>
      <c r="AB1766" t="s">
        <v>96</v>
      </c>
      <c r="AC1766" t="s">
        <v>97</v>
      </c>
      <c r="AD1766" t="s">
        <v>1818</v>
      </c>
      <c r="AG1766" t="s">
        <v>2414</v>
      </c>
      <c r="AH1766">
        <v>0</v>
      </c>
      <c r="AI1766">
        <v>249</v>
      </c>
      <c r="AJ1766">
        <v>39</v>
      </c>
      <c r="AK1766">
        <v>83</v>
      </c>
      <c r="AL1766">
        <v>0.91</v>
      </c>
    </row>
    <row r="1767" spans="1:38" x14ac:dyDescent="0.3">
      <c r="A1767" t="s">
        <v>1813</v>
      </c>
      <c r="B1767">
        <v>102836</v>
      </c>
      <c r="C1767">
        <v>2</v>
      </c>
      <c r="D1767" t="s">
        <v>2410</v>
      </c>
      <c r="E1767" t="s">
        <v>2411</v>
      </c>
      <c r="F1767">
        <v>91</v>
      </c>
      <c r="G1767">
        <v>26.57</v>
      </c>
      <c r="H1767">
        <v>87.85</v>
      </c>
      <c r="I1767">
        <v>20.07</v>
      </c>
      <c r="J1767">
        <v>66.38</v>
      </c>
      <c r="K1767">
        <v>11</v>
      </c>
      <c r="T1767">
        <v>3</v>
      </c>
      <c r="U1767">
        <v>2</v>
      </c>
      <c r="V1767" t="s">
        <v>93</v>
      </c>
      <c r="W1767">
        <v>87</v>
      </c>
      <c r="X1767">
        <v>11</v>
      </c>
      <c r="Y1767">
        <v>6</v>
      </c>
      <c r="Z1767" t="s">
        <v>2412</v>
      </c>
      <c r="AA1767" t="s">
        <v>2413</v>
      </c>
      <c r="AB1767" t="s">
        <v>96</v>
      </c>
      <c r="AC1767" t="s">
        <v>97</v>
      </c>
      <c r="AD1767" t="s">
        <v>1818</v>
      </c>
      <c r="AG1767" t="s">
        <v>2414</v>
      </c>
      <c r="AH1767">
        <v>0</v>
      </c>
      <c r="AI1767">
        <v>249</v>
      </c>
      <c r="AJ1767">
        <v>39</v>
      </c>
      <c r="AK1767">
        <v>83</v>
      </c>
      <c r="AL1767">
        <v>0.91</v>
      </c>
    </row>
    <row r="1768" spans="1:38" x14ac:dyDescent="0.3">
      <c r="A1768" t="s">
        <v>1813</v>
      </c>
      <c r="B1768">
        <v>102836</v>
      </c>
      <c r="C1768">
        <v>3</v>
      </c>
      <c r="D1768" t="s">
        <v>2410</v>
      </c>
      <c r="E1768" t="s">
        <v>2411</v>
      </c>
      <c r="F1768">
        <v>91</v>
      </c>
      <c r="G1768">
        <v>33.479999999999997</v>
      </c>
      <c r="H1768">
        <v>110.7</v>
      </c>
      <c r="I1768">
        <v>25.69</v>
      </c>
      <c r="J1768">
        <v>84.95</v>
      </c>
      <c r="K1768">
        <v>39</v>
      </c>
      <c r="T1768">
        <v>3</v>
      </c>
      <c r="U1768">
        <v>2</v>
      </c>
      <c r="V1768" t="s">
        <v>93</v>
      </c>
      <c r="W1768">
        <v>110</v>
      </c>
      <c r="X1768">
        <v>11</v>
      </c>
      <c r="Y1768">
        <v>6</v>
      </c>
      <c r="Z1768" t="s">
        <v>2412</v>
      </c>
      <c r="AA1768" t="s">
        <v>2413</v>
      </c>
      <c r="AB1768" t="s">
        <v>96</v>
      </c>
      <c r="AC1768" t="s">
        <v>97</v>
      </c>
      <c r="AD1768" t="s">
        <v>1818</v>
      </c>
      <c r="AG1768" t="s">
        <v>2414</v>
      </c>
      <c r="AH1768">
        <v>0</v>
      </c>
      <c r="AI1768">
        <v>249</v>
      </c>
      <c r="AJ1768">
        <v>39</v>
      </c>
      <c r="AK1768">
        <v>83</v>
      </c>
      <c r="AL1768">
        <v>0.91</v>
      </c>
    </row>
    <row r="1769" spans="1:38" x14ac:dyDescent="0.3">
      <c r="A1769" t="s">
        <v>1813</v>
      </c>
      <c r="B1769">
        <v>127865</v>
      </c>
      <c r="C1769">
        <v>1</v>
      </c>
      <c r="D1769" t="s">
        <v>2415</v>
      </c>
      <c r="E1769" t="s">
        <v>1003</v>
      </c>
      <c r="F1769">
        <v>46</v>
      </c>
      <c r="G1769">
        <v>21.21</v>
      </c>
      <c r="H1769">
        <v>70.13</v>
      </c>
      <c r="I1769">
        <v>15.03</v>
      </c>
      <c r="J1769">
        <v>49.7</v>
      </c>
      <c r="K1769">
        <v>32</v>
      </c>
      <c r="T1769">
        <v>3</v>
      </c>
      <c r="U1769">
        <v>1</v>
      </c>
      <c r="V1769" t="s">
        <v>93</v>
      </c>
      <c r="W1769" t="s">
        <v>979</v>
      </c>
      <c r="X1769">
        <v>13</v>
      </c>
      <c r="Y1769">
        <v>11</v>
      </c>
      <c r="Z1769" t="s">
        <v>2416</v>
      </c>
      <c r="AA1769" t="s">
        <v>2417</v>
      </c>
      <c r="AB1769" t="s">
        <v>96</v>
      </c>
      <c r="AC1769" t="s">
        <v>97</v>
      </c>
      <c r="AD1769" t="s">
        <v>1818</v>
      </c>
      <c r="AG1769" t="s">
        <v>2418</v>
      </c>
      <c r="AH1769">
        <v>0</v>
      </c>
      <c r="AI1769">
        <v>747</v>
      </c>
      <c r="AJ1769">
        <v>77</v>
      </c>
      <c r="AK1769">
        <v>36</v>
      </c>
      <c r="AL1769">
        <v>0.78</v>
      </c>
    </row>
    <row r="1770" spans="1:38" x14ac:dyDescent="0.3">
      <c r="A1770" t="s">
        <v>1813</v>
      </c>
      <c r="B1770">
        <v>127865</v>
      </c>
      <c r="C1770">
        <v>2</v>
      </c>
      <c r="D1770" t="s">
        <v>2415</v>
      </c>
      <c r="E1770" t="s">
        <v>1003</v>
      </c>
      <c r="F1770">
        <v>46</v>
      </c>
      <c r="G1770">
        <v>21.24</v>
      </c>
      <c r="H1770">
        <v>70.23</v>
      </c>
      <c r="I1770">
        <v>15.07</v>
      </c>
      <c r="J1770">
        <v>49.83</v>
      </c>
      <c r="K1770">
        <v>8</v>
      </c>
      <c r="T1770">
        <v>3</v>
      </c>
      <c r="U1770">
        <v>1</v>
      </c>
      <c r="V1770" t="s">
        <v>93</v>
      </c>
      <c r="W1770" t="s">
        <v>490</v>
      </c>
      <c r="X1770">
        <v>13</v>
      </c>
      <c r="Y1770">
        <v>11</v>
      </c>
      <c r="Z1770" t="s">
        <v>2416</v>
      </c>
      <c r="AA1770" t="s">
        <v>2417</v>
      </c>
      <c r="AB1770" t="s">
        <v>96</v>
      </c>
      <c r="AC1770" t="s">
        <v>97</v>
      </c>
      <c r="AD1770" t="s">
        <v>1818</v>
      </c>
      <c r="AG1770" t="s">
        <v>2418</v>
      </c>
      <c r="AH1770">
        <v>0</v>
      </c>
      <c r="AI1770">
        <v>747</v>
      </c>
      <c r="AJ1770">
        <v>77</v>
      </c>
      <c r="AK1770">
        <v>36</v>
      </c>
      <c r="AL1770">
        <v>0.78</v>
      </c>
    </row>
    <row r="1771" spans="1:38" x14ac:dyDescent="0.3">
      <c r="A1771" t="s">
        <v>1813</v>
      </c>
      <c r="B1771">
        <v>127865</v>
      </c>
      <c r="C1771">
        <v>3</v>
      </c>
      <c r="D1771" t="s">
        <v>2415</v>
      </c>
      <c r="E1771" t="s">
        <v>1003</v>
      </c>
      <c r="F1771">
        <v>46</v>
      </c>
      <c r="G1771">
        <v>21.56</v>
      </c>
      <c r="H1771">
        <v>71.290000000000006</v>
      </c>
      <c r="I1771">
        <v>15.1</v>
      </c>
      <c r="J1771">
        <v>49.94</v>
      </c>
      <c r="K1771">
        <v>6</v>
      </c>
      <c r="T1771">
        <v>3</v>
      </c>
      <c r="U1771">
        <v>1</v>
      </c>
      <c r="V1771" t="s">
        <v>93</v>
      </c>
      <c r="W1771">
        <v>71</v>
      </c>
      <c r="X1771">
        <v>13</v>
      </c>
      <c r="Y1771">
        <v>11</v>
      </c>
      <c r="Z1771" t="s">
        <v>2416</v>
      </c>
      <c r="AA1771" t="s">
        <v>2417</v>
      </c>
      <c r="AB1771" t="s">
        <v>96</v>
      </c>
      <c r="AC1771" t="s">
        <v>97</v>
      </c>
      <c r="AD1771" t="s">
        <v>1818</v>
      </c>
      <c r="AG1771" t="s">
        <v>2418</v>
      </c>
      <c r="AH1771">
        <v>0</v>
      </c>
      <c r="AI1771">
        <v>747</v>
      </c>
      <c r="AJ1771">
        <v>77</v>
      </c>
      <c r="AK1771">
        <v>36</v>
      </c>
      <c r="AL1771">
        <v>0.78</v>
      </c>
    </row>
    <row r="1772" spans="1:38" x14ac:dyDescent="0.3">
      <c r="A1772" t="s">
        <v>1813</v>
      </c>
      <c r="B1772">
        <v>106016</v>
      </c>
      <c r="C1772">
        <v>1</v>
      </c>
      <c r="D1772" t="s">
        <v>2419</v>
      </c>
      <c r="E1772" t="s">
        <v>138</v>
      </c>
      <c r="F1772">
        <v>63</v>
      </c>
      <c r="G1772">
        <v>7.3</v>
      </c>
      <c r="H1772">
        <v>24.15</v>
      </c>
      <c r="I1772">
        <v>3.98</v>
      </c>
      <c r="J1772">
        <v>13.18</v>
      </c>
      <c r="K1772">
        <v>10</v>
      </c>
      <c r="T1772">
        <v>1</v>
      </c>
      <c r="U1772">
        <v>1</v>
      </c>
      <c r="V1772" t="s">
        <v>93</v>
      </c>
      <c r="W1772">
        <v>24</v>
      </c>
      <c r="X1772">
        <v>14</v>
      </c>
      <c r="Y1772">
        <v>14</v>
      </c>
      <c r="Z1772" t="s">
        <v>2420</v>
      </c>
      <c r="AA1772" t="s">
        <v>2421</v>
      </c>
      <c r="AB1772" t="s">
        <v>96</v>
      </c>
      <c r="AC1772" t="s">
        <v>97</v>
      </c>
      <c r="AD1772" t="s">
        <v>1818</v>
      </c>
      <c r="AG1772" t="s">
        <v>2422</v>
      </c>
      <c r="AH1772">
        <v>0</v>
      </c>
      <c r="AI1772">
        <v>673</v>
      </c>
      <c r="AJ1772">
        <v>75</v>
      </c>
      <c r="AK1772">
        <v>14</v>
      </c>
      <c r="AL1772">
        <v>0.22</v>
      </c>
    </row>
    <row r="1773" spans="1:38" x14ac:dyDescent="0.3">
      <c r="A1773" t="s">
        <v>1813</v>
      </c>
      <c r="B1773">
        <v>106016</v>
      </c>
      <c r="C1773">
        <v>2</v>
      </c>
      <c r="D1773" t="s">
        <v>2419</v>
      </c>
      <c r="E1773" t="s">
        <v>138</v>
      </c>
      <c r="F1773">
        <v>63</v>
      </c>
      <c r="G1773">
        <v>7.47</v>
      </c>
      <c r="H1773">
        <v>24.71</v>
      </c>
      <c r="I1773">
        <v>4.08</v>
      </c>
      <c r="J1773">
        <v>13.49</v>
      </c>
      <c r="K1773">
        <v>7</v>
      </c>
      <c r="T1773">
        <v>1</v>
      </c>
      <c r="U1773">
        <v>1</v>
      </c>
      <c r="V1773" t="s">
        <v>93</v>
      </c>
      <c r="W1773" t="s">
        <v>2240</v>
      </c>
      <c r="X1773">
        <v>14</v>
      </c>
      <c r="Y1773">
        <v>14</v>
      </c>
      <c r="Z1773" t="s">
        <v>2420</v>
      </c>
      <c r="AA1773" t="s">
        <v>2421</v>
      </c>
      <c r="AB1773" t="s">
        <v>96</v>
      </c>
      <c r="AC1773" t="s">
        <v>97</v>
      </c>
      <c r="AD1773" t="s">
        <v>1818</v>
      </c>
      <c r="AG1773" t="s">
        <v>2422</v>
      </c>
      <c r="AH1773">
        <v>0</v>
      </c>
      <c r="AI1773">
        <v>673</v>
      </c>
      <c r="AJ1773">
        <v>75</v>
      </c>
      <c r="AK1773">
        <v>14</v>
      </c>
      <c r="AL1773">
        <v>0.22</v>
      </c>
    </row>
    <row r="1774" spans="1:38" x14ac:dyDescent="0.3">
      <c r="A1774" t="s">
        <v>1813</v>
      </c>
      <c r="B1774">
        <v>106016</v>
      </c>
      <c r="C1774">
        <v>3</v>
      </c>
      <c r="D1774" t="s">
        <v>2419</v>
      </c>
      <c r="E1774" t="s">
        <v>138</v>
      </c>
      <c r="F1774">
        <v>63</v>
      </c>
      <c r="G1774">
        <v>7.5</v>
      </c>
      <c r="H1774">
        <v>24.81</v>
      </c>
      <c r="I1774">
        <v>4.09</v>
      </c>
      <c r="J1774">
        <v>13.55</v>
      </c>
      <c r="K1774">
        <v>7</v>
      </c>
      <c r="T1774">
        <v>1</v>
      </c>
      <c r="U1774">
        <v>1</v>
      </c>
      <c r="V1774" t="s">
        <v>93</v>
      </c>
      <c r="W1774" t="s">
        <v>2423</v>
      </c>
      <c r="X1774">
        <v>14</v>
      </c>
      <c r="Y1774">
        <v>14</v>
      </c>
      <c r="Z1774" t="s">
        <v>2420</v>
      </c>
      <c r="AA1774" t="s">
        <v>2421</v>
      </c>
      <c r="AB1774" t="s">
        <v>96</v>
      </c>
      <c r="AC1774" t="s">
        <v>97</v>
      </c>
      <c r="AD1774" t="s">
        <v>1818</v>
      </c>
      <c r="AG1774" t="s">
        <v>2422</v>
      </c>
      <c r="AH1774">
        <v>0</v>
      </c>
      <c r="AI1774">
        <v>673</v>
      </c>
      <c r="AJ1774">
        <v>75</v>
      </c>
      <c r="AK1774">
        <v>14</v>
      </c>
      <c r="AL1774">
        <v>0.22</v>
      </c>
    </row>
    <row r="1775" spans="1:38" x14ac:dyDescent="0.3">
      <c r="A1775" t="s">
        <v>1813</v>
      </c>
      <c r="B1775">
        <v>106016</v>
      </c>
      <c r="C1775">
        <v>4</v>
      </c>
      <c r="D1775" t="s">
        <v>2419</v>
      </c>
      <c r="E1775" t="s">
        <v>138</v>
      </c>
      <c r="F1775">
        <v>63</v>
      </c>
      <c r="G1775">
        <v>7.65</v>
      </c>
      <c r="H1775">
        <v>25.29</v>
      </c>
      <c r="I1775">
        <v>4.17</v>
      </c>
      <c r="J1775">
        <v>13.81</v>
      </c>
      <c r="K1775">
        <v>7</v>
      </c>
      <c r="T1775">
        <v>1</v>
      </c>
      <c r="U1775">
        <v>1</v>
      </c>
      <c r="V1775" t="s">
        <v>93</v>
      </c>
      <c r="W1775" t="s">
        <v>2291</v>
      </c>
      <c r="X1775">
        <v>14</v>
      </c>
      <c r="Y1775">
        <v>14</v>
      </c>
      <c r="Z1775" t="s">
        <v>2420</v>
      </c>
      <c r="AA1775" t="s">
        <v>2421</v>
      </c>
      <c r="AB1775" t="s">
        <v>96</v>
      </c>
      <c r="AC1775" t="s">
        <v>97</v>
      </c>
      <c r="AD1775" t="s">
        <v>1818</v>
      </c>
      <c r="AG1775" t="s">
        <v>2422</v>
      </c>
      <c r="AH1775">
        <v>0</v>
      </c>
      <c r="AI1775">
        <v>673</v>
      </c>
      <c r="AJ1775">
        <v>75</v>
      </c>
      <c r="AK1775">
        <v>14</v>
      </c>
      <c r="AL1775">
        <v>0.22</v>
      </c>
    </row>
    <row r="1776" spans="1:38" x14ac:dyDescent="0.3">
      <c r="A1776" t="s">
        <v>1813</v>
      </c>
      <c r="B1776">
        <v>106016</v>
      </c>
      <c r="C1776">
        <v>5</v>
      </c>
      <c r="D1776" t="s">
        <v>2419</v>
      </c>
      <c r="E1776" t="s">
        <v>138</v>
      </c>
      <c r="F1776">
        <v>63</v>
      </c>
      <c r="G1776">
        <v>8.01</v>
      </c>
      <c r="H1776">
        <v>26.5</v>
      </c>
      <c r="I1776">
        <v>4.37</v>
      </c>
      <c r="J1776">
        <v>14.47</v>
      </c>
      <c r="K1776">
        <v>20</v>
      </c>
      <c r="T1776">
        <v>1</v>
      </c>
      <c r="U1776">
        <v>1</v>
      </c>
      <c r="V1776" t="s">
        <v>93</v>
      </c>
      <c r="W1776" t="s">
        <v>2292</v>
      </c>
      <c r="X1776">
        <v>14</v>
      </c>
      <c r="Y1776">
        <v>14</v>
      </c>
      <c r="Z1776" t="s">
        <v>2420</v>
      </c>
      <c r="AA1776" t="s">
        <v>2421</v>
      </c>
      <c r="AB1776" t="s">
        <v>96</v>
      </c>
      <c r="AC1776" t="s">
        <v>97</v>
      </c>
      <c r="AD1776" t="s">
        <v>1818</v>
      </c>
      <c r="AG1776" t="s">
        <v>2422</v>
      </c>
      <c r="AH1776">
        <v>0</v>
      </c>
      <c r="AI1776">
        <v>673</v>
      </c>
      <c r="AJ1776">
        <v>75</v>
      </c>
      <c r="AK1776">
        <v>14</v>
      </c>
      <c r="AL1776">
        <v>0.22</v>
      </c>
    </row>
    <row r="1777" spans="1:38" x14ac:dyDescent="0.3">
      <c r="A1777" t="s">
        <v>1813</v>
      </c>
      <c r="B1777">
        <v>106016</v>
      </c>
      <c r="C1777">
        <v>6</v>
      </c>
      <c r="D1777" t="s">
        <v>2419</v>
      </c>
      <c r="E1777" t="s">
        <v>138</v>
      </c>
      <c r="F1777">
        <v>63</v>
      </c>
      <c r="G1777">
        <v>7.86</v>
      </c>
      <c r="H1777">
        <v>26.01</v>
      </c>
      <c r="I1777">
        <v>4.29</v>
      </c>
      <c r="J1777">
        <v>14.2</v>
      </c>
      <c r="K1777">
        <v>10</v>
      </c>
      <c r="T1777">
        <v>1</v>
      </c>
      <c r="U1777">
        <v>1</v>
      </c>
      <c r="V1777" t="s">
        <v>93</v>
      </c>
      <c r="W1777" t="s">
        <v>2424</v>
      </c>
      <c r="X1777">
        <v>14</v>
      </c>
      <c r="Y1777">
        <v>14</v>
      </c>
      <c r="Z1777" t="s">
        <v>2420</v>
      </c>
      <c r="AA1777" t="s">
        <v>2421</v>
      </c>
      <c r="AB1777" t="s">
        <v>96</v>
      </c>
      <c r="AC1777" t="s">
        <v>97</v>
      </c>
      <c r="AD1777" t="s">
        <v>1818</v>
      </c>
      <c r="AG1777" t="s">
        <v>2422</v>
      </c>
      <c r="AH1777">
        <v>0</v>
      </c>
      <c r="AI1777">
        <v>673</v>
      </c>
      <c r="AJ1777">
        <v>75</v>
      </c>
      <c r="AK1777">
        <v>14</v>
      </c>
      <c r="AL1777">
        <v>0.22</v>
      </c>
    </row>
    <row r="1778" spans="1:38" x14ac:dyDescent="0.3">
      <c r="A1778" t="s">
        <v>1813</v>
      </c>
      <c r="B1778">
        <v>106016</v>
      </c>
      <c r="C1778">
        <v>7</v>
      </c>
      <c r="D1778" t="s">
        <v>2419</v>
      </c>
      <c r="E1778" t="s">
        <v>138</v>
      </c>
      <c r="F1778">
        <v>63</v>
      </c>
      <c r="G1778">
        <v>10.23</v>
      </c>
      <c r="H1778">
        <v>33.82</v>
      </c>
      <c r="I1778">
        <v>5.58</v>
      </c>
      <c r="J1778">
        <v>18.47</v>
      </c>
      <c r="K1778">
        <v>1</v>
      </c>
      <c r="T1778">
        <v>1</v>
      </c>
      <c r="U1778">
        <v>1</v>
      </c>
      <c r="V1778" t="s">
        <v>93</v>
      </c>
      <c r="W1778">
        <v>33</v>
      </c>
      <c r="X1778">
        <v>14</v>
      </c>
      <c r="Y1778">
        <v>14</v>
      </c>
      <c r="Z1778" t="s">
        <v>2420</v>
      </c>
      <c r="AA1778" t="s">
        <v>2421</v>
      </c>
      <c r="AB1778" t="s">
        <v>96</v>
      </c>
      <c r="AC1778" t="s">
        <v>97</v>
      </c>
      <c r="AD1778" t="s">
        <v>1818</v>
      </c>
      <c r="AG1778" t="s">
        <v>2422</v>
      </c>
      <c r="AH1778">
        <v>0</v>
      </c>
      <c r="AI1778">
        <v>673</v>
      </c>
      <c r="AJ1778">
        <v>75</v>
      </c>
      <c r="AK1778">
        <v>14</v>
      </c>
      <c r="AL1778">
        <v>0.22</v>
      </c>
    </row>
    <row r="1779" spans="1:38" x14ac:dyDescent="0.3">
      <c r="A1779" t="s">
        <v>1813</v>
      </c>
      <c r="B1779">
        <v>106016</v>
      </c>
      <c r="C1779">
        <v>8</v>
      </c>
      <c r="D1779" t="s">
        <v>2419</v>
      </c>
      <c r="E1779" t="s">
        <v>138</v>
      </c>
      <c r="F1779">
        <v>63</v>
      </c>
      <c r="G1779">
        <v>10.32</v>
      </c>
      <c r="H1779">
        <v>34.130000000000003</v>
      </c>
      <c r="I1779">
        <v>5.63</v>
      </c>
      <c r="J1779">
        <v>18.63</v>
      </c>
      <c r="K1779">
        <v>1</v>
      </c>
      <c r="T1779">
        <v>1</v>
      </c>
      <c r="U1779">
        <v>1</v>
      </c>
      <c r="V1779" t="s">
        <v>93</v>
      </c>
      <c r="W1779">
        <v>34</v>
      </c>
      <c r="X1779">
        <v>14</v>
      </c>
      <c r="Y1779">
        <v>14</v>
      </c>
      <c r="Z1779" t="s">
        <v>2420</v>
      </c>
      <c r="AA1779" t="s">
        <v>2421</v>
      </c>
      <c r="AB1779" t="s">
        <v>96</v>
      </c>
      <c r="AC1779" t="s">
        <v>97</v>
      </c>
      <c r="AD1779" t="s">
        <v>1818</v>
      </c>
      <c r="AG1779" t="s">
        <v>2422</v>
      </c>
      <c r="AH1779">
        <v>0</v>
      </c>
      <c r="AI1779">
        <v>673</v>
      </c>
      <c r="AJ1779">
        <v>75</v>
      </c>
      <c r="AK1779">
        <v>14</v>
      </c>
      <c r="AL1779">
        <v>0.22</v>
      </c>
    </row>
    <row r="1780" spans="1:38" x14ac:dyDescent="0.3">
      <c r="A1780" t="s">
        <v>1813</v>
      </c>
      <c r="B1780">
        <v>128391</v>
      </c>
      <c r="C1780">
        <v>1</v>
      </c>
      <c r="D1780" t="s">
        <v>2425</v>
      </c>
      <c r="E1780" t="s">
        <v>2426</v>
      </c>
      <c r="F1780">
        <v>2958</v>
      </c>
      <c r="G1780">
        <v>19.649999999999999</v>
      </c>
      <c r="H1780">
        <v>64.989999999999995</v>
      </c>
      <c r="I1780">
        <v>12.08</v>
      </c>
      <c r="J1780">
        <v>39.950000000000003</v>
      </c>
      <c r="K1780">
        <v>28</v>
      </c>
      <c r="T1780">
        <v>2</v>
      </c>
      <c r="U1780">
        <v>1</v>
      </c>
      <c r="V1780" t="s">
        <v>93</v>
      </c>
      <c r="W1780">
        <v>64</v>
      </c>
      <c r="X1780">
        <v>40</v>
      </c>
      <c r="Y1780">
        <v>17</v>
      </c>
      <c r="Z1780" t="s">
        <v>2427</v>
      </c>
      <c r="AA1780" t="s">
        <v>2428</v>
      </c>
      <c r="AB1780" t="s">
        <v>96</v>
      </c>
      <c r="AC1780" t="s">
        <v>97</v>
      </c>
      <c r="AD1780" t="s">
        <v>1818</v>
      </c>
      <c r="AG1780" t="s">
        <v>285</v>
      </c>
      <c r="AH1780">
        <v>66</v>
      </c>
      <c r="AI1780">
        <v>258</v>
      </c>
      <c r="AJ1780">
        <v>15</v>
      </c>
      <c r="AK1780">
        <v>3613</v>
      </c>
      <c r="AL1780">
        <v>1.22</v>
      </c>
    </row>
    <row r="1781" spans="1:38" x14ac:dyDescent="0.3">
      <c r="A1781" t="s">
        <v>1813</v>
      </c>
      <c r="B1781">
        <v>128391</v>
      </c>
      <c r="C1781">
        <v>2</v>
      </c>
      <c r="D1781" t="s">
        <v>2425</v>
      </c>
      <c r="E1781" t="s">
        <v>2426</v>
      </c>
      <c r="F1781">
        <v>2958</v>
      </c>
      <c r="G1781">
        <v>22.52</v>
      </c>
      <c r="H1781">
        <v>74.459999999999994</v>
      </c>
      <c r="I1781">
        <v>13.9</v>
      </c>
      <c r="J1781">
        <v>45.97</v>
      </c>
      <c r="K1781">
        <v>57</v>
      </c>
      <c r="T1781">
        <v>2</v>
      </c>
      <c r="U1781">
        <v>1</v>
      </c>
      <c r="V1781" t="s">
        <v>93</v>
      </c>
      <c r="W1781">
        <v>74</v>
      </c>
      <c r="X1781">
        <v>40</v>
      </c>
      <c r="Y1781">
        <v>17</v>
      </c>
      <c r="Z1781" t="s">
        <v>2427</v>
      </c>
      <c r="AA1781" t="s">
        <v>2428</v>
      </c>
      <c r="AB1781" t="s">
        <v>96</v>
      </c>
      <c r="AC1781" t="s">
        <v>97</v>
      </c>
      <c r="AD1781" t="s">
        <v>1818</v>
      </c>
      <c r="AG1781" t="s">
        <v>285</v>
      </c>
      <c r="AH1781">
        <v>66</v>
      </c>
      <c r="AI1781">
        <v>258</v>
      </c>
      <c r="AJ1781">
        <v>15</v>
      </c>
      <c r="AK1781">
        <v>3613</v>
      </c>
      <c r="AL1781">
        <v>1.22</v>
      </c>
    </row>
    <row r="1782" spans="1:38" x14ac:dyDescent="0.3">
      <c r="A1782" t="s">
        <v>1813</v>
      </c>
      <c r="B1782">
        <v>128391</v>
      </c>
      <c r="C1782">
        <v>3</v>
      </c>
      <c r="D1782" t="s">
        <v>2425</v>
      </c>
      <c r="E1782" t="s">
        <v>2426</v>
      </c>
      <c r="F1782">
        <v>2958</v>
      </c>
      <c r="G1782">
        <v>24.18</v>
      </c>
      <c r="H1782">
        <v>79.95</v>
      </c>
      <c r="I1782">
        <v>18.13</v>
      </c>
      <c r="J1782">
        <v>59.96</v>
      </c>
      <c r="K1782">
        <v>502</v>
      </c>
      <c r="T1782">
        <v>3</v>
      </c>
      <c r="U1782">
        <v>2</v>
      </c>
      <c r="V1782" t="s">
        <v>93</v>
      </c>
      <c r="W1782" t="s">
        <v>474</v>
      </c>
      <c r="X1782">
        <v>40</v>
      </c>
      <c r="Y1782">
        <v>17</v>
      </c>
      <c r="Z1782" t="s">
        <v>2427</v>
      </c>
      <c r="AA1782" t="s">
        <v>2428</v>
      </c>
      <c r="AB1782" t="s">
        <v>96</v>
      </c>
      <c r="AC1782" t="s">
        <v>97</v>
      </c>
      <c r="AD1782" t="s">
        <v>1818</v>
      </c>
      <c r="AG1782" t="s">
        <v>285</v>
      </c>
      <c r="AH1782">
        <v>66</v>
      </c>
      <c r="AI1782">
        <v>258</v>
      </c>
      <c r="AJ1782">
        <v>15</v>
      </c>
      <c r="AK1782">
        <v>3613</v>
      </c>
      <c r="AL1782">
        <v>1.22</v>
      </c>
    </row>
    <row r="1783" spans="1:38" x14ac:dyDescent="0.3">
      <c r="A1783" t="s">
        <v>1813</v>
      </c>
      <c r="B1783">
        <v>128391</v>
      </c>
      <c r="C1783">
        <v>4</v>
      </c>
      <c r="D1783" t="s">
        <v>2425</v>
      </c>
      <c r="E1783" t="s">
        <v>2426</v>
      </c>
      <c r="F1783">
        <v>2958</v>
      </c>
      <c r="G1783">
        <v>24.13</v>
      </c>
      <c r="H1783">
        <v>79.77</v>
      </c>
      <c r="I1783">
        <v>18.14</v>
      </c>
      <c r="J1783">
        <v>59.98</v>
      </c>
      <c r="K1783">
        <v>186</v>
      </c>
      <c r="T1783">
        <v>3</v>
      </c>
      <c r="U1783">
        <v>2</v>
      </c>
      <c r="V1783" t="s">
        <v>93</v>
      </c>
      <c r="W1783" t="s">
        <v>794</v>
      </c>
      <c r="X1783">
        <v>40</v>
      </c>
      <c r="Y1783">
        <v>17</v>
      </c>
      <c r="Z1783" t="s">
        <v>2427</v>
      </c>
      <c r="AA1783" t="s">
        <v>2428</v>
      </c>
      <c r="AB1783" t="s">
        <v>96</v>
      </c>
      <c r="AC1783" t="s">
        <v>97</v>
      </c>
      <c r="AD1783" t="s">
        <v>1818</v>
      </c>
      <c r="AG1783" t="s">
        <v>285</v>
      </c>
      <c r="AH1783">
        <v>66</v>
      </c>
      <c r="AI1783">
        <v>258</v>
      </c>
      <c r="AJ1783">
        <v>15</v>
      </c>
      <c r="AK1783">
        <v>3613</v>
      </c>
      <c r="AL1783">
        <v>1.22</v>
      </c>
    </row>
    <row r="1784" spans="1:38" x14ac:dyDescent="0.3">
      <c r="A1784" t="s">
        <v>1813</v>
      </c>
      <c r="B1784">
        <v>128391</v>
      </c>
      <c r="C1784">
        <v>5</v>
      </c>
      <c r="D1784" t="s">
        <v>2425</v>
      </c>
      <c r="E1784" t="s">
        <v>2426</v>
      </c>
      <c r="F1784">
        <v>2958</v>
      </c>
      <c r="G1784">
        <v>24.3</v>
      </c>
      <c r="H1784">
        <v>80.349999999999994</v>
      </c>
      <c r="I1784">
        <v>18.059999999999999</v>
      </c>
      <c r="J1784">
        <v>59.72</v>
      </c>
      <c r="K1784">
        <v>454</v>
      </c>
      <c r="T1784">
        <v>3</v>
      </c>
      <c r="U1784">
        <v>2</v>
      </c>
      <c r="V1784" t="s">
        <v>93</v>
      </c>
      <c r="W1784" t="s">
        <v>322</v>
      </c>
      <c r="X1784">
        <v>40</v>
      </c>
      <c r="Y1784">
        <v>17</v>
      </c>
      <c r="Z1784" t="s">
        <v>2427</v>
      </c>
      <c r="AA1784" t="s">
        <v>2428</v>
      </c>
      <c r="AB1784" t="s">
        <v>96</v>
      </c>
      <c r="AC1784" t="s">
        <v>97</v>
      </c>
      <c r="AD1784" t="s">
        <v>1818</v>
      </c>
      <c r="AG1784" t="s">
        <v>285</v>
      </c>
      <c r="AH1784">
        <v>66</v>
      </c>
      <c r="AI1784">
        <v>258</v>
      </c>
      <c r="AJ1784">
        <v>15</v>
      </c>
      <c r="AK1784">
        <v>3613</v>
      </c>
      <c r="AL1784">
        <v>1.22</v>
      </c>
    </row>
    <row r="1785" spans="1:38" x14ac:dyDescent="0.3">
      <c r="A1785" t="s">
        <v>1813</v>
      </c>
      <c r="B1785">
        <v>128391</v>
      </c>
      <c r="C1785">
        <v>6</v>
      </c>
      <c r="D1785" t="s">
        <v>2425</v>
      </c>
      <c r="E1785" t="s">
        <v>2426</v>
      </c>
      <c r="F1785">
        <v>2958</v>
      </c>
      <c r="G1785">
        <v>26.06</v>
      </c>
      <c r="H1785">
        <v>86.15</v>
      </c>
      <c r="I1785">
        <v>19.59</v>
      </c>
      <c r="J1785">
        <v>64.790000000000006</v>
      </c>
      <c r="K1785">
        <v>145</v>
      </c>
      <c r="T1785">
        <v>3</v>
      </c>
      <c r="U1785">
        <v>2</v>
      </c>
      <c r="V1785" t="s">
        <v>93</v>
      </c>
      <c r="W1785">
        <v>86</v>
      </c>
      <c r="X1785">
        <v>40</v>
      </c>
      <c r="Y1785">
        <v>17</v>
      </c>
      <c r="Z1785" t="s">
        <v>2427</v>
      </c>
      <c r="AA1785" t="s">
        <v>2428</v>
      </c>
      <c r="AB1785" t="s">
        <v>96</v>
      </c>
      <c r="AC1785" t="s">
        <v>97</v>
      </c>
      <c r="AD1785" t="s">
        <v>1818</v>
      </c>
      <c r="AG1785" t="s">
        <v>285</v>
      </c>
      <c r="AH1785">
        <v>66</v>
      </c>
      <c r="AI1785">
        <v>258</v>
      </c>
      <c r="AJ1785">
        <v>15</v>
      </c>
      <c r="AK1785">
        <v>3613</v>
      </c>
      <c r="AL1785">
        <v>1.22</v>
      </c>
    </row>
    <row r="1786" spans="1:38" x14ac:dyDescent="0.3">
      <c r="A1786" t="s">
        <v>1813</v>
      </c>
      <c r="B1786">
        <v>128391</v>
      </c>
      <c r="C1786">
        <v>7</v>
      </c>
      <c r="D1786" t="s">
        <v>2425</v>
      </c>
      <c r="E1786" t="s">
        <v>2426</v>
      </c>
      <c r="F1786">
        <v>2958</v>
      </c>
      <c r="G1786">
        <v>30.07</v>
      </c>
      <c r="H1786">
        <v>99.43</v>
      </c>
      <c r="I1786">
        <v>22.67</v>
      </c>
      <c r="J1786">
        <v>74.97</v>
      </c>
      <c r="K1786">
        <v>165</v>
      </c>
      <c r="T1786">
        <v>3</v>
      </c>
      <c r="U1786">
        <v>2</v>
      </c>
      <c r="V1786" t="s">
        <v>93</v>
      </c>
      <c r="W1786" t="s">
        <v>1049</v>
      </c>
      <c r="X1786">
        <v>40</v>
      </c>
      <c r="Y1786">
        <v>17</v>
      </c>
      <c r="Z1786" t="s">
        <v>2427</v>
      </c>
      <c r="AA1786" t="s">
        <v>2428</v>
      </c>
      <c r="AB1786" t="s">
        <v>96</v>
      </c>
      <c r="AC1786" t="s">
        <v>97</v>
      </c>
      <c r="AD1786" t="s">
        <v>1818</v>
      </c>
      <c r="AG1786" t="s">
        <v>285</v>
      </c>
      <c r="AH1786">
        <v>66</v>
      </c>
      <c r="AI1786">
        <v>258</v>
      </c>
      <c r="AJ1786">
        <v>15</v>
      </c>
      <c r="AK1786">
        <v>3613</v>
      </c>
      <c r="AL1786">
        <v>1.22</v>
      </c>
    </row>
    <row r="1787" spans="1:38" x14ac:dyDescent="0.3">
      <c r="A1787" t="s">
        <v>1813</v>
      </c>
      <c r="B1787">
        <v>128391</v>
      </c>
      <c r="C1787">
        <v>8</v>
      </c>
      <c r="D1787" t="s">
        <v>2425</v>
      </c>
      <c r="E1787" t="s">
        <v>2426</v>
      </c>
      <c r="F1787">
        <v>2958</v>
      </c>
      <c r="G1787">
        <v>30.46</v>
      </c>
      <c r="H1787">
        <v>100.71</v>
      </c>
      <c r="I1787">
        <v>22.62</v>
      </c>
      <c r="J1787">
        <v>74.78</v>
      </c>
      <c r="K1787">
        <v>262</v>
      </c>
      <c r="T1787">
        <v>3</v>
      </c>
      <c r="U1787">
        <v>2</v>
      </c>
      <c r="V1787" t="s">
        <v>93</v>
      </c>
      <c r="W1787" t="s">
        <v>1640</v>
      </c>
      <c r="X1787">
        <v>40</v>
      </c>
      <c r="Y1787">
        <v>17</v>
      </c>
      <c r="Z1787" t="s">
        <v>2427</v>
      </c>
      <c r="AA1787" t="s">
        <v>2428</v>
      </c>
      <c r="AB1787" t="s">
        <v>96</v>
      </c>
      <c r="AC1787" t="s">
        <v>97</v>
      </c>
      <c r="AD1787" t="s">
        <v>1818</v>
      </c>
      <c r="AG1787" t="s">
        <v>285</v>
      </c>
      <c r="AH1787">
        <v>66</v>
      </c>
      <c r="AI1787">
        <v>258</v>
      </c>
      <c r="AJ1787">
        <v>15</v>
      </c>
      <c r="AK1787">
        <v>3613</v>
      </c>
      <c r="AL1787">
        <v>1.22</v>
      </c>
    </row>
    <row r="1788" spans="1:38" x14ac:dyDescent="0.3">
      <c r="A1788" t="s">
        <v>1813</v>
      </c>
      <c r="B1788">
        <v>128391</v>
      </c>
      <c r="C1788">
        <v>9</v>
      </c>
      <c r="D1788" t="s">
        <v>2425</v>
      </c>
      <c r="E1788" t="s">
        <v>2426</v>
      </c>
      <c r="F1788">
        <v>2958</v>
      </c>
      <c r="G1788">
        <v>33.93</v>
      </c>
      <c r="H1788">
        <v>112.19</v>
      </c>
      <c r="I1788">
        <v>25.7</v>
      </c>
      <c r="J1788">
        <v>84.97</v>
      </c>
      <c r="K1788">
        <v>49</v>
      </c>
      <c r="T1788">
        <v>4</v>
      </c>
      <c r="U1788">
        <v>2</v>
      </c>
      <c r="V1788" t="s">
        <v>93</v>
      </c>
      <c r="W1788" t="s">
        <v>729</v>
      </c>
      <c r="X1788">
        <v>40</v>
      </c>
      <c r="Y1788">
        <v>17</v>
      </c>
      <c r="Z1788" t="s">
        <v>2427</v>
      </c>
      <c r="AA1788" t="s">
        <v>2428</v>
      </c>
      <c r="AB1788" t="s">
        <v>96</v>
      </c>
      <c r="AC1788" t="s">
        <v>97</v>
      </c>
      <c r="AD1788" t="s">
        <v>1818</v>
      </c>
      <c r="AG1788" t="s">
        <v>285</v>
      </c>
      <c r="AH1788">
        <v>66</v>
      </c>
      <c r="AI1788">
        <v>258</v>
      </c>
      <c r="AJ1788">
        <v>15</v>
      </c>
      <c r="AK1788">
        <v>3613</v>
      </c>
      <c r="AL1788">
        <v>1.22</v>
      </c>
    </row>
    <row r="1789" spans="1:38" x14ac:dyDescent="0.3">
      <c r="A1789" t="s">
        <v>1813</v>
      </c>
      <c r="B1789">
        <v>128391</v>
      </c>
      <c r="C1789">
        <v>10</v>
      </c>
      <c r="D1789" t="s">
        <v>2425</v>
      </c>
      <c r="E1789" t="s">
        <v>2426</v>
      </c>
      <c r="F1789">
        <v>2958</v>
      </c>
      <c r="G1789">
        <v>34.22</v>
      </c>
      <c r="H1789">
        <v>113.13</v>
      </c>
      <c r="I1789">
        <v>25.69</v>
      </c>
      <c r="J1789">
        <v>84.94</v>
      </c>
      <c r="K1789">
        <v>37</v>
      </c>
      <c r="T1789">
        <v>3</v>
      </c>
      <c r="U1789">
        <v>2</v>
      </c>
      <c r="V1789" t="s">
        <v>93</v>
      </c>
      <c r="W1789" t="s">
        <v>730</v>
      </c>
      <c r="X1789">
        <v>40</v>
      </c>
      <c r="Y1789">
        <v>17</v>
      </c>
      <c r="Z1789" t="s">
        <v>2427</v>
      </c>
      <c r="AA1789" t="s">
        <v>2428</v>
      </c>
      <c r="AB1789" t="s">
        <v>96</v>
      </c>
      <c r="AC1789" t="s">
        <v>97</v>
      </c>
      <c r="AD1789" t="s">
        <v>1818</v>
      </c>
      <c r="AG1789" t="s">
        <v>285</v>
      </c>
      <c r="AH1789">
        <v>66</v>
      </c>
      <c r="AI1789">
        <v>258</v>
      </c>
      <c r="AJ1789">
        <v>15</v>
      </c>
      <c r="AK1789">
        <v>3613</v>
      </c>
      <c r="AL1789">
        <v>1.22</v>
      </c>
    </row>
    <row r="1790" spans="1:38" x14ac:dyDescent="0.3">
      <c r="A1790" t="s">
        <v>1813</v>
      </c>
      <c r="B1790">
        <v>128391</v>
      </c>
      <c r="C1790">
        <v>11</v>
      </c>
      <c r="D1790" t="s">
        <v>2425</v>
      </c>
      <c r="E1790" t="s">
        <v>2426</v>
      </c>
      <c r="F1790">
        <v>2958</v>
      </c>
      <c r="G1790">
        <v>37.39</v>
      </c>
      <c r="H1790">
        <v>123.62</v>
      </c>
      <c r="I1790">
        <v>28.42</v>
      </c>
      <c r="J1790">
        <v>93.97</v>
      </c>
      <c r="K1790">
        <v>30</v>
      </c>
      <c r="T1790">
        <v>4</v>
      </c>
      <c r="U1790">
        <v>2</v>
      </c>
      <c r="V1790" t="s">
        <v>93</v>
      </c>
      <c r="W1790">
        <v>123</v>
      </c>
      <c r="X1790">
        <v>40</v>
      </c>
      <c r="Y1790">
        <v>17</v>
      </c>
      <c r="Z1790" t="s">
        <v>2427</v>
      </c>
      <c r="AA1790" t="s">
        <v>2428</v>
      </c>
      <c r="AB1790" t="s">
        <v>96</v>
      </c>
      <c r="AC1790" t="s">
        <v>97</v>
      </c>
      <c r="AD1790" t="s">
        <v>1818</v>
      </c>
      <c r="AG1790" t="s">
        <v>285</v>
      </c>
      <c r="AH1790">
        <v>66</v>
      </c>
      <c r="AI1790">
        <v>258</v>
      </c>
      <c r="AJ1790">
        <v>15</v>
      </c>
      <c r="AK1790">
        <v>3613</v>
      </c>
      <c r="AL1790">
        <v>1.22</v>
      </c>
    </row>
    <row r="1791" spans="1:38" x14ac:dyDescent="0.3">
      <c r="A1791" t="s">
        <v>1813</v>
      </c>
      <c r="B1791">
        <v>112356</v>
      </c>
      <c r="C1791">
        <v>1</v>
      </c>
      <c r="D1791" t="s">
        <v>2429</v>
      </c>
      <c r="E1791" t="s">
        <v>2430</v>
      </c>
      <c r="F1791">
        <v>54</v>
      </c>
      <c r="G1791">
        <v>20.07</v>
      </c>
      <c r="H1791">
        <v>66.349999999999994</v>
      </c>
      <c r="I1791">
        <v>14.83</v>
      </c>
      <c r="J1791">
        <v>49.03</v>
      </c>
      <c r="K1791">
        <v>11</v>
      </c>
      <c r="T1791">
        <v>2</v>
      </c>
      <c r="U1791">
        <v>1</v>
      </c>
      <c r="V1791" t="s">
        <v>132</v>
      </c>
      <c r="W1791" t="s">
        <v>256</v>
      </c>
      <c r="X1791">
        <v>13</v>
      </c>
      <c r="Y1791">
        <v>12</v>
      </c>
      <c r="Z1791" t="s">
        <v>2431</v>
      </c>
      <c r="AA1791" t="s">
        <v>2432</v>
      </c>
      <c r="AB1791" t="s">
        <v>96</v>
      </c>
      <c r="AC1791" t="s">
        <v>97</v>
      </c>
      <c r="AD1791" t="s">
        <v>1818</v>
      </c>
      <c r="AG1791" t="s">
        <v>2433</v>
      </c>
      <c r="AH1791">
        <v>0</v>
      </c>
      <c r="AI1791">
        <v>607</v>
      </c>
      <c r="AJ1791">
        <v>77</v>
      </c>
      <c r="AK1791">
        <v>33</v>
      </c>
      <c r="AL1791">
        <v>0.61</v>
      </c>
    </row>
    <row r="1792" spans="1:38" x14ac:dyDescent="0.3">
      <c r="A1792" t="s">
        <v>1813</v>
      </c>
      <c r="B1792">
        <v>112356</v>
      </c>
      <c r="C1792">
        <v>2</v>
      </c>
      <c r="D1792" t="s">
        <v>2429</v>
      </c>
      <c r="E1792" t="s">
        <v>2430</v>
      </c>
      <c r="F1792">
        <v>54</v>
      </c>
      <c r="G1792">
        <v>20.13</v>
      </c>
      <c r="H1792">
        <v>66.56</v>
      </c>
      <c r="I1792">
        <v>14.84</v>
      </c>
      <c r="J1792">
        <v>49.07</v>
      </c>
      <c r="K1792">
        <v>11</v>
      </c>
      <c r="T1792">
        <v>2</v>
      </c>
      <c r="U1792">
        <v>1</v>
      </c>
      <c r="V1792" t="s">
        <v>132</v>
      </c>
      <c r="W1792" t="s">
        <v>2434</v>
      </c>
      <c r="X1792">
        <v>13</v>
      </c>
      <c r="Y1792">
        <v>12</v>
      </c>
      <c r="Z1792" t="s">
        <v>2431</v>
      </c>
      <c r="AA1792" t="s">
        <v>2432</v>
      </c>
      <c r="AB1792" t="s">
        <v>96</v>
      </c>
      <c r="AC1792" t="s">
        <v>97</v>
      </c>
      <c r="AD1792" t="s">
        <v>1818</v>
      </c>
      <c r="AG1792" t="s">
        <v>2433</v>
      </c>
      <c r="AH1792">
        <v>0</v>
      </c>
      <c r="AI1792">
        <v>607</v>
      </c>
      <c r="AJ1792">
        <v>77</v>
      </c>
      <c r="AK1792">
        <v>33</v>
      </c>
      <c r="AL1792">
        <v>0.61</v>
      </c>
    </row>
    <row r="1793" spans="1:38" x14ac:dyDescent="0.3">
      <c r="A1793" t="s">
        <v>1813</v>
      </c>
      <c r="B1793">
        <v>112356</v>
      </c>
      <c r="C1793">
        <v>3</v>
      </c>
      <c r="D1793" t="s">
        <v>2429</v>
      </c>
      <c r="E1793" t="s">
        <v>2430</v>
      </c>
      <c r="F1793">
        <v>54</v>
      </c>
      <c r="G1793">
        <v>19.96</v>
      </c>
      <c r="H1793">
        <v>66.010000000000005</v>
      </c>
      <c r="I1793">
        <v>14.57</v>
      </c>
      <c r="J1793">
        <v>48.18</v>
      </c>
      <c r="K1793">
        <v>10</v>
      </c>
      <c r="T1793">
        <v>2</v>
      </c>
      <c r="U1793">
        <v>1</v>
      </c>
      <c r="V1793" t="s">
        <v>132</v>
      </c>
      <c r="W1793" t="s">
        <v>257</v>
      </c>
      <c r="X1793">
        <v>13</v>
      </c>
      <c r="Y1793">
        <v>12</v>
      </c>
      <c r="Z1793" t="s">
        <v>2431</v>
      </c>
      <c r="AA1793" t="s">
        <v>2432</v>
      </c>
      <c r="AB1793" t="s">
        <v>96</v>
      </c>
      <c r="AC1793" t="s">
        <v>97</v>
      </c>
      <c r="AD1793" t="s">
        <v>1818</v>
      </c>
      <c r="AG1793" t="s">
        <v>2433</v>
      </c>
      <c r="AH1793">
        <v>0</v>
      </c>
      <c r="AI1793">
        <v>607</v>
      </c>
      <c r="AJ1793">
        <v>77</v>
      </c>
      <c r="AK1793">
        <v>33</v>
      </c>
      <c r="AL1793">
        <v>0.61</v>
      </c>
    </row>
    <row r="1794" spans="1:38" x14ac:dyDescent="0.3">
      <c r="A1794" t="s">
        <v>1813</v>
      </c>
      <c r="B1794">
        <v>112356</v>
      </c>
      <c r="C1794">
        <v>4</v>
      </c>
      <c r="D1794" t="s">
        <v>2429</v>
      </c>
      <c r="E1794" t="s">
        <v>2430</v>
      </c>
      <c r="F1794">
        <v>54</v>
      </c>
      <c r="G1794">
        <v>20.34</v>
      </c>
      <c r="H1794">
        <v>67.260000000000005</v>
      </c>
      <c r="I1794">
        <v>14.84</v>
      </c>
      <c r="J1794">
        <v>49.06</v>
      </c>
      <c r="K1794">
        <v>11</v>
      </c>
      <c r="T1794">
        <v>2</v>
      </c>
      <c r="U1794">
        <v>1</v>
      </c>
      <c r="V1794" t="s">
        <v>132</v>
      </c>
      <c r="W1794" t="s">
        <v>902</v>
      </c>
      <c r="X1794">
        <v>13</v>
      </c>
      <c r="Y1794">
        <v>12</v>
      </c>
      <c r="Z1794" t="s">
        <v>2431</v>
      </c>
      <c r="AA1794" t="s">
        <v>2432</v>
      </c>
      <c r="AB1794" t="s">
        <v>96</v>
      </c>
      <c r="AC1794" t="s">
        <v>97</v>
      </c>
      <c r="AD1794" t="s">
        <v>1818</v>
      </c>
      <c r="AG1794" t="s">
        <v>2433</v>
      </c>
      <c r="AH1794">
        <v>0</v>
      </c>
      <c r="AI1794">
        <v>607</v>
      </c>
      <c r="AJ1794">
        <v>77</v>
      </c>
      <c r="AK1794">
        <v>33</v>
      </c>
      <c r="AL1794">
        <v>0.61</v>
      </c>
    </row>
    <row r="1795" spans="1:38" x14ac:dyDescent="0.3">
      <c r="A1795" t="s">
        <v>1813</v>
      </c>
      <c r="B1795">
        <v>112356</v>
      </c>
      <c r="C1795">
        <v>5</v>
      </c>
      <c r="D1795" t="s">
        <v>2429</v>
      </c>
      <c r="E1795" t="s">
        <v>2430</v>
      </c>
      <c r="F1795">
        <v>54</v>
      </c>
      <c r="G1795">
        <v>20.38</v>
      </c>
      <c r="H1795">
        <v>67.38</v>
      </c>
      <c r="I1795">
        <v>15.08</v>
      </c>
      <c r="J1795">
        <v>49.87</v>
      </c>
      <c r="K1795">
        <v>11</v>
      </c>
      <c r="T1795">
        <v>2</v>
      </c>
      <c r="U1795">
        <v>1</v>
      </c>
      <c r="V1795" t="s">
        <v>132</v>
      </c>
      <c r="W1795" t="s">
        <v>2435</v>
      </c>
      <c r="X1795">
        <v>13</v>
      </c>
      <c r="Y1795">
        <v>12</v>
      </c>
      <c r="Z1795" t="s">
        <v>2431</v>
      </c>
      <c r="AA1795" t="s">
        <v>2432</v>
      </c>
      <c r="AB1795" t="s">
        <v>96</v>
      </c>
      <c r="AC1795" t="s">
        <v>97</v>
      </c>
      <c r="AD1795" t="s">
        <v>1818</v>
      </c>
      <c r="AG1795" t="s">
        <v>2433</v>
      </c>
      <c r="AH1795">
        <v>0</v>
      </c>
      <c r="AI1795">
        <v>607</v>
      </c>
      <c r="AJ1795">
        <v>77</v>
      </c>
      <c r="AK1795">
        <v>33</v>
      </c>
      <c r="AL1795">
        <v>0.61</v>
      </c>
    </row>
    <row r="1796" spans="1:38" x14ac:dyDescent="0.3">
      <c r="A1796" t="s">
        <v>1813</v>
      </c>
      <c r="B1796">
        <v>122570</v>
      </c>
      <c r="C1796">
        <v>1</v>
      </c>
      <c r="D1796" t="s">
        <v>2436</v>
      </c>
      <c r="E1796" t="s">
        <v>1048</v>
      </c>
      <c r="F1796">
        <v>20</v>
      </c>
      <c r="G1796">
        <v>25.46</v>
      </c>
      <c r="H1796">
        <v>84.19</v>
      </c>
      <c r="I1796">
        <v>20.43</v>
      </c>
      <c r="J1796">
        <v>67.540000000000006</v>
      </c>
      <c r="K1796">
        <v>18</v>
      </c>
      <c r="T1796">
        <v>3</v>
      </c>
      <c r="U1796">
        <v>2</v>
      </c>
      <c r="V1796" t="s">
        <v>93</v>
      </c>
      <c r="W1796" t="s">
        <v>221</v>
      </c>
      <c r="X1796">
        <v>20</v>
      </c>
      <c r="Y1796">
        <v>20</v>
      </c>
      <c r="Z1796" t="s">
        <v>2437</v>
      </c>
      <c r="AA1796" t="s">
        <v>2438</v>
      </c>
      <c r="AB1796" t="s">
        <v>96</v>
      </c>
      <c r="AC1796" t="s">
        <v>97</v>
      </c>
      <c r="AD1796" t="s">
        <v>1818</v>
      </c>
      <c r="AG1796" t="s">
        <v>2439</v>
      </c>
      <c r="AH1796">
        <v>0</v>
      </c>
      <c r="AI1796">
        <v>1062</v>
      </c>
      <c r="AJ1796">
        <v>74</v>
      </c>
      <c r="AK1796">
        <v>20</v>
      </c>
      <c r="AL1796">
        <v>1</v>
      </c>
    </row>
    <row r="1797" spans="1:38" x14ac:dyDescent="0.3">
      <c r="A1797" t="s">
        <v>1813</v>
      </c>
      <c r="B1797">
        <v>122570</v>
      </c>
      <c r="C1797">
        <v>2</v>
      </c>
      <c r="D1797" t="s">
        <v>2436</v>
      </c>
      <c r="E1797" t="s">
        <v>1048</v>
      </c>
      <c r="F1797">
        <v>20</v>
      </c>
      <c r="G1797">
        <v>25.41</v>
      </c>
      <c r="H1797">
        <v>84</v>
      </c>
      <c r="I1797">
        <v>20.38</v>
      </c>
      <c r="J1797">
        <v>67.39</v>
      </c>
      <c r="K1797">
        <v>2</v>
      </c>
      <c r="T1797">
        <v>3</v>
      </c>
      <c r="U1797">
        <v>2</v>
      </c>
      <c r="V1797" t="s">
        <v>93</v>
      </c>
      <c r="W1797" t="s">
        <v>383</v>
      </c>
      <c r="X1797">
        <v>20</v>
      </c>
      <c r="Y1797">
        <v>20</v>
      </c>
      <c r="Z1797" t="s">
        <v>2437</v>
      </c>
      <c r="AA1797" t="s">
        <v>2438</v>
      </c>
      <c r="AB1797" t="s">
        <v>96</v>
      </c>
      <c r="AC1797" t="s">
        <v>97</v>
      </c>
      <c r="AD1797" t="s">
        <v>1818</v>
      </c>
      <c r="AG1797" t="s">
        <v>2439</v>
      </c>
      <c r="AH1797">
        <v>0</v>
      </c>
      <c r="AI1797">
        <v>1062</v>
      </c>
      <c r="AJ1797">
        <v>74</v>
      </c>
      <c r="AK1797">
        <v>20</v>
      </c>
      <c r="AL1797">
        <v>1</v>
      </c>
    </row>
    <row r="1798" spans="1:38" x14ac:dyDescent="0.3">
      <c r="A1798" t="s">
        <v>1813</v>
      </c>
      <c r="B1798">
        <v>17560</v>
      </c>
      <c r="C1798">
        <v>1</v>
      </c>
      <c r="D1798" t="s">
        <v>2440</v>
      </c>
      <c r="E1798" t="s">
        <v>2441</v>
      </c>
      <c r="F1798">
        <v>494</v>
      </c>
      <c r="G1798">
        <v>17.03</v>
      </c>
      <c r="H1798">
        <v>56.33</v>
      </c>
      <c r="I1798">
        <v>12.34</v>
      </c>
      <c r="J1798">
        <v>40.799999999999997</v>
      </c>
      <c r="K1798">
        <v>55</v>
      </c>
      <c r="T1798">
        <v>2</v>
      </c>
      <c r="U1798">
        <v>1</v>
      </c>
      <c r="V1798" t="s">
        <v>93</v>
      </c>
      <c r="W1798">
        <v>56</v>
      </c>
      <c r="X1798">
        <v>15</v>
      </c>
      <c r="Y1798">
        <v>7</v>
      </c>
      <c r="Z1798" t="s">
        <v>2442</v>
      </c>
      <c r="AA1798" t="s">
        <v>2443</v>
      </c>
      <c r="AB1798" t="s">
        <v>96</v>
      </c>
      <c r="AC1798" t="s">
        <v>97</v>
      </c>
      <c r="AD1798" t="s">
        <v>1818</v>
      </c>
      <c r="AG1798" t="s">
        <v>2444</v>
      </c>
      <c r="AH1798">
        <v>0</v>
      </c>
      <c r="AI1798">
        <v>223</v>
      </c>
      <c r="AJ1798">
        <v>20</v>
      </c>
      <c r="AK1798">
        <v>502</v>
      </c>
      <c r="AL1798">
        <v>1.02</v>
      </c>
    </row>
    <row r="1799" spans="1:38" x14ac:dyDescent="0.3">
      <c r="A1799" t="s">
        <v>1813</v>
      </c>
      <c r="B1799">
        <v>17560</v>
      </c>
      <c r="C1799">
        <v>2</v>
      </c>
      <c r="D1799" t="s">
        <v>2440</v>
      </c>
      <c r="E1799" t="s">
        <v>2441</v>
      </c>
      <c r="F1799">
        <v>494</v>
      </c>
      <c r="G1799">
        <v>23.74</v>
      </c>
      <c r="H1799">
        <v>78.489999999999995</v>
      </c>
      <c r="I1799">
        <v>18.079999999999998</v>
      </c>
      <c r="J1799">
        <v>59.78</v>
      </c>
      <c r="K1799">
        <v>81</v>
      </c>
      <c r="T1799">
        <v>3</v>
      </c>
      <c r="U1799">
        <v>2</v>
      </c>
      <c r="V1799" t="s">
        <v>93</v>
      </c>
      <c r="W1799">
        <v>78</v>
      </c>
      <c r="X1799">
        <v>15</v>
      </c>
      <c r="Y1799">
        <v>7</v>
      </c>
      <c r="Z1799" t="s">
        <v>2442</v>
      </c>
      <c r="AA1799" t="s">
        <v>2443</v>
      </c>
      <c r="AB1799" t="s">
        <v>96</v>
      </c>
      <c r="AC1799" t="s">
        <v>97</v>
      </c>
      <c r="AD1799" t="s">
        <v>1818</v>
      </c>
      <c r="AG1799" t="s">
        <v>2444</v>
      </c>
      <c r="AH1799">
        <v>0</v>
      </c>
      <c r="AI1799">
        <v>223</v>
      </c>
      <c r="AJ1799">
        <v>20</v>
      </c>
      <c r="AK1799">
        <v>502</v>
      </c>
      <c r="AL1799">
        <v>1.02</v>
      </c>
    </row>
    <row r="1800" spans="1:38" x14ac:dyDescent="0.3">
      <c r="A1800" t="s">
        <v>1813</v>
      </c>
      <c r="B1800">
        <v>17560</v>
      </c>
      <c r="C1800">
        <v>3</v>
      </c>
      <c r="D1800" t="s">
        <v>2440</v>
      </c>
      <c r="E1800" t="s">
        <v>2441</v>
      </c>
      <c r="F1800">
        <v>494</v>
      </c>
      <c r="G1800">
        <v>31.31</v>
      </c>
      <c r="H1800">
        <v>103.53</v>
      </c>
      <c r="I1800">
        <v>25.66</v>
      </c>
      <c r="J1800">
        <v>84.83</v>
      </c>
      <c r="K1800">
        <v>120</v>
      </c>
      <c r="T1800">
        <v>3</v>
      </c>
      <c r="U1800">
        <v>2</v>
      </c>
      <c r="V1800" t="s">
        <v>93</v>
      </c>
      <c r="W1800" t="s">
        <v>1088</v>
      </c>
      <c r="X1800">
        <v>15</v>
      </c>
      <c r="Y1800">
        <v>7</v>
      </c>
      <c r="Z1800" t="s">
        <v>2442</v>
      </c>
      <c r="AA1800" t="s">
        <v>2443</v>
      </c>
      <c r="AB1800" t="s">
        <v>96</v>
      </c>
      <c r="AC1800" t="s">
        <v>97</v>
      </c>
      <c r="AD1800" t="s">
        <v>1818</v>
      </c>
      <c r="AG1800" t="s">
        <v>2444</v>
      </c>
      <c r="AH1800">
        <v>0</v>
      </c>
      <c r="AI1800">
        <v>223</v>
      </c>
      <c r="AJ1800">
        <v>20</v>
      </c>
      <c r="AK1800">
        <v>502</v>
      </c>
      <c r="AL1800">
        <v>1.02</v>
      </c>
    </row>
    <row r="1801" spans="1:38" x14ac:dyDescent="0.3">
      <c r="A1801" t="s">
        <v>1813</v>
      </c>
      <c r="B1801">
        <v>17560</v>
      </c>
      <c r="C1801">
        <v>4</v>
      </c>
      <c r="D1801" t="s">
        <v>2440</v>
      </c>
      <c r="E1801" t="s">
        <v>2441</v>
      </c>
      <c r="F1801">
        <v>494</v>
      </c>
      <c r="G1801">
        <v>31.31</v>
      </c>
      <c r="H1801">
        <v>103.53</v>
      </c>
      <c r="I1801">
        <v>25.66</v>
      </c>
      <c r="J1801">
        <v>84.83</v>
      </c>
      <c r="K1801">
        <v>120</v>
      </c>
      <c r="T1801">
        <v>3</v>
      </c>
      <c r="U1801">
        <v>2</v>
      </c>
      <c r="V1801" t="s">
        <v>93</v>
      </c>
      <c r="W1801" t="s">
        <v>602</v>
      </c>
      <c r="X1801">
        <v>15</v>
      </c>
      <c r="Y1801">
        <v>7</v>
      </c>
      <c r="Z1801" t="s">
        <v>2442</v>
      </c>
      <c r="AA1801" t="s">
        <v>2443</v>
      </c>
      <c r="AB1801" t="s">
        <v>96</v>
      </c>
      <c r="AC1801" t="s">
        <v>97</v>
      </c>
      <c r="AD1801" t="s">
        <v>1818</v>
      </c>
      <c r="AG1801" t="s">
        <v>2444</v>
      </c>
      <c r="AH1801">
        <v>0</v>
      </c>
      <c r="AI1801">
        <v>223</v>
      </c>
      <c r="AJ1801">
        <v>20</v>
      </c>
      <c r="AK1801">
        <v>502</v>
      </c>
      <c r="AL1801">
        <v>1.02</v>
      </c>
    </row>
    <row r="1802" spans="1:38" x14ac:dyDescent="0.3">
      <c r="A1802" t="s">
        <v>1813</v>
      </c>
      <c r="B1802">
        <v>17560</v>
      </c>
      <c r="C1802">
        <v>5</v>
      </c>
      <c r="D1802" t="s">
        <v>2440</v>
      </c>
      <c r="E1802" t="s">
        <v>2441</v>
      </c>
      <c r="F1802">
        <v>494</v>
      </c>
      <c r="G1802">
        <v>31.31</v>
      </c>
      <c r="H1802">
        <v>103.53</v>
      </c>
      <c r="I1802">
        <v>25.66</v>
      </c>
      <c r="J1802">
        <v>84.83</v>
      </c>
      <c r="K1802">
        <v>58</v>
      </c>
      <c r="T1802">
        <v>3</v>
      </c>
      <c r="U1802">
        <v>2</v>
      </c>
      <c r="V1802" t="s">
        <v>93</v>
      </c>
      <c r="W1802" t="s">
        <v>635</v>
      </c>
      <c r="X1802">
        <v>15</v>
      </c>
      <c r="Y1802">
        <v>7</v>
      </c>
      <c r="Z1802" t="s">
        <v>2442</v>
      </c>
      <c r="AA1802" t="s">
        <v>2443</v>
      </c>
      <c r="AB1802" t="s">
        <v>96</v>
      </c>
      <c r="AC1802" t="s">
        <v>97</v>
      </c>
      <c r="AD1802" t="s">
        <v>1818</v>
      </c>
      <c r="AG1802" t="s">
        <v>2444</v>
      </c>
      <c r="AH1802">
        <v>0</v>
      </c>
      <c r="AI1802">
        <v>223</v>
      </c>
      <c r="AJ1802">
        <v>20</v>
      </c>
      <c r="AK1802">
        <v>502</v>
      </c>
      <c r="AL1802">
        <v>1.02</v>
      </c>
    </row>
    <row r="1803" spans="1:38" x14ac:dyDescent="0.3">
      <c r="A1803" t="s">
        <v>1813</v>
      </c>
      <c r="B1803">
        <v>17560</v>
      </c>
      <c r="C1803">
        <v>6</v>
      </c>
      <c r="D1803" t="s">
        <v>2440</v>
      </c>
      <c r="E1803" t="s">
        <v>2441</v>
      </c>
      <c r="F1803">
        <v>494</v>
      </c>
      <c r="G1803">
        <v>31.26</v>
      </c>
      <c r="H1803">
        <v>103.34</v>
      </c>
      <c r="I1803">
        <v>25.6</v>
      </c>
      <c r="J1803">
        <v>84.65</v>
      </c>
      <c r="K1803">
        <v>30</v>
      </c>
      <c r="T1803">
        <v>3</v>
      </c>
      <c r="U1803">
        <v>2</v>
      </c>
      <c r="V1803" t="s">
        <v>93</v>
      </c>
      <c r="W1803">
        <v>103</v>
      </c>
      <c r="X1803">
        <v>15</v>
      </c>
      <c r="Y1803">
        <v>7</v>
      </c>
      <c r="Z1803" t="s">
        <v>2442</v>
      </c>
      <c r="AA1803" t="s">
        <v>2443</v>
      </c>
      <c r="AB1803" t="s">
        <v>96</v>
      </c>
      <c r="AC1803" t="s">
        <v>97</v>
      </c>
      <c r="AD1803" t="s">
        <v>1818</v>
      </c>
      <c r="AG1803" t="s">
        <v>2444</v>
      </c>
      <c r="AH1803">
        <v>0</v>
      </c>
      <c r="AI1803">
        <v>223</v>
      </c>
      <c r="AJ1803">
        <v>20</v>
      </c>
      <c r="AK1803">
        <v>502</v>
      </c>
      <c r="AL1803">
        <v>1.02</v>
      </c>
    </row>
    <row r="1804" spans="1:38" x14ac:dyDescent="0.3">
      <c r="A1804" t="s">
        <v>1813</v>
      </c>
      <c r="B1804">
        <v>17560</v>
      </c>
      <c r="C1804">
        <v>7</v>
      </c>
      <c r="D1804" t="s">
        <v>2440</v>
      </c>
      <c r="E1804" t="s">
        <v>2441</v>
      </c>
      <c r="F1804">
        <v>494</v>
      </c>
      <c r="G1804">
        <v>31.31</v>
      </c>
      <c r="H1804">
        <v>103.53</v>
      </c>
      <c r="I1804">
        <v>25.66</v>
      </c>
      <c r="J1804">
        <v>84.83</v>
      </c>
      <c r="K1804">
        <v>30</v>
      </c>
      <c r="T1804">
        <v>3</v>
      </c>
      <c r="U1804">
        <v>2</v>
      </c>
      <c r="V1804" t="s">
        <v>93</v>
      </c>
      <c r="W1804" t="s">
        <v>2445</v>
      </c>
      <c r="X1804">
        <v>15</v>
      </c>
      <c r="Y1804">
        <v>7</v>
      </c>
      <c r="Z1804" t="s">
        <v>2442</v>
      </c>
      <c r="AA1804" t="s">
        <v>2443</v>
      </c>
      <c r="AB1804" t="s">
        <v>96</v>
      </c>
      <c r="AC1804" t="s">
        <v>97</v>
      </c>
      <c r="AD1804" t="s">
        <v>1818</v>
      </c>
      <c r="AG1804" t="s">
        <v>2444</v>
      </c>
      <c r="AH1804">
        <v>0</v>
      </c>
      <c r="AI1804">
        <v>223</v>
      </c>
      <c r="AJ1804">
        <v>20</v>
      </c>
      <c r="AK1804">
        <v>502</v>
      </c>
      <c r="AL1804">
        <v>1.02</v>
      </c>
    </row>
    <row r="1805" spans="1:38" x14ac:dyDescent="0.3">
      <c r="A1805" t="s">
        <v>1813</v>
      </c>
      <c r="B1805">
        <v>102147</v>
      </c>
      <c r="C1805">
        <v>1</v>
      </c>
      <c r="D1805" t="s">
        <v>2446</v>
      </c>
      <c r="E1805" t="s">
        <v>2447</v>
      </c>
      <c r="F1805">
        <v>12</v>
      </c>
      <c r="G1805">
        <v>24.62</v>
      </c>
      <c r="H1805">
        <v>81.400000000000006</v>
      </c>
      <c r="I1805">
        <v>20.96</v>
      </c>
      <c r="J1805">
        <v>69.3</v>
      </c>
      <c r="K1805">
        <v>12</v>
      </c>
      <c r="T1805">
        <v>3</v>
      </c>
      <c r="U1805">
        <v>2</v>
      </c>
      <c r="V1805" t="s">
        <v>93</v>
      </c>
      <c r="W1805">
        <v>81</v>
      </c>
      <c r="X1805">
        <v>10</v>
      </c>
      <c r="Y1805">
        <v>10</v>
      </c>
      <c r="Z1805" t="s">
        <v>2448</v>
      </c>
      <c r="AA1805" t="s">
        <v>2449</v>
      </c>
      <c r="AB1805" t="s">
        <v>96</v>
      </c>
      <c r="AC1805" t="s">
        <v>97</v>
      </c>
      <c r="AD1805" t="s">
        <v>1818</v>
      </c>
      <c r="AG1805" t="s">
        <v>2450</v>
      </c>
      <c r="AH1805">
        <v>0</v>
      </c>
      <c r="AI1805">
        <v>334</v>
      </c>
      <c r="AJ1805">
        <v>51</v>
      </c>
      <c r="AK1805">
        <v>21</v>
      </c>
      <c r="AL1805">
        <v>1.75</v>
      </c>
    </row>
    <row r="1806" spans="1:38" x14ac:dyDescent="0.3">
      <c r="A1806" t="s">
        <v>1813</v>
      </c>
      <c r="B1806">
        <v>14089</v>
      </c>
      <c r="C1806">
        <v>1</v>
      </c>
      <c r="D1806" t="s">
        <v>2451</v>
      </c>
      <c r="E1806" t="s">
        <v>2452</v>
      </c>
      <c r="F1806">
        <v>45</v>
      </c>
      <c r="G1806">
        <v>23.22</v>
      </c>
      <c r="H1806">
        <v>76.790000000000006</v>
      </c>
      <c r="I1806">
        <v>19.48</v>
      </c>
      <c r="J1806">
        <v>64.41</v>
      </c>
      <c r="K1806">
        <v>40</v>
      </c>
      <c r="T1806">
        <v>3</v>
      </c>
      <c r="U1806">
        <v>1</v>
      </c>
      <c r="V1806" t="s">
        <v>93</v>
      </c>
      <c r="W1806">
        <v>76</v>
      </c>
      <c r="X1806">
        <v>5</v>
      </c>
      <c r="Y1806">
        <v>5</v>
      </c>
      <c r="Z1806" t="s">
        <v>2453</v>
      </c>
      <c r="AA1806" t="s">
        <v>2454</v>
      </c>
      <c r="AB1806" t="s">
        <v>96</v>
      </c>
      <c r="AC1806" t="s">
        <v>97</v>
      </c>
      <c r="AD1806" t="s">
        <v>1818</v>
      </c>
      <c r="AG1806" t="s">
        <v>2455</v>
      </c>
      <c r="AH1806">
        <v>0</v>
      </c>
      <c r="AI1806">
        <v>0</v>
      </c>
      <c r="AJ1806">
        <v>0</v>
      </c>
      <c r="AK1806">
        <v>0</v>
      </c>
      <c r="AL1806">
        <v>0</v>
      </c>
    </row>
    <row r="1807" spans="1:38" x14ac:dyDescent="0.3">
      <c r="A1807" t="s">
        <v>1813</v>
      </c>
      <c r="B1807">
        <v>14089</v>
      </c>
      <c r="C1807">
        <v>2</v>
      </c>
      <c r="D1807" t="s">
        <v>2451</v>
      </c>
      <c r="E1807" t="s">
        <v>2452</v>
      </c>
      <c r="F1807">
        <v>45</v>
      </c>
      <c r="G1807">
        <v>24.97</v>
      </c>
      <c r="H1807">
        <v>82.55</v>
      </c>
      <c r="I1807">
        <v>21.22</v>
      </c>
      <c r="J1807">
        <v>70.17</v>
      </c>
      <c r="K1807">
        <v>5</v>
      </c>
      <c r="T1807">
        <v>3</v>
      </c>
      <c r="U1807">
        <v>2</v>
      </c>
      <c r="V1807" t="s">
        <v>211</v>
      </c>
      <c r="W1807">
        <v>82</v>
      </c>
      <c r="X1807">
        <v>5</v>
      </c>
      <c r="Y1807">
        <v>5</v>
      </c>
      <c r="Z1807" t="s">
        <v>2453</v>
      </c>
      <c r="AA1807" t="s">
        <v>2454</v>
      </c>
      <c r="AB1807" t="s">
        <v>96</v>
      </c>
      <c r="AC1807" t="s">
        <v>97</v>
      </c>
      <c r="AD1807" t="s">
        <v>1818</v>
      </c>
      <c r="AG1807" t="s">
        <v>2455</v>
      </c>
      <c r="AH1807">
        <v>0</v>
      </c>
      <c r="AI1807">
        <v>0</v>
      </c>
      <c r="AJ1807">
        <v>0</v>
      </c>
      <c r="AK1807">
        <v>0</v>
      </c>
      <c r="AL1807">
        <v>0</v>
      </c>
    </row>
    <row r="1808" spans="1:38" x14ac:dyDescent="0.3">
      <c r="A1808" t="s">
        <v>1813</v>
      </c>
      <c r="B1808">
        <v>2443</v>
      </c>
      <c r="C1808">
        <v>1</v>
      </c>
      <c r="D1808" t="s">
        <v>2456</v>
      </c>
      <c r="E1808" t="s">
        <v>2457</v>
      </c>
      <c r="F1808">
        <v>474</v>
      </c>
      <c r="G1808">
        <v>15.2</v>
      </c>
      <c r="H1808">
        <v>50.26</v>
      </c>
      <c r="I1808">
        <v>14.16</v>
      </c>
      <c r="J1808">
        <v>46.84</v>
      </c>
      <c r="K1808">
        <v>77</v>
      </c>
      <c r="T1808">
        <v>2</v>
      </c>
      <c r="U1808">
        <v>1</v>
      </c>
      <c r="V1808" t="s">
        <v>93</v>
      </c>
      <c r="W1808">
        <v>50</v>
      </c>
      <c r="X1808">
        <v>5</v>
      </c>
      <c r="Y1808">
        <v>5</v>
      </c>
      <c r="Z1808" t="s">
        <v>2458</v>
      </c>
      <c r="AA1808" t="s">
        <v>2459</v>
      </c>
      <c r="AB1808" t="s">
        <v>96</v>
      </c>
      <c r="AC1808" t="s">
        <v>97</v>
      </c>
      <c r="AD1808" t="s">
        <v>1818</v>
      </c>
      <c r="AG1808" t="s">
        <v>2460</v>
      </c>
      <c r="AH1808">
        <v>0</v>
      </c>
      <c r="AI1808">
        <v>211</v>
      </c>
      <c r="AJ1808">
        <v>0</v>
      </c>
      <c r="AK1808">
        <v>0</v>
      </c>
      <c r="AL1808">
        <v>0</v>
      </c>
    </row>
    <row r="1809" spans="1:38" x14ac:dyDescent="0.3">
      <c r="A1809" t="s">
        <v>1813</v>
      </c>
      <c r="B1809">
        <v>2443</v>
      </c>
      <c r="C1809">
        <v>2</v>
      </c>
      <c r="D1809" t="s">
        <v>2456</v>
      </c>
      <c r="E1809" t="s">
        <v>2457</v>
      </c>
      <c r="F1809">
        <v>474</v>
      </c>
      <c r="G1809">
        <v>16.079999999999998</v>
      </c>
      <c r="H1809">
        <v>53.16</v>
      </c>
      <c r="I1809">
        <v>14.93</v>
      </c>
      <c r="J1809">
        <v>49.37</v>
      </c>
      <c r="K1809">
        <v>4</v>
      </c>
      <c r="T1809">
        <v>2</v>
      </c>
      <c r="U1809">
        <v>1</v>
      </c>
      <c r="V1809" t="s">
        <v>211</v>
      </c>
      <c r="W1809">
        <v>53</v>
      </c>
      <c r="X1809">
        <v>5</v>
      </c>
      <c r="Y1809">
        <v>5</v>
      </c>
      <c r="Z1809" t="s">
        <v>2458</v>
      </c>
      <c r="AA1809" t="s">
        <v>2459</v>
      </c>
      <c r="AB1809" t="s">
        <v>96</v>
      </c>
      <c r="AC1809" t="s">
        <v>97</v>
      </c>
      <c r="AD1809" t="s">
        <v>1818</v>
      </c>
      <c r="AG1809" t="s">
        <v>2460</v>
      </c>
      <c r="AH1809">
        <v>0</v>
      </c>
      <c r="AI1809">
        <v>211</v>
      </c>
      <c r="AJ1809">
        <v>0</v>
      </c>
      <c r="AK1809">
        <v>0</v>
      </c>
      <c r="AL1809">
        <v>0</v>
      </c>
    </row>
    <row r="1810" spans="1:38" x14ac:dyDescent="0.3">
      <c r="A1810" t="s">
        <v>1813</v>
      </c>
      <c r="B1810">
        <v>2443</v>
      </c>
      <c r="C1810">
        <v>3</v>
      </c>
      <c r="D1810" t="s">
        <v>2456</v>
      </c>
      <c r="E1810" t="s">
        <v>2457</v>
      </c>
      <c r="F1810">
        <v>474</v>
      </c>
      <c r="G1810">
        <v>19.940000000000001</v>
      </c>
      <c r="H1810">
        <v>65.94</v>
      </c>
      <c r="I1810">
        <v>17.989999999999998</v>
      </c>
      <c r="J1810">
        <v>59.5</v>
      </c>
      <c r="K1810">
        <v>10</v>
      </c>
      <c r="T1810">
        <v>2</v>
      </c>
      <c r="U1810">
        <v>1</v>
      </c>
      <c r="V1810" t="s">
        <v>93</v>
      </c>
      <c r="W1810" t="s">
        <v>197</v>
      </c>
      <c r="X1810">
        <v>5</v>
      </c>
      <c r="Y1810">
        <v>5</v>
      </c>
      <c r="Z1810" t="s">
        <v>2458</v>
      </c>
      <c r="AA1810" t="s">
        <v>2459</v>
      </c>
      <c r="AB1810" t="s">
        <v>96</v>
      </c>
      <c r="AC1810" t="s">
        <v>97</v>
      </c>
      <c r="AD1810" t="s">
        <v>1818</v>
      </c>
      <c r="AG1810" t="s">
        <v>2460</v>
      </c>
      <c r="AH1810">
        <v>0</v>
      </c>
      <c r="AI1810">
        <v>211</v>
      </c>
      <c r="AJ1810">
        <v>0</v>
      </c>
      <c r="AK1810">
        <v>0</v>
      </c>
      <c r="AL1810">
        <v>0</v>
      </c>
    </row>
    <row r="1811" spans="1:38" x14ac:dyDescent="0.3">
      <c r="A1811" t="s">
        <v>1813</v>
      </c>
      <c r="B1811">
        <v>2443</v>
      </c>
      <c r="C1811">
        <v>4</v>
      </c>
      <c r="D1811" t="s">
        <v>2456</v>
      </c>
      <c r="E1811" t="s">
        <v>2457</v>
      </c>
      <c r="F1811">
        <v>474</v>
      </c>
      <c r="G1811">
        <v>20.350000000000001</v>
      </c>
      <c r="H1811">
        <v>67.290000000000006</v>
      </c>
      <c r="I1811">
        <v>18.39</v>
      </c>
      <c r="J1811">
        <v>60.82</v>
      </c>
      <c r="K1811">
        <v>5</v>
      </c>
      <c r="T1811">
        <v>2</v>
      </c>
      <c r="U1811">
        <v>1</v>
      </c>
      <c r="V1811" t="s">
        <v>93</v>
      </c>
      <c r="W1811" t="s">
        <v>858</v>
      </c>
      <c r="X1811">
        <v>5</v>
      </c>
      <c r="Y1811">
        <v>5</v>
      </c>
      <c r="Z1811" t="s">
        <v>2458</v>
      </c>
      <c r="AA1811" t="s">
        <v>2459</v>
      </c>
      <c r="AB1811" t="s">
        <v>96</v>
      </c>
      <c r="AC1811" t="s">
        <v>97</v>
      </c>
      <c r="AD1811" t="s">
        <v>1818</v>
      </c>
      <c r="AG1811" t="s">
        <v>2460</v>
      </c>
      <c r="AH1811">
        <v>0</v>
      </c>
      <c r="AI1811">
        <v>211</v>
      </c>
      <c r="AJ1811">
        <v>0</v>
      </c>
      <c r="AK1811">
        <v>0</v>
      </c>
      <c r="AL1811">
        <v>0</v>
      </c>
    </row>
    <row r="1812" spans="1:38" x14ac:dyDescent="0.3">
      <c r="A1812" t="s">
        <v>1813</v>
      </c>
      <c r="B1812">
        <v>2443</v>
      </c>
      <c r="C1812">
        <v>5</v>
      </c>
      <c r="D1812" t="s">
        <v>2456</v>
      </c>
      <c r="E1812" t="s">
        <v>2457</v>
      </c>
      <c r="F1812">
        <v>474</v>
      </c>
      <c r="G1812">
        <v>22.12</v>
      </c>
      <c r="H1812">
        <v>73.14</v>
      </c>
      <c r="I1812">
        <v>20.22</v>
      </c>
      <c r="J1812">
        <v>66.849999999999994</v>
      </c>
      <c r="K1812">
        <v>5</v>
      </c>
      <c r="T1812">
        <v>3</v>
      </c>
      <c r="U1812">
        <v>1</v>
      </c>
      <c r="V1812" t="s">
        <v>93</v>
      </c>
      <c r="W1812" t="s">
        <v>903</v>
      </c>
      <c r="X1812">
        <v>5</v>
      </c>
      <c r="Y1812">
        <v>5</v>
      </c>
      <c r="Z1812" t="s">
        <v>2458</v>
      </c>
      <c r="AA1812" t="s">
        <v>2459</v>
      </c>
      <c r="AB1812" t="s">
        <v>96</v>
      </c>
      <c r="AC1812" t="s">
        <v>97</v>
      </c>
      <c r="AD1812" t="s">
        <v>1818</v>
      </c>
      <c r="AG1812" t="s">
        <v>2460</v>
      </c>
      <c r="AH1812">
        <v>0</v>
      </c>
      <c r="AI1812">
        <v>211</v>
      </c>
      <c r="AJ1812">
        <v>0</v>
      </c>
      <c r="AK1812">
        <v>0</v>
      </c>
      <c r="AL1812">
        <v>0</v>
      </c>
    </row>
    <row r="1813" spans="1:38" x14ac:dyDescent="0.3">
      <c r="A1813" t="s">
        <v>1813</v>
      </c>
      <c r="B1813">
        <v>2443</v>
      </c>
      <c r="C1813">
        <v>6</v>
      </c>
      <c r="D1813" t="s">
        <v>2456</v>
      </c>
      <c r="E1813" t="s">
        <v>2457</v>
      </c>
      <c r="F1813">
        <v>474</v>
      </c>
      <c r="G1813">
        <v>22.57</v>
      </c>
      <c r="H1813">
        <v>74.64</v>
      </c>
      <c r="I1813">
        <v>20.63</v>
      </c>
      <c r="J1813">
        <v>68.23</v>
      </c>
      <c r="K1813">
        <v>60</v>
      </c>
      <c r="T1813">
        <v>3</v>
      </c>
      <c r="U1813">
        <v>1</v>
      </c>
      <c r="V1813" t="s">
        <v>93</v>
      </c>
      <c r="W1813" t="s">
        <v>876</v>
      </c>
      <c r="X1813">
        <v>5</v>
      </c>
      <c r="Y1813">
        <v>5</v>
      </c>
      <c r="Z1813" t="s">
        <v>2458</v>
      </c>
      <c r="AA1813" t="s">
        <v>2459</v>
      </c>
      <c r="AB1813" t="s">
        <v>96</v>
      </c>
      <c r="AC1813" t="s">
        <v>97</v>
      </c>
      <c r="AD1813" t="s">
        <v>1818</v>
      </c>
      <c r="AG1813" t="s">
        <v>2460</v>
      </c>
      <c r="AH1813">
        <v>0</v>
      </c>
      <c r="AI1813">
        <v>211</v>
      </c>
      <c r="AJ1813">
        <v>0</v>
      </c>
      <c r="AK1813">
        <v>0</v>
      </c>
      <c r="AL1813">
        <v>0</v>
      </c>
    </row>
    <row r="1814" spans="1:38" x14ac:dyDescent="0.3">
      <c r="A1814" t="s">
        <v>1813</v>
      </c>
      <c r="B1814">
        <v>2443</v>
      </c>
      <c r="C1814">
        <v>7</v>
      </c>
      <c r="D1814" t="s">
        <v>2456</v>
      </c>
      <c r="E1814" t="s">
        <v>2457</v>
      </c>
      <c r="F1814">
        <v>474</v>
      </c>
      <c r="G1814">
        <v>22.64</v>
      </c>
      <c r="H1814">
        <v>74.86</v>
      </c>
      <c r="I1814">
        <v>20.59</v>
      </c>
      <c r="J1814">
        <v>68.09</v>
      </c>
      <c r="K1814">
        <v>20</v>
      </c>
      <c r="T1814">
        <v>3</v>
      </c>
      <c r="U1814">
        <v>1</v>
      </c>
      <c r="V1814" t="s">
        <v>93</v>
      </c>
      <c r="W1814" t="s">
        <v>406</v>
      </c>
      <c r="X1814">
        <v>5</v>
      </c>
      <c r="Y1814">
        <v>5</v>
      </c>
      <c r="Z1814" t="s">
        <v>2458</v>
      </c>
      <c r="AA1814" t="s">
        <v>2459</v>
      </c>
      <c r="AB1814" t="s">
        <v>96</v>
      </c>
      <c r="AC1814" t="s">
        <v>97</v>
      </c>
      <c r="AD1814" t="s">
        <v>1818</v>
      </c>
      <c r="AG1814" t="s">
        <v>2460</v>
      </c>
      <c r="AH1814">
        <v>0</v>
      </c>
      <c r="AI1814">
        <v>211</v>
      </c>
      <c r="AJ1814">
        <v>0</v>
      </c>
      <c r="AK1814">
        <v>0</v>
      </c>
      <c r="AL1814">
        <v>0</v>
      </c>
    </row>
    <row r="1815" spans="1:38" x14ac:dyDescent="0.3">
      <c r="A1815" t="s">
        <v>1813</v>
      </c>
      <c r="B1815">
        <v>2443</v>
      </c>
      <c r="C1815">
        <v>8</v>
      </c>
      <c r="D1815" t="s">
        <v>2456</v>
      </c>
      <c r="E1815" t="s">
        <v>2457</v>
      </c>
      <c r="F1815">
        <v>474</v>
      </c>
      <c r="G1815">
        <v>25.15</v>
      </c>
      <c r="H1815">
        <v>83.16</v>
      </c>
      <c r="I1815">
        <v>22.87</v>
      </c>
      <c r="J1815">
        <v>75.63</v>
      </c>
      <c r="K1815">
        <v>36</v>
      </c>
      <c r="T1815">
        <v>3</v>
      </c>
      <c r="U1815">
        <v>1</v>
      </c>
      <c r="V1815" t="s">
        <v>93</v>
      </c>
      <c r="W1815" t="s">
        <v>505</v>
      </c>
      <c r="X1815">
        <v>5</v>
      </c>
      <c r="Y1815">
        <v>5</v>
      </c>
      <c r="Z1815" t="s">
        <v>2458</v>
      </c>
      <c r="AA1815" t="s">
        <v>2459</v>
      </c>
      <c r="AB1815" t="s">
        <v>96</v>
      </c>
      <c r="AC1815" t="s">
        <v>97</v>
      </c>
      <c r="AD1815" t="s">
        <v>1818</v>
      </c>
      <c r="AG1815" t="s">
        <v>2460</v>
      </c>
      <c r="AH1815">
        <v>0</v>
      </c>
      <c r="AI1815">
        <v>211</v>
      </c>
      <c r="AJ1815">
        <v>0</v>
      </c>
      <c r="AK1815">
        <v>0</v>
      </c>
      <c r="AL1815">
        <v>0</v>
      </c>
    </row>
    <row r="1816" spans="1:38" x14ac:dyDescent="0.3">
      <c r="A1816" t="s">
        <v>1813</v>
      </c>
      <c r="B1816">
        <v>2443</v>
      </c>
      <c r="C1816">
        <v>9</v>
      </c>
      <c r="D1816" t="s">
        <v>2456</v>
      </c>
      <c r="E1816" t="s">
        <v>2457</v>
      </c>
      <c r="F1816">
        <v>474</v>
      </c>
      <c r="G1816">
        <v>25.1</v>
      </c>
      <c r="H1816">
        <v>83</v>
      </c>
      <c r="I1816">
        <v>22.83</v>
      </c>
      <c r="J1816">
        <v>75.5</v>
      </c>
      <c r="K1816">
        <v>4</v>
      </c>
      <c r="T1816">
        <v>3</v>
      </c>
      <c r="U1816">
        <v>1</v>
      </c>
      <c r="V1816" t="s">
        <v>93</v>
      </c>
      <c r="W1816" t="s">
        <v>990</v>
      </c>
      <c r="X1816">
        <v>5</v>
      </c>
      <c r="Y1816">
        <v>5</v>
      </c>
      <c r="Z1816" t="s">
        <v>2458</v>
      </c>
      <c r="AA1816" t="s">
        <v>2459</v>
      </c>
      <c r="AB1816" t="s">
        <v>96</v>
      </c>
      <c r="AC1816" t="s">
        <v>97</v>
      </c>
      <c r="AD1816" t="s">
        <v>1818</v>
      </c>
      <c r="AG1816" t="s">
        <v>2460</v>
      </c>
      <c r="AH1816">
        <v>0</v>
      </c>
      <c r="AI1816">
        <v>211</v>
      </c>
      <c r="AJ1816">
        <v>0</v>
      </c>
      <c r="AK1816">
        <v>0</v>
      </c>
      <c r="AL1816">
        <v>0</v>
      </c>
    </row>
    <row r="1817" spans="1:38" x14ac:dyDescent="0.3">
      <c r="A1817" t="s">
        <v>1813</v>
      </c>
      <c r="B1817">
        <v>2443</v>
      </c>
      <c r="C1817">
        <v>10</v>
      </c>
      <c r="D1817" t="s">
        <v>2456</v>
      </c>
      <c r="E1817" t="s">
        <v>2457</v>
      </c>
      <c r="F1817">
        <v>474</v>
      </c>
      <c r="G1817">
        <v>25.45</v>
      </c>
      <c r="H1817">
        <v>84.15</v>
      </c>
      <c r="I1817">
        <v>22.53</v>
      </c>
      <c r="J1817">
        <v>74.510000000000005</v>
      </c>
      <c r="K1817">
        <v>30</v>
      </c>
      <c r="T1817">
        <v>3</v>
      </c>
      <c r="U1817">
        <v>1</v>
      </c>
      <c r="V1817" t="s">
        <v>93</v>
      </c>
      <c r="W1817" t="s">
        <v>383</v>
      </c>
      <c r="X1817">
        <v>5</v>
      </c>
      <c r="Y1817">
        <v>5</v>
      </c>
      <c r="Z1817" t="s">
        <v>2458</v>
      </c>
      <c r="AA1817" t="s">
        <v>2459</v>
      </c>
      <c r="AB1817" t="s">
        <v>96</v>
      </c>
      <c r="AC1817" t="s">
        <v>97</v>
      </c>
      <c r="AD1817" t="s">
        <v>1818</v>
      </c>
      <c r="AG1817" t="s">
        <v>2460</v>
      </c>
      <c r="AH1817">
        <v>0</v>
      </c>
      <c r="AI1817">
        <v>211</v>
      </c>
      <c r="AJ1817">
        <v>0</v>
      </c>
      <c r="AK1817">
        <v>0</v>
      </c>
      <c r="AL1817">
        <v>0</v>
      </c>
    </row>
    <row r="1818" spans="1:38" x14ac:dyDescent="0.3">
      <c r="A1818" t="s">
        <v>1813</v>
      </c>
      <c r="B1818">
        <v>2443</v>
      </c>
      <c r="C1818">
        <v>11</v>
      </c>
      <c r="D1818" t="s">
        <v>2456</v>
      </c>
      <c r="E1818" t="s">
        <v>2457</v>
      </c>
      <c r="F1818">
        <v>474</v>
      </c>
      <c r="G1818">
        <v>25.63</v>
      </c>
      <c r="H1818">
        <v>84.75</v>
      </c>
      <c r="I1818">
        <v>22.59</v>
      </c>
      <c r="J1818">
        <v>74.709999999999994</v>
      </c>
      <c r="K1818">
        <v>29</v>
      </c>
      <c r="T1818">
        <v>3</v>
      </c>
      <c r="U1818">
        <v>1</v>
      </c>
      <c r="V1818" t="s">
        <v>93</v>
      </c>
      <c r="W1818" t="s">
        <v>383</v>
      </c>
      <c r="X1818">
        <v>5</v>
      </c>
      <c r="Y1818">
        <v>5</v>
      </c>
      <c r="Z1818" t="s">
        <v>2458</v>
      </c>
      <c r="AA1818" t="s">
        <v>2459</v>
      </c>
      <c r="AB1818" t="s">
        <v>96</v>
      </c>
      <c r="AC1818" t="s">
        <v>97</v>
      </c>
      <c r="AD1818" t="s">
        <v>1818</v>
      </c>
      <c r="AG1818" t="s">
        <v>2460</v>
      </c>
      <c r="AH1818">
        <v>0</v>
      </c>
      <c r="AI1818">
        <v>211</v>
      </c>
      <c r="AJ1818">
        <v>0</v>
      </c>
      <c r="AK1818">
        <v>0</v>
      </c>
      <c r="AL1818">
        <v>0</v>
      </c>
    </row>
    <row r="1819" spans="1:38" x14ac:dyDescent="0.3">
      <c r="A1819" t="s">
        <v>1813</v>
      </c>
      <c r="B1819">
        <v>2443</v>
      </c>
      <c r="C1819">
        <v>12</v>
      </c>
      <c r="D1819" t="s">
        <v>2456</v>
      </c>
      <c r="E1819" t="s">
        <v>2457</v>
      </c>
      <c r="F1819">
        <v>474</v>
      </c>
      <c r="G1819">
        <v>26.02</v>
      </c>
      <c r="H1819">
        <v>86.04</v>
      </c>
      <c r="I1819">
        <v>22.82</v>
      </c>
      <c r="J1819">
        <v>75.45</v>
      </c>
      <c r="K1819">
        <v>35</v>
      </c>
      <c r="T1819">
        <v>3</v>
      </c>
      <c r="U1819">
        <v>1</v>
      </c>
      <c r="V1819" t="s">
        <v>93</v>
      </c>
      <c r="W1819" t="s">
        <v>384</v>
      </c>
      <c r="X1819">
        <v>5</v>
      </c>
      <c r="Y1819">
        <v>5</v>
      </c>
      <c r="Z1819" t="s">
        <v>2458</v>
      </c>
      <c r="AA1819" t="s">
        <v>2459</v>
      </c>
      <c r="AB1819" t="s">
        <v>96</v>
      </c>
      <c r="AC1819" t="s">
        <v>97</v>
      </c>
      <c r="AD1819" t="s">
        <v>1818</v>
      </c>
      <c r="AG1819" t="s">
        <v>2460</v>
      </c>
      <c r="AH1819">
        <v>0</v>
      </c>
      <c r="AI1819">
        <v>211</v>
      </c>
      <c r="AJ1819">
        <v>0</v>
      </c>
      <c r="AK1819">
        <v>0</v>
      </c>
      <c r="AL1819">
        <v>0</v>
      </c>
    </row>
    <row r="1820" spans="1:38" x14ac:dyDescent="0.3">
      <c r="A1820" t="s">
        <v>1813</v>
      </c>
      <c r="B1820">
        <v>2443</v>
      </c>
      <c r="C1820">
        <v>13</v>
      </c>
      <c r="D1820" t="s">
        <v>2456</v>
      </c>
      <c r="E1820" t="s">
        <v>2457</v>
      </c>
      <c r="F1820">
        <v>474</v>
      </c>
      <c r="G1820">
        <v>26.26</v>
      </c>
      <c r="H1820">
        <v>86.81</v>
      </c>
      <c r="I1820">
        <v>24.05</v>
      </c>
      <c r="J1820">
        <v>79.53</v>
      </c>
      <c r="K1820">
        <v>29</v>
      </c>
      <c r="T1820">
        <v>3</v>
      </c>
      <c r="U1820">
        <v>1</v>
      </c>
      <c r="V1820" t="s">
        <v>93</v>
      </c>
      <c r="W1820" t="s">
        <v>2461</v>
      </c>
      <c r="X1820">
        <v>5</v>
      </c>
      <c r="Y1820">
        <v>5</v>
      </c>
      <c r="Z1820" t="s">
        <v>2458</v>
      </c>
      <c r="AA1820" t="s">
        <v>2459</v>
      </c>
      <c r="AB1820" t="s">
        <v>96</v>
      </c>
      <c r="AC1820" t="s">
        <v>97</v>
      </c>
      <c r="AD1820" t="s">
        <v>1818</v>
      </c>
      <c r="AG1820" t="s">
        <v>2460</v>
      </c>
      <c r="AH1820">
        <v>0</v>
      </c>
      <c r="AI1820">
        <v>211</v>
      </c>
      <c r="AJ1820">
        <v>0</v>
      </c>
      <c r="AK1820">
        <v>0</v>
      </c>
      <c r="AL1820">
        <v>0</v>
      </c>
    </row>
    <row r="1821" spans="1:38" x14ac:dyDescent="0.3">
      <c r="A1821" t="s">
        <v>1813</v>
      </c>
      <c r="B1821">
        <v>2443</v>
      </c>
      <c r="C1821">
        <v>14</v>
      </c>
      <c r="D1821" t="s">
        <v>2456</v>
      </c>
      <c r="E1821" t="s">
        <v>2457</v>
      </c>
      <c r="F1821">
        <v>474</v>
      </c>
      <c r="G1821">
        <v>31.44</v>
      </c>
      <c r="H1821">
        <v>103.96</v>
      </c>
      <c r="I1821">
        <v>26.93</v>
      </c>
      <c r="J1821">
        <v>89.03</v>
      </c>
      <c r="K1821">
        <v>90</v>
      </c>
      <c r="T1821">
        <v>3</v>
      </c>
      <c r="U1821">
        <v>1</v>
      </c>
      <c r="V1821" t="s">
        <v>93</v>
      </c>
      <c r="W1821">
        <v>103</v>
      </c>
      <c r="X1821">
        <v>5</v>
      </c>
      <c r="Y1821">
        <v>5</v>
      </c>
      <c r="Z1821" t="s">
        <v>2458</v>
      </c>
      <c r="AA1821" t="s">
        <v>2459</v>
      </c>
      <c r="AB1821" t="s">
        <v>96</v>
      </c>
      <c r="AC1821" t="s">
        <v>97</v>
      </c>
      <c r="AD1821" t="s">
        <v>1818</v>
      </c>
      <c r="AG1821" t="s">
        <v>2460</v>
      </c>
      <c r="AH1821">
        <v>0</v>
      </c>
      <c r="AI1821">
        <v>211</v>
      </c>
      <c r="AJ1821">
        <v>0</v>
      </c>
      <c r="AK1821">
        <v>0</v>
      </c>
      <c r="AL1821">
        <v>0</v>
      </c>
    </row>
    <row r="1822" spans="1:38" x14ac:dyDescent="0.3">
      <c r="A1822" t="s">
        <v>1813</v>
      </c>
      <c r="B1822">
        <v>2443</v>
      </c>
      <c r="C1822">
        <v>15</v>
      </c>
      <c r="D1822" t="s">
        <v>2456</v>
      </c>
      <c r="E1822" t="s">
        <v>2457</v>
      </c>
      <c r="F1822">
        <v>474</v>
      </c>
      <c r="G1822">
        <v>40.06</v>
      </c>
      <c r="H1822">
        <v>132.44</v>
      </c>
      <c r="I1822">
        <v>35.630000000000003</v>
      </c>
      <c r="J1822">
        <v>117.81</v>
      </c>
      <c r="K1822">
        <v>38</v>
      </c>
      <c r="T1822">
        <v>4</v>
      </c>
      <c r="U1822">
        <v>2</v>
      </c>
      <c r="V1822" t="s">
        <v>93</v>
      </c>
      <c r="W1822" t="s">
        <v>2462</v>
      </c>
      <c r="X1822">
        <v>5</v>
      </c>
      <c r="Y1822">
        <v>5</v>
      </c>
      <c r="Z1822" t="s">
        <v>2458</v>
      </c>
      <c r="AA1822" t="s">
        <v>2459</v>
      </c>
      <c r="AB1822" t="s">
        <v>96</v>
      </c>
      <c r="AC1822" t="s">
        <v>97</v>
      </c>
      <c r="AD1822" t="s">
        <v>1818</v>
      </c>
      <c r="AG1822" t="s">
        <v>2460</v>
      </c>
      <c r="AH1822">
        <v>0</v>
      </c>
      <c r="AI1822">
        <v>211</v>
      </c>
      <c r="AJ1822">
        <v>0</v>
      </c>
      <c r="AK1822">
        <v>0</v>
      </c>
      <c r="AL1822">
        <v>0</v>
      </c>
    </row>
    <row r="1823" spans="1:38" x14ac:dyDescent="0.3">
      <c r="A1823" t="s">
        <v>1813</v>
      </c>
      <c r="B1823">
        <v>2443</v>
      </c>
      <c r="C1823">
        <v>16</v>
      </c>
      <c r="D1823" t="s">
        <v>2456</v>
      </c>
      <c r="E1823" t="s">
        <v>2457</v>
      </c>
      <c r="F1823">
        <v>474</v>
      </c>
      <c r="G1823">
        <v>40.07</v>
      </c>
      <c r="H1823">
        <v>132.47999999999999</v>
      </c>
      <c r="I1823">
        <v>35.64</v>
      </c>
      <c r="J1823">
        <v>117.85</v>
      </c>
      <c r="K1823">
        <v>2</v>
      </c>
      <c r="T1823">
        <v>4</v>
      </c>
      <c r="U1823">
        <v>2</v>
      </c>
      <c r="V1823" t="s">
        <v>93</v>
      </c>
      <c r="W1823" t="s">
        <v>2463</v>
      </c>
      <c r="X1823">
        <v>5</v>
      </c>
      <c r="Y1823">
        <v>5</v>
      </c>
      <c r="Z1823" t="s">
        <v>2458</v>
      </c>
      <c r="AA1823" t="s">
        <v>2459</v>
      </c>
      <c r="AB1823" t="s">
        <v>96</v>
      </c>
      <c r="AC1823" t="s">
        <v>97</v>
      </c>
      <c r="AD1823" t="s">
        <v>1818</v>
      </c>
      <c r="AG1823" t="s">
        <v>2460</v>
      </c>
      <c r="AH1823">
        <v>0</v>
      </c>
      <c r="AI1823">
        <v>211</v>
      </c>
      <c r="AJ1823">
        <v>0</v>
      </c>
      <c r="AK1823">
        <v>0</v>
      </c>
      <c r="AL1823">
        <v>0</v>
      </c>
    </row>
    <row r="1824" spans="1:38" x14ac:dyDescent="0.3">
      <c r="A1824" t="s">
        <v>1813</v>
      </c>
      <c r="B1824">
        <v>118475</v>
      </c>
      <c r="C1824">
        <v>1</v>
      </c>
      <c r="D1824" t="s">
        <v>485</v>
      </c>
      <c r="E1824" t="s">
        <v>1303</v>
      </c>
      <c r="F1824">
        <v>30</v>
      </c>
      <c r="G1824">
        <v>19.47</v>
      </c>
      <c r="H1824">
        <v>64.37</v>
      </c>
      <c r="I1824">
        <v>15.04</v>
      </c>
      <c r="J1824">
        <v>49.74</v>
      </c>
      <c r="K1824">
        <v>7</v>
      </c>
      <c r="T1824">
        <v>2</v>
      </c>
      <c r="U1824">
        <v>1</v>
      </c>
      <c r="V1824" t="s">
        <v>93</v>
      </c>
      <c r="W1824" t="s">
        <v>279</v>
      </c>
      <c r="X1824">
        <v>13</v>
      </c>
      <c r="Y1824">
        <v>13</v>
      </c>
      <c r="Z1824" t="s">
        <v>2464</v>
      </c>
      <c r="AA1824" t="s">
        <v>2465</v>
      </c>
      <c r="AB1824" t="s">
        <v>96</v>
      </c>
      <c r="AC1824" t="s">
        <v>97</v>
      </c>
      <c r="AD1824" t="s">
        <v>1818</v>
      </c>
      <c r="AG1824" t="s">
        <v>2466</v>
      </c>
      <c r="AH1824">
        <v>0</v>
      </c>
      <c r="AI1824">
        <v>745</v>
      </c>
      <c r="AJ1824">
        <v>77</v>
      </c>
      <c r="AK1824">
        <v>22</v>
      </c>
      <c r="AL1824">
        <v>0.73</v>
      </c>
    </row>
    <row r="1825" spans="1:38" x14ac:dyDescent="0.3">
      <c r="A1825" t="s">
        <v>1813</v>
      </c>
      <c r="B1825">
        <v>118475</v>
      </c>
      <c r="C1825">
        <v>2</v>
      </c>
      <c r="D1825" t="s">
        <v>485</v>
      </c>
      <c r="E1825" t="s">
        <v>1303</v>
      </c>
      <c r="F1825">
        <v>30</v>
      </c>
      <c r="G1825">
        <v>19.649999999999999</v>
      </c>
      <c r="H1825">
        <v>64.97</v>
      </c>
      <c r="I1825">
        <v>15.07</v>
      </c>
      <c r="J1825">
        <v>49.83</v>
      </c>
      <c r="K1825">
        <v>7</v>
      </c>
      <c r="T1825">
        <v>3</v>
      </c>
      <c r="U1825">
        <v>1</v>
      </c>
      <c r="V1825" t="s">
        <v>93</v>
      </c>
      <c r="W1825" t="s">
        <v>279</v>
      </c>
      <c r="X1825">
        <v>13</v>
      </c>
      <c r="Y1825">
        <v>13</v>
      </c>
      <c r="Z1825" t="s">
        <v>2464</v>
      </c>
      <c r="AA1825" t="s">
        <v>2465</v>
      </c>
      <c r="AB1825" t="s">
        <v>96</v>
      </c>
      <c r="AC1825" t="s">
        <v>97</v>
      </c>
      <c r="AD1825" t="s">
        <v>1818</v>
      </c>
      <c r="AG1825" t="s">
        <v>2466</v>
      </c>
      <c r="AH1825">
        <v>0</v>
      </c>
      <c r="AI1825">
        <v>745</v>
      </c>
      <c r="AJ1825">
        <v>77</v>
      </c>
      <c r="AK1825">
        <v>22</v>
      </c>
      <c r="AL1825">
        <v>0.73</v>
      </c>
    </row>
    <row r="1826" spans="1:38" x14ac:dyDescent="0.3">
      <c r="A1826" t="s">
        <v>1813</v>
      </c>
      <c r="B1826">
        <v>118475</v>
      </c>
      <c r="C1826">
        <v>3</v>
      </c>
      <c r="D1826" t="s">
        <v>485</v>
      </c>
      <c r="E1826" t="s">
        <v>1303</v>
      </c>
      <c r="F1826">
        <v>30</v>
      </c>
      <c r="G1826">
        <v>19.399999999999999</v>
      </c>
      <c r="H1826">
        <v>64.16</v>
      </c>
      <c r="I1826">
        <v>15.07</v>
      </c>
      <c r="J1826">
        <v>49.83</v>
      </c>
      <c r="K1826">
        <v>7</v>
      </c>
      <c r="T1826">
        <v>2</v>
      </c>
      <c r="U1826">
        <v>1</v>
      </c>
      <c r="V1826" t="s">
        <v>93</v>
      </c>
      <c r="W1826" t="s">
        <v>275</v>
      </c>
      <c r="X1826">
        <v>13</v>
      </c>
      <c r="Y1826">
        <v>13</v>
      </c>
      <c r="Z1826" t="s">
        <v>2464</v>
      </c>
      <c r="AA1826" t="s">
        <v>2465</v>
      </c>
      <c r="AB1826" t="s">
        <v>96</v>
      </c>
      <c r="AC1826" t="s">
        <v>97</v>
      </c>
      <c r="AD1826" t="s">
        <v>1818</v>
      </c>
      <c r="AG1826" t="s">
        <v>2466</v>
      </c>
      <c r="AH1826">
        <v>0</v>
      </c>
      <c r="AI1826">
        <v>745</v>
      </c>
      <c r="AJ1826">
        <v>77</v>
      </c>
      <c r="AK1826">
        <v>22</v>
      </c>
      <c r="AL1826">
        <v>0.73</v>
      </c>
    </row>
    <row r="1827" spans="1:38" x14ac:dyDescent="0.3">
      <c r="A1827" t="s">
        <v>1813</v>
      </c>
      <c r="B1827">
        <v>118475</v>
      </c>
      <c r="C1827">
        <v>4</v>
      </c>
      <c r="D1827" t="s">
        <v>485</v>
      </c>
      <c r="E1827" t="s">
        <v>1303</v>
      </c>
      <c r="F1827">
        <v>30</v>
      </c>
      <c r="G1827">
        <v>19.579999999999998</v>
      </c>
      <c r="H1827">
        <v>64.760000000000005</v>
      </c>
      <c r="I1827">
        <v>15.09</v>
      </c>
      <c r="J1827">
        <v>49.9</v>
      </c>
      <c r="K1827">
        <v>7</v>
      </c>
      <c r="T1827">
        <v>3</v>
      </c>
      <c r="U1827">
        <v>1</v>
      </c>
      <c r="V1827" t="s">
        <v>93</v>
      </c>
      <c r="W1827" t="s">
        <v>467</v>
      </c>
      <c r="X1827">
        <v>13</v>
      </c>
      <c r="Y1827">
        <v>13</v>
      </c>
      <c r="Z1827" t="s">
        <v>2464</v>
      </c>
      <c r="AA1827" t="s">
        <v>2465</v>
      </c>
      <c r="AB1827" t="s">
        <v>96</v>
      </c>
      <c r="AC1827" t="s">
        <v>97</v>
      </c>
      <c r="AD1827" t="s">
        <v>1818</v>
      </c>
      <c r="AG1827" t="s">
        <v>2466</v>
      </c>
      <c r="AH1827">
        <v>0</v>
      </c>
      <c r="AI1827">
        <v>745</v>
      </c>
      <c r="AJ1827">
        <v>77</v>
      </c>
      <c r="AK1827">
        <v>22</v>
      </c>
      <c r="AL1827">
        <v>0.73</v>
      </c>
    </row>
    <row r="1828" spans="1:38" x14ac:dyDescent="0.3">
      <c r="A1828" t="s">
        <v>1813</v>
      </c>
      <c r="B1828">
        <v>118475</v>
      </c>
      <c r="C1828">
        <v>5</v>
      </c>
      <c r="D1828" t="s">
        <v>485</v>
      </c>
      <c r="E1828" t="s">
        <v>1303</v>
      </c>
      <c r="F1828">
        <v>30</v>
      </c>
      <c r="G1828">
        <v>19.649999999999999</v>
      </c>
      <c r="H1828">
        <v>64.989999999999995</v>
      </c>
      <c r="I1828">
        <v>15.07</v>
      </c>
      <c r="J1828">
        <v>49.83</v>
      </c>
      <c r="K1828">
        <v>1</v>
      </c>
      <c r="T1828">
        <v>3</v>
      </c>
      <c r="U1828">
        <v>1</v>
      </c>
      <c r="V1828" t="s">
        <v>93</v>
      </c>
      <c r="W1828" t="s">
        <v>275</v>
      </c>
      <c r="X1828">
        <v>13</v>
      </c>
      <c r="Y1828">
        <v>13</v>
      </c>
      <c r="Z1828" t="s">
        <v>2464</v>
      </c>
      <c r="AA1828" t="s">
        <v>2465</v>
      </c>
      <c r="AB1828" t="s">
        <v>96</v>
      </c>
      <c r="AC1828" t="s">
        <v>97</v>
      </c>
      <c r="AD1828" t="s">
        <v>1818</v>
      </c>
      <c r="AG1828" t="s">
        <v>2466</v>
      </c>
      <c r="AH1828">
        <v>0</v>
      </c>
      <c r="AI1828">
        <v>745</v>
      </c>
      <c r="AJ1828">
        <v>77</v>
      </c>
      <c r="AK1828">
        <v>22</v>
      </c>
      <c r="AL1828">
        <v>0.73</v>
      </c>
    </row>
    <row r="1829" spans="1:38" x14ac:dyDescent="0.3">
      <c r="A1829" t="s">
        <v>1813</v>
      </c>
      <c r="B1829">
        <v>118475</v>
      </c>
      <c r="C1829">
        <v>6</v>
      </c>
      <c r="D1829" t="s">
        <v>485</v>
      </c>
      <c r="E1829" t="s">
        <v>1303</v>
      </c>
      <c r="F1829">
        <v>30</v>
      </c>
      <c r="G1829">
        <v>19.41</v>
      </c>
      <c r="H1829">
        <v>64.180000000000007</v>
      </c>
      <c r="I1829">
        <v>15.07</v>
      </c>
      <c r="J1829">
        <v>49.83</v>
      </c>
      <c r="K1829">
        <v>1</v>
      </c>
      <c r="T1829">
        <v>3</v>
      </c>
      <c r="U1829">
        <v>2</v>
      </c>
      <c r="V1829" t="s">
        <v>93</v>
      </c>
      <c r="W1829" t="s">
        <v>467</v>
      </c>
      <c r="X1829">
        <v>13</v>
      </c>
      <c r="Y1829">
        <v>13</v>
      </c>
      <c r="Z1829" t="s">
        <v>2464</v>
      </c>
      <c r="AA1829" t="s">
        <v>2465</v>
      </c>
      <c r="AB1829" t="s">
        <v>96</v>
      </c>
      <c r="AC1829" t="s">
        <v>97</v>
      </c>
      <c r="AD1829" t="s">
        <v>1818</v>
      </c>
      <c r="AG1829" t="s">
        <v>2466</v>
      </c>
      <c r="AH1829">
        <v>0</v>
      </c>
      <c r="AI1829">
        <v>745</v>
      </c>
      <c r="AJ1829">
        <v>77</v>
      </c>
      <c r="AK1829">
        <v>22</v>
      </c>
      <c r="AL1829">
        <v>0.73</v>
      </c>
    </row>
    <row r="1830" spans="1:38" x14ac:dyDescent="0.3">
      <c r="A1830" t="s">
        <v>1813</v>
      </c>
      <c r="B1830">
        <v>2442</v>
      </c>
      <c r="C1830">
        <v>1</v>
      </c>
      <c r="D1830" t="s">
        <v>2467</v>
      </c>
      <c r="E1830" t="s">
        <v>2468</v>
      </c>
      <c r="F1830">
        <v>462</v>
      </c>
      <c r="G1830">
        <v>17.350000000000001</v>
      </c>
      <c r="H1830">
        <v>57.36</v>
      </c>
      <c r="I1830">
        <v>13.36</v>
      </c>
      <c r="J1830">
        <v>44.19</v>
      </c>
      <c r="K1830">
        <v>180</v>
      </c>
      <c r="T1830">
        <v>3</v>
      </c>
      <c r="U1830">
        <v>1</v>
      </c>
      <c r="V1830" t="s">
        <v>93</v>
      </c>
      <c r="W1830">
        <v>57</v>
      </c>
      <c r="X1830">
        <v>6</v>
      </c>
      <c r="Y1830">
        <v>6</v>
      </c>
      <c r="Z1830" t="s">
        <v>2469</v>
      </c>
      <c r="AA1830" t="s">
        <v>2470</v>
      </c>
      <c r="AB1830" t="s">
        <v>96</v>
      </c>
      <c r="AC1830" t="s">
        <v>97</v>
      </c>
      <c r="AD1830" t="s">
        <v>1818</v>
      </c>
      <c r="AG1830" t="s">
        <v>2471</v>
      </c>
      <c r="AH1830">
        <v>0</v>
      </c>
      <c r="AI1830">
        <v>189</v>
      </c>
      <c r="AJ1830">
        <v>34</v>
      </c>
      <c r="AK1830">
        <v>0</v>
      </c>
      <c r="AL1830">
        <v>0</v>
      </c>
    </row>
    <row r="1831" spans="1:38" x14ac:dyDescent="0.3">
      <c r="A1831" t="s">
        <v>1813</v>
      </c>
      <c r="B1831">
        <v>2442</v>
      </c>
      <c r="C1831">
        <v>2</v>
      </c>
      <c r="D1831" t="s">
        <v>2467</v>
      </c>
      <c r="E1831" t="s">
        <v>2468</v>
      </c>
      <c r="F1831">
        <v>462</v>
      </c>
      <c r="G1831">
        <v>18.739999999999998</v>
      </c>
      <c r="H1831">
        <v>61.97</v>
      </c>
      <c r="I1831">
        <v>14.7</v>
      </c>
      <c r="J1831">
        <v>48.6</v>
      </c>
      <c r="K1831">
        <v>276</v>
      </c>
      <c r="T1831">
        <v>3</v>
      </c>
      <c r="U1831">
        <v>1</v>
      </c>
      <c r="V1831" t="s">
        <v>93</v>
      </c>
      <c r="W1831">
        <v>61</v>
      </c>
      <c r="X1831">
        <v>6</v>
      </c>
      <c r="Y1831">
        <v>6</v>
      </c>
      <c r="Z1831" t="s">
        <v>2469</v>
      </c>
      <c r="AA1831" t="s">
        <v>2470</v>
      </c>
      <c r="AB1831" t="s">
        <v>96</v>
      </c>
      <c r="AC1831" t="s">
        <v>97</v>
      </c>
      <c r="AD1831" t="s">
        <v>1818</v>
      </c>
      <c r="AG1831" t="s">
        <v>2471</v>
      </c>
      <c r="AH1831">
        <v>0</v>
      </c>
      <c r="AI1831">
        <v>189</v>
      </c>
      <c r="AJ1831">
        <v>34</v>
      </c>
      <c r="AK1831">
        <v>0</v>
      </c>
      <c r="AL1831">
        <v>0</v>
      </c>
    </row>
    <row r="1832" spans="1:38" x14ac:dyDescent="0.3">
      <c r="A1832" t="s">
        <v>1813</v>
      </c>
      <c r="B1832">
        <v>2442</v>
      </c>
      <c r="C1832">
        <v>3</v>
      </c>
      <c r="D1832" t="s">
        <v>2467</v>
      </c>
      <c r="E1832" t="s">
        <v>2468</v>
      </c>
      <c r="F1832">
        <v>462</v>
      </c>
      <c r="G1832">
        <v>22.23</v>
      </c>
      <c r="H1832">
        <v>73.489999999999995</v>
      </c>
      <c r="I1832">
        <v>16.64</v>
      </c>
      <c r="J1832">
        <v>55.02</v>
      </c>
      <c r="K1832">
        <v>6</v>
      </c>
      <c r="T1832">
        <v>3</v>
      </c>
      <c r="U1832">
        <v>1</v>
      </c>
      <c r="V1832" t="s">
        <v>93</v>
      </c>
      <c r="W1832">
        <v>73</v>
      </c>
      <c r="X1832">
        <v>6</v>
      </c>
      <c r="Y1832">
        <v>6</v>
      </c>
      <c r="Z1832" t="s">
        <v>2469</v>
      </c>
      <c r="AA1832" t="s">
        <v>2470</v>
      </c>
      <c r="AB1832" t="s">
        <v>96</v>
      </c>
      <c r="AC1832" t="s">
        <v>97</v>
      </c>
      <c r="AD1832" t="s">
        <v>1818</v>
      </c>
      <c r="AG1832" t="s">
        <v>2471</v>
      </c>
      <c r="AH1832">
        <v>0</v>
      </c>
      <c r="AI1832">
        <v>189</v>
      </c>
      <c r="AJ1832">
        <v>34</v>
      </c>
      <c r="AK1832">
        <v>0</v>
      </c>
      <c r="AL1832">
        <v>0</v>
      </c>
    </row>
    <row r="1833" spans="1:38" x14ac:dyDescent="0.3">
      <c r="A1833" t="s">
        <v>1813</v>
      </c>
      <c r="B1833">
        <v>101432</v>
      </c>
      <c r="C1833">
        <v>1</v>
      </c>
      <c r="D1833" t="s">
        <v>2472</v>
      </c>
      <c r="E1833" t="s">
        <v>238</v>
      </c>
      <c r="F1833">
        <v>17</v>
      </c>
      <c r="G1833">
        <v>16.600000000000001</v>
      </c>
      <c r="H1833">
        <v>54.88</v>
      </c>
      <c r="I1833">
        <v>15</v>
      </c>
      <c r="J1833">
        <v>49.6</v>
      </c>
      <c r="K1833">
        <v>1</v>
      </c>
      <c r="T1833">
        <v>2</v>
      </c>
      <c r="U1833">
        <v>1</v>
      </c>
      <c r="V1833" t="s">
        <v>93</v>
      </c>
      <c r="W1833">
        <v>54</v>
      </c>
      <c r="X1833">
        <v>9</v>
      </c>
      <c r="Y1833">
        <v>9</v>
      </c>
      <c r="Z1833" t="s">
        <v>2473</v>
      </c>
      <c r="AA1833" t="s">
        <v>2474</v>
      </c>
      <c r="AB1833" t="s">
        <v>96</v>
      </c>
      <c r="AC1833" t="s">
        <v>97</v>
      </c>
      <c r="AD1833" t="s">
        <v>1818</v>
      </c>
      <c r="AG1833" t="s">
        <v>2475</v>
      </c>
      <c r="AH1833">
        <v>0</v>
      </c>
      <c r="AI1833">
        <v>366</v>
      </c>
      <c r="AJ1833">
        <v>56</v>
      </c>
      <c r="AK1833">
        <v>20</v>
      </c>
      <c r="AL1833">
        <v>1.18</v>
      </c>
    </row>
    <row r="1834" spans="1:38" x14ac:dyDescent="0.3">
      <c r="A1834" t="s">
        <v>1813</v>
      </c>
      <c r="B1834">
        <v>101432</v>
      </c>
      <c r="C1834">
        <v>2</v>
      </c>
      <c r="D1834" t="s">
        <v>2472</v>
      </c>
      <c r="E1834" t="s">
        <v>238</v>
      </c>
      <c r="F1834">
        <v>17</v>
      </c>
      <c r="G1834">
        <v>20.059999999999999</v>
      </c>
      <c r="H1834">
        <v>66.34</v>
      </c>
      <c r="I1834">
        <v>18.13</v>
      </c>
      <c r="J1834">
        <v>59.96</v>
      </c>
      <c r="K1834">
        <v>4</v>
      </c>
      <c r="T1834">
        <v>2</v>
      </c>
      <c r="U1834">
        <v>1</v>
      </c>
      <c r="V1834" t="s">
        <v>93</v>
      </c>
      <c r="W1834">
        <v>66</v>
      </c>
      <c r="X1834">
        <v>9</v>
      </c>
      <c r="Y1834">
        <v>9</v>
      </c>
      <c r="Z1834" t="s">
        <v>2473</v>
      </c>
      <c r="AA1834" t="s">
        <v>2474</v>
      </c>
      <c r="AB1834" t="s">
        <v>96</v>
      </c>
      <c r="AC1834" t="s">
        <v>97</v>
      </c>
      <c r="AD1834" t="s">
        <v>1818</v>
      </c>
      <c r="AG1834" t="s">
        <v>2475</v>
      </c>
      <c r="AH1834">
        <v>0</v>
      </c>
      <c r="AI1834">
        <v>366</v>
      </c>
      <c r="AJ1834">
        <v>56</v>
      </c>
      <c r="AK1834">
        <v>20</v>
      </c>
      <c r="AL1834">
        <v>1.18</v>
      </c>
    </row>
    <row r="1835" spans="1:38" x14ac:dyDescent="0.3">
      <c r="A1835" t="s">
        <v>1813</v>
      </c>
      <c r="B1835">
        <v>101432</v>
      </c>
      <c r="C1835">
        <v>3</v>
      </c>
      <c r="D1835" t="s">
        <v>2472</v>
      </c>
      <c r="E1835" t="s">
        <v>238</v>
      </c>
      <c r="F1835">
        <v>17</v>
      </c>
      <c r="G1835">
        <v>24.29</v>
      </c>
      <c r="H1835">
        <v>80.33</v>
      </c>
      <c r="I1835">
        <v>21.96</v>
      </c>
      <c r="J1835">
        <v>72.599999999999994</v>
      </c>
      <c r="K1835">
        <v>1</v>
      </c>
      <c r="T1835">
        <v>3</v>
      </c>
      <c r="U1835">
        <v>2</v>
      </c>
      <c r="V1835" t="s">
        <v>93</v>
      </c>
      <c r="W1835" t="s">
        <v>1020</v>
      </c>
      <c r="X1835">
        <v>9</v>
      </c>
      <c r="Y1835">
        <v>9</v>
      </c>
      <c r="Z1835" t="s">
        <v>2473</v>
      </c>
      <c r="AA1835" t="s">
        <v>2474</v>
      </c>
      <c r="AB1835" t="s">
        <v>96</v>
      </c>
      <c r="AC1835" t="s">
        <v>97</v>
      </c>
      <c r="AD1835" t="s">
        <v>1818</v>
      </c>
      <c r="AG1835" t="s">
        <v>2475</v>
      </c>
      <c r="AH1835">
        <v>0</v>
      </c>
      <c r="AI1835">
        <v>366</v>
      </c>
      <c r="AJ1835">
        <v>56</v>
      </c>
      <c r="AK1835">
        <v>20</v>
      </c>
      <c r="AL1835">
        <v>1.18</v>
      </c>
    </row>
    <row r="1836" spans="1:38" x14ac:dyDescent="0.3">
      <c r="A1836" t="s">
        <v>1813</v>
      </c>
      <c r="B1836">
        <v>101432</v>
      </c>
      <c r="C1836">
        <v>4</v>
      </c>
      <c r="D1836" t="s">
        <v>2472</v>
      </c>
      <c r="E1836" t="s">
        <v>238</v>
      </c>
      <c r="F1836">
        <v>17</v>
      </c>
      <c r="G1836">
        <v>24.81</v>
      </c>
      <c r="H1836">
        <v>82.04</v>
      </c>
      <c r="I1836">
        <v>22.43</v>
      </c>
      <c r="J1836">
        <v>74.150000000000006</v>
      </c>
      <c r="K1836">
        <v>1</v>
      </c>
      <c r="T1836">
        <v>3</v>
      </c>
      <c r="U1836">
        <v>2</v>
      </c>
      <c r="V1836" t="s">
        <v>93</v>
      </c>
      <c r="W1836" t="s">
        <v>503</v>
      </c>
      <c r="X1836">
        <v>9</v>
      </c>
      <c r="Y1836">
        <v>9</v>
      </c>
      <c r="Z1836" t="s">
        <v>2473</v>
      </c>
      <c r="AA1836" t="s">
        <v>2474</v>
      </c>
      <c r="AB1836" t="s">
        <v>96</v>
      </c>
      <c r="AC1836" t="s">
        <v>97</v>
      </c>
      <c r="AD1836" t="s">
        <v>1818</v>
      </c>
      <c r="AG1836" t="s">
        <v>2475</v>
      </c>
      <c r="AH1836">
        <v>0</v>
      </c>
      <c r="AI1836">
        <v>366</v>
      </c>
      <c r="AJ1836">
        <v>56</v>
      </c>
      <c r="AK1836">
        <v>20</v>
      </c>
      <c r="AL1836">
        <v>1.18</v>
      </c>
    </row>
    <row r="1837" spans="1:38" x14ac:dyDescent="0.3">
      <c r="A1837" t="s">
        <v>1813</v>
      </c>
      <c r="B1837">
        <v>101432</v>
      </c>
      <c r="C1837">
        <v>5</v>
      </c>
      <c r="D1837" t="s">
        <v>2472</v>
      </c>
      <c r="E1837" t="s">
        <v>238</v>
      </c>
      <c r="F1837">
        <v>17</v>
      </c>
      <c r="G1837">
        <v>25.17</v>
      </c>
      <c r="H1837">
        <v>83.21</v>
      </c>
      <c r="I1837">
        <v>22.75</v>
      </c>
      <c r="J1837">
        <v>75.209999999999994</v>
      </c>
      <c r="K1837">
        <v>4</v>
      </c>
      <c r="T1837">
        <v>3</v>
      </c>
      <c r="U1837">
        <v>2</v>
      </c>
      <c r="V1837" t="s">
        <v>93</v>
      </c>
      <c r="W1837" t="s">
        <v>220</v>
      </c>
      <c r="X1837">
        <v>9</v>
      </c>
      <c r="Y1837">
        <v>9</v>
      </c>
      <c r="Z1837" t="s">
        <v>2473</v>
      </c>
      <c r="AA1837" t="s">
        <v>2474</v>
      </c>
      <c r="AB1837" t="s">
        <v>96</v>
      </c>
      <c r="AC1837" t="s">
        <v>97</v>
      </c>
      <c r="AD1837" t="s">
        <v>1818</v>
      </c>
      <c r="AG1837" t="s">
        <v>2475</v>
      </c>
      <c r="AH1837">
        <v>0</v>
      </c>
      <c r="AI1837">
        <v>366</v>
      </c>
      <c r="AJ1837">
        <v>56</v>
      </c>
      <c r="AK1837">
        <v>20</v>
      </c>
      <c r="AL1837">
        <v>1.18</v>
      </c>
    </row>
    <row r="1838" spans="1:38" x14ac:dyDescent="0.3">
      <c r="A1838" t="s">
        <v>1813</v>
      </c>
      <c r="B1838">
        <v>101432</v>
      </c>
      <c r="C1838">
        <v>6</v>
      </c>
      <c r="D1838" t="s">
        <v>2472</v>
      </c>
      <c r="E1838" t="s">
        <v>238</v>
      </c>
      <c r="F1838">
        <v>17</v>
      </c>
      <c r="G1838">
        <v>25.31</v>
      </c>
      <c r="H1838">
        <v>83.67</v>
      </c>
      <c r="I1838">
        <v>22.87</v>
      </c>
      <c r="J1838">
        <v>75.61</v>
      </c>
      <c r="K1838">
        <v>1</v>
      </c>
      <c r="T1838">
        <v>3</v>
      </c>
      <c r="U1838">
        <v>2</v>
      </c>
      <c r="V1838" t="s">
        <v>93</v>
      </c>
      <c r="W1838" t="s">
        <v>990</v>
      </c>
      <c r="X1838">
        <v>9</v>
      </c>
      <c r="Y1838">
        <v>9</v>
      </c>
      <c r="Z1838" t="s">
        <v>2473</v>
      </c>
      <c r="AA1838" t="s">
        <v>2474</v>
      </c>
      <c r="AB1838" t="s">
        <v>96</v>
      </c>
      <c r="AC1838" t="s">
        <v>97</v>
      </c>
      <c r="AD1838" t="s">
        <v>1818</v>
      </c>
      <c r="AG1838" t="s">
        <v>2475</v>
      </c>
      <c r="AH1838">
        <v>0</v>
      </c>
      <c r="AI1838">
        <v>366</v>
      </c>
      <c r="AJ1838">
        <v>56</v>
      </c>
      <c r="AK1838">
        <v>20</v>
      </c>
      <c r="AL1838">
        <v>1.18</v>
      </c>
    </row>
    <row r="1839" spans="1:38" x14ac:dyDescent="0.3">
      <c r="A1839" t="s">
        <v>1813</v>
      </c>
      <c r="B1839">
        <v>101432</v>
      </c>
      <c r="C1839">
        <v>7</v>
      </c>
      <c r="D1839" t="s">
        <v>2472</v>
      </c>
      <c r="E1839" t="s">
        <v>238</v>
      </c>
      <c r="F1839">
        <v>17</v>
      </c>
      <c r="G1839">
        <v>25.53</v>
      </c>
      <c r="H1839">
        <v>84.42</v>
      </c>
      <c r="I1839">
        <v>23.08</v>
      </c>
      <c r="J1839">
        <v>76.3</v>
      </c>
      <c r="K1839">
        <v>4</v>
      </c>
      <c r="T1839">
        <v>3</v>
      </c>
      <c r="U1839">
        <v>2</v>
      </c>
      <c r="V1839" t="s">
        <v>93</v>
      </c>
      <c r="W1839" t="s">
        <v>2193</v>
      </c>
      <c r="X1839">
        <v>9</v>
      </c>
      <c r="Y1839">
        <v>9</v>
      </c>
      <c r="Z1839" t="s">
        <v>2473</v>
      </c>
      <c r="AA1839" t="s">
        <v>2474</v>
      </c>
      <c r="AB1839" t="s">
        <v>96</v>
      </c>
      <c r="AC1839" t="s">
        <v>97</v>
      </c>
      <c r="AD1839" t="s">
        <v>1818</v>
      </c>
      <c r="AG1839" t="s">
        <v>2475</v>
      </c>
      <c r="AH1839">
        <v>0</v>
      </c>
      <c r="AI1839">
        <v>366</v>
      </c>
      <c r="AJ1839">
        <v>56</v>
      </c>
      <c r="AK1839">
        <v>20</v>
      </c>
      <c r="AL1839">
        <v>1.18</v>
      </c>
    </row>
    <row r="1840" spans="1:38" x14ac:dyDescent="0.3">
      <c r="A1840" t="s">
        <v>1813</v>
      </c>
      <c r="B1840">
        <v>101432</v>
      </c>
      <c r="C1840">
        <v>8</v>
      </c>
      <c r="D1840" t="s">
        <v>2472</v>
      </c>
      <c r="E1840" t="s">
        <v>238</v>
      </c>
      <c r="F1840">
        <v>17</v>
      </c>
      <c r="G1840">
        <v>25.48</v>
      </c>
      <c r="H1840">
        <v>84.24</v>
      </c>
      <c r="I1840">
        <v>23.02</v>
      </c>
      <c r="J1840">
        <v>76.13</v>
      </c>
      <c r="K1840">
        <v>1</v>
      </c>
      <c r="T1840">
        <v>3</v>
      </c>
      <c r="U1840">
        <v>2</v>
      </c>
      <c r="V1840" t="s">
        <v>93</v>
      </c>
      <c r="W1840" t="s">
        <v>819</v>
      </c>
      <c r="X1840">
        <v>9</v>
      </c>
      <c r="Y1840">
        <v>9</v>
      </c>
      <c r="Z1840" t="s">
        <v>2473</v>
      </c>
      <c r="AA1840" t="s">
        <v>2474</v>
      </c>
      <c r="AB1840" t="s">
        <v>96</v>
      </c>
      <c r="AC1840" t="s">
        <v>97</v>
      </c>
      <c r="AD1840" t="s">
        <v>1818</v>
      </c>
      <c r="AG1840" t="s">
        <v>2475</v>
      </c>
      <c r="AH1840">
        <v>0</v>
      </c>
      <c r="AI1840">
        <v>366</v>
      </c>
      <c r="AJ1840">
        <v>56</v>
      </c>
      <c r="AK1840">
        <v>20</v>
      </c>
      <c r="AL1840">
        <v>1.18</v>
      </c>
    </row>
    <row r="1841" spans="1:38" x14ac:dyDescent="0.3">
      <c r="A1841" t="s">
        <v>1813</v>
      </c>
      <c r="B1841">
        <v>111778</v>
      </c>
      <c r="C1841">
        <v>1</v>
      </c>
      <c r="D1841" t="s">
        <v>2476</v>
      </c>
      <c r="E1841" t="s">
        <v>742</v>
      </c>
      <c r="F1841">
        <v>15</v>
      </c>
      <c r="G1841">
        <v>12.45</v>
      </c>
      <c r="H1841">
        <v>41.17</v>
      </c>
      <c r="I1841">
        <v>10.92</v>
      </c>
      <c r="J1841">
        <v>36.1</v>
      </c>
      <c r="K1841">
        <v>1</v>
      </c>
      <c r="T1841">
        <v>2</v>
      </c>
      <c r="U1841">
        <v>1</v>
      </c>
      <c r="V1841" t="s">
        <v>93</v>
      </c>
      <c r="W1841">
        <v>41</v>
      </c>
      <c r="X1841">
        <v>5</v>
      </c>
      <c r="Y1841">
        <v>4</v>
      </c>
      <c r="Z1841" t="s">
        <v>2477</v>
      </c>
      <c r="AA1841" t="s">
        <v>2478</v>
      </c>
      <c r="AB1841" t="s">
        <v>96</v>
      </c>
      <c r="AC1841" t="s">
        <v>97</v>
      </c>
      <c r="AD1841" t="s">
        <v>1818</v>
      </c>
      <c r="AG1841" t="s">
        <v>2479</v>
      </c>
      <c r="AH1841">
        <v>0</v>
      </c>
      <c r="AI1841">
        <v>292</v>
      </c>
      <c r="AJ1841">
        <v>71</v>
      </c>
      <c r="AK1841">
        <v>6</v>
      </c>
      <c r="AL1841">
        <v>0.4</v>
      </c>
    </row>
    <row r="1842" spans="1:38" x14ac:dyDescent="0.3">
      <c r="A1842" t="s">
        <v>1813</v>
      </c>
      <c r="B1842">
        <v>111778</v>
      </c>
      <c r="C1842">
        <v>2</v>
      </c>
      <c r="D1842" t="s">
        <v>2476</v>
      </c>
      <c r="E1842" t="s">
        <v>742</v>
      </c>
      <c r="F1842">
        <v>15</v>
      </c>
      <c r="G1842">
        <v>15.74</v>
      </c>
      <c r="H1842">
        <v>52.06</v>
      </c>
      <c r="I1842">
        <v>13.8</v>
      </c>
      <c r="J1842">
        <v>45.64</v>
      </c>
      <c r="K1842">
        <v>1</v>
      </c>
      <c r="T1842">
        <v>2</v>
      </c>
      <c r="U1842">
        <v>1</v>
      </c>
      <c r="V1842" t="s">
        <v>93</v>
      </c>
      <c r="W1842" t="s">
        <v>583</v>
      </c>
      <c r="X1842">
        <v>5</v>
      </c>
      <c r="Y1842">
        <v>4</v>
      </c>
      <c r="Z1842" t="s">
        <v>2477</v>
      </c>
      <c r="AA1842" t="s">
        <v>2478</v>
      </c>
      <c r="AB1842" t="s">
        <v>96</v>
      </c>
      <c r="AC1842" t="s">
        <v>97</v>
      </c>
      <c r="AD1842" t="s">
        <v>1818</v>
      </c>
      <c r="AG1842" t="s">
        <v>2479</v>
      </c>
      <c r="AH1842">
        <v>0</v>
      </c>
      <c r="AI1842">
        <v>292</v>
      </c>
      <c r="AJ1842">
        <v>71</v>
      </c>
      <c r="AK1842">
        <v>6</v>
      </c>
      <c r="AL1842">
        <v>0.4</v>
      </c>
    </row>
    <row r="1843" spans="1:38" x14ac:dyDescent="0.3">
      <c r="A1843" t="s">
        <v>1813</v>
      </c>
      <c r="B1843">
        <v>111778</v>
      </c>
      <c r="C1843">
        <v>3</v>
      </c>
      <c r="D1843" t="s">
        <v>2476</v>
      </c>
      <c r="E1843" t="s">
        <v>742</v>
      </c>
      <c r="F1843">
        <v>15</v>
      </c>
      <c r="G1843">
        <v>16.309999999999999</v>
      </c>
      <c r="H1843">
        <v>53.93</v>
      </c>
      <c r="I1843">
        <v>14.3</v>
      </c>
      <c r="J1843">
        <v>47.29</v>
      </c>
      <c r="K1843">
        <v>9</v>
      </c>
      <c r="T1843">
        <v>2</v>
      </c>
      <c r="U1843">
        <v>1</v>
      </c>
      <c r="V1843" t="s">
        <v>93</v>
      </c>
      <c r="W1843" t="s">
        <v>1273</v>
      </c>
      <c r="X1843">
        <v>5</v>
      </c>
      <c r="Y1843">
        <v>4</v>
      </c>
      <c r="Z1843" t="s">
        <v>2477</v>
      </c>
      <c r="AA1843" t="s">
        <v>2478</v>
      </c>
      <c r="AB1843" t="s">
        <v>96</v>
      </c>
      <c r="AC1843" t="s">
        <v>97</v>
      </c>
      <c r="AD1843" t="s">
        <v>1818</v>
      </c>
      <c r="AG1843" t="s">
        <v>2479</v>
      </c>
      <c r="AH1843">
        <v>0</v>
      </c>
      <c r="AI1843">
        <v>292</v>
      </c>
      <c r="AJ1843">
        <v>71</v>
      </c>
      <c r="AK1843">
        <v>6</v>
      </c>
      <c r="AL1843">
        <v>0.4</v>
      </c>
    </row>
    <row r="1844" spans="1:38" x14ac:dyDescent="0.3">
      <c r="A1844" t="s">
        <v>1813</v>
      </c>
      <c r="B1844">
        <v>111778</v>
      </c>
      <c r="C1844">
        <v>4</v>
      </c>
      <c r="D1844" t="s">
        <v>2476</v>
      </c>
      <c r="E1844" t="s">
        <v>742</v>
      </c>
      <c r="F1844">
        <v>15</v>
      </c>
      <c r="G1844">
        <v>16.54</v>
      </c>
      <c r="H1844">
        <v>54.71</v>
      </c>
      <c r="I1844">
        <v>14.51</v>
      </c>
      <c r="J1844">
        <v>47.97</v>
      </c>
      <c r="K1844">
        <v>3</v>
      </c>
      <c r="T1844">
        <v>2</v>
      </c>
      <c r="U1844">
        <v>1</v>
      </c>
      <c r="V1844" t="s">
        <v>93</v>
      </c>
      <c r="W1844">
        <v>54</v>
      </c>
      <c r="X1844">
        <v>5</v>
      </c>
      <c r="Y1844">
        <v>4</v>
      </c>
      <c r="Z1844" t="s">
        <v>2477</v>
      </c>
      <c r="AA1844" t="s">
        <v>2478</v>
      </c>
      <c r="AB1844" t="s">
        <v>96</v>
      </c>
      <c r="AC1844" t="s">
        <v>97</v>
      </c>
      <c r="AD1844" t="s">
        <v>1818</v>
      </c>
      <c r="AG1844" t="s">
        <v>2479</v>
      </c>
      <c r="AH1844">
        <v>0</v>
      </c>
      <c r="AI1844">
        <v>292</v>
      </c>
      <c r="AJ1844">
        <v>71</v>
      </c>
      <c r="AK1844">
        <v>6</v>
      </c>
      <c r="AL1844">
        <v>0.4</v>
      </c>
    </row>
    <row r="1845" spans="1:38" x14ac:dyDescent="0.3">
      <c r="A1845" t="s">
        <v>1813</v>
      </c>
      <c r="B1845">
        <v>111778</v>
      </c>
      <c r="C1845">
        <v>5</v>
      </c>
      <c r="D1845" t="s">
        <v>2476</v>
      </c>
      <c r="E1845" t="s">
        <v>742</v>
      </c>
      <c r="F1845">
        <v>15</v>
      </c>
      <c r="G1845">
        <v>27.58</v>
      </c>
      <c r="H1845">
        <v>91.18</v>
      </c>
      <c r="I1845">
        <v>24.18</v>
      </c>
      <c r="J1845">
        <v>79.95</v>
      </c>
      <c r="K1845">
        <v>1</v>
      </c>
      <c r="T1845">
        <v>3</v>
      </c>
      <c r="U1845">
        <v>2</v>
      </c>
      <c r="V1845" t="s">
        <v>93</v>
      </c>
      <c r="W1845">
        <v>91</v>
      </c>
      <c r="X1845">
        <v>5</v>
      </c>
      <c r="Y1845">
        <v>4</v>
      </c>
      <c r="Z1845" t="s">
        <v>2477</v>
      </c>
      <c r="AA1845" t="s">
        <v>2478</v>
      </c>
      <c r="AB1845" t="s">
        <v>96</v>
      </c>
      <c r="AC1845" t="s">
        <v>97</v>
      </c>
      <c r="AD1845" t="s">
        <v>1818</v>
      </c>
      <c r="AG1845" t="s">
        <v>2479</v>
      </c>
      <c r="AH1845">
        <v>0</v>
      </c>
      <c r="AI1845">
        <v>292</v>
      </c>
      <c r="AJ1845">
        <v>71</v>
      </c>
      <c r="AK1845">
        <v>6</v>
      </c>
      <c r="AL1845">
        <v>0.4</v>
      </c>
    </row>
    <row r="1846" spans="1:38" x14ac:dyDescent="0.3">
      <c r="A1846" t="s">
        <v>1813</v>
      </c>
      <c r="B1846">
        <v>119531</v>
      </c>
      <c r="C1846">
        <v>1</v>
      </c>
      <c r="D1846" t="s">
        <v>2480</v>
      </c>
      <c r="E1846" t="s">
        <v>210</v>
      </c>
      <c r="F1846">
        <v>70</v>
      </c>
      <c r="G1846">
        <v>7.53</v>
      </c>
      <c r="H1846">
        <v>24.91</v>
      </c>
      <c r="I1846">
        <v>5.23</v>
      </c>
      <c r="J1846">
        <v>17.309999999999999</v>
      </c>
      <c r="K1846">
        <v>10</v>
      </c>
      <c r="T1846">
        <v>1</v>
      </c>
      <c r="U1846">
        <v>1</v>
      </c>
      <c r="V1846" t="s">
        <v>93</v>
      </c>
      <c r="W1846" t="s">
        <v>2240</v>
      </c>
      <c r="X1846">
        <v>15</v>
      </c>
      <c r="Y1846">
        <v>15</v>
      </c>
      <c r="Z1846" t="s">
        <v>2481</v>
      </c>
      <c r="AA1846" t="s">
        <v>2482</v>
      </c>
      <c r="AB1846" t="s">
        <v>96</v>
      </c>
      <c r="AC1846" t="s">
        <v>97</v>
      </c>
      <c r="AD1846" t="s">
        <v>1818</v>
      </c>
      <c r="AG1846" t="s">
        <v>2483</v>
      </c>
      <c r="AH1846">
        <v>0</v>
      </c>
      <c r="AI1846">
        <v>698</v>
      </c>
      <c r="AJ1846">
        <v>71</v>
      </c>
      <c r="AK1846">
        <v>43</v>
      </c>
      <c r="AL1846">
        <v>0.61</v>
      </c>
    </row>
    <row r="1847" spans="1:38" x14ac:dyDescent="0.3">
      <c r="A1847" t="s">
        <v>1813</v>
      </c>
      <c r="B1847">
        <v>119531</v>
      </c>
      <c r="C1847">
        <v>2</v>
      </c>
      <c r="D1847" t="s">
        <v>2480</v>
      </c>
      <c r="E1847" t="s">
        <v>210</v>
      </c>
      <c r="F1847">
        <v>70</v>
      </c>
      <c r="G1847">
        <v>7.56</v>
      </c>
      <c r="H1847">
        <v>25</v>
      </c>
      <c r="I1847">
        <v>5.32</v>
      </c>
      <c r="J1847">
        <v>17.61</v>
      </c>
      <c r="K1847">
        <v>30</v>
      </c>
      <c r="T1847">
        <v>1</v>
      </c>
      <c r="U1847">
        <v>1</v>
      </c>
      <c r="V1847" t="s">
        <v>93</v>
      </c>
      <c r="W1847" t="s">
        <v>2291</v>
      </c>
      <c r="X1847">
        <v>15</v>
      </c>
      <c r="Y1847">
        <v>15</v>
      </c>
      <c r="Z1847" t="s">
        <v>2481</v>
      </c>
      <c r="AA1847" t="s">
        <v>2482</v>
      </c>
      <c r="AB1847" t="s">
        <v>96</v>
      </c>
      <c r="AC1847" t="s">
        <v>97</v>
      </c>
      <c r="AD1847" t="s">
        <v>1818</v>
      </c>
      <c r="AG1847" t="s">
        <v>2483</v>
      </c>
      <c r="AH1847">
        <v>0</v>
      </c>
      <c r="AI1847">
        <v>698</v>
      </c>
      <c r="AJ1847">
        <v>71</v>
      </c>
      <c r="AK1847">
        <v>43</v>
      </c>
      <c r="AL1847">
        <v>0.61</v>
      </c>
    </row>
    <row r="1848" spans="1:38" x14ac:dyDescent="0.3">
      <c r="A1848" t="s">
        <v>1813</v>
      </c>
      <c r="B1848">
        <v>119531</v>
      </c>
      <c r="C1848">
        <v>3</v>
      </c>
      <c r="D1848" t="s">
        <v>2480</v>
      </c>
      <c r="E1848" t="s">
        <v>210</v>
      </c>
      <c r="F1848">
        <v>70</v>
      </c>
      <c r="G1848">
        <v>9.73</v>
      </c>
      <c r="H1848">
        <v>32.19</v>
      </c>
      <c r="I1848">
        <v>6.93</v>
      </c>
      <c r="J1848">
        <v>22.93</v>
      </c>
      <c r="K1848">
        <v>20</v>
      </c>
      <c r="T1848">
        <v>1</v>
      </c>
      <c r="U1848">
        <v>1</v>
      </c>
      <c r="V1848" t="s">
        <v>93</v>
      </c>
      <c r="W1848">
        <v>32</v>
      </c>
      <c r="X1848">
        <v>15</v>
      </c>
      <c r="Y1848">
        <v>15</v>
      </c>
      <c r="Z1848" t="s">
        <v>2481</v>
      </c>
      <c r="AA1848" t="s">
        <v>2482</v>
      </c>
      <c r="AB1848" t="s">
        <v>96</v>
      </c>
      <c r="AC1848" t="s">
        <v>97</v>
      </c>
      <c r="AD1848" t="s">
        <v>1818</v>
      </c>
      <c r="AG1848" t="s">
        <v>2483</v>
      </c>
      <c r="AH1848">
        <v>0</v>
      </c>
      <c r="AI1848">
        <v>698</v>
      </c>
      <c r="AJ1848">
        <v>71</v>
      </c>
      <c r="AK1848">
        <v>43</v>
      </c>
      <c r="AL1848">
        <v>0.61</v>
      </c>
    </row>
    <row r="1849" spans="1:38" x14ac:dyDescent="0.3">
      <c r="A1849" t="s">
        <v>1813</v>
      </c>
      <c r="B1849">
        <v>119531</v>
      </c>
      <c r="C1849">
        <v>4</v>
      </c>
      <c r="D1849" t="s">
        <v>2480</v>
      </c>
      <c r="E1849" t="s">
        <v>210</v>
      </c>
      <c r="F1849">
        <v>70</v>
      </c>
      <c r="G1849">
        <v>17.149999999999999</v>
      </c>
      <c r="H1849">
        <v>56.72</v>
      </c>
      <c r="I1849">
        <v>11.99</v>
      </c>
      <c r="J1849">
        <v>39.65</v>
      </c>
      <c r="K1849">
        <v>10</v>
      </c>
      <c r="T1849">
        <v>2</v>
      </c>
      <c r="U1849">
        <v>1</v>
      </c>
      <c r="V1849" t="s">
        <v>93</v>
      </c>
      <c r="W1849">
        <v>56</v>
      </c>
      <c r="X1849">
        <v>15</v>
      </c>
      <c r="Y1849">
        <v>15</v>
      </c>
      <c r="Z1849" t="s">
        <v>2481</v>
      </c>
      <c r="AA1849" t="s">
        <v>2482</v>
      </c>
      <c r="AB1849" t="s">
        <v>96</v>
      </c>
      <c r="AC1849" t="s">
        <v>97</v>
      </c>
      <c r="AD1849" t="s">
        <v>1818</v>
      </c>
      <c r="AG1849" t="s">
        <v>2483</v>
      </c>
      <c r="AH1849">
        <v>0</v>
      </c>
      <c r="AI1849">
        <v>698</v>
      </c>
      <c r="AJ1849">
        <v>71</v>
      </c>
      <c r="AK1849">
        <v>43</v>
      </c>
      <c r="AL1849">
        <v>0.61</v>
      </c>
    </row>
    <row r="1850" spans="1:38" x14ac:dyDescent="0.3">
      <c r="A1850" t="s">
        <v>1813</v>
      </c>
      <c r="B1850">
        <v>22523</v>
      </c>
      <c r="C1850">
        <v>1</v>
      </c>
      <c r="D1850" t="s">
        <v>2484</v>
      </c>
      <c r="E1850" t="s">
        <v>307</v>
      </c>
      <c r="F1850">
        <v>15</v>
      </c>
      <c r="G1850">
        <v>20.96</v>
      </c>
      <c r="H1850">
        <v>69.319999999999993</v>
      </c>
      <c r="I1850">
        <v>18.84</v>
      </c>
      <c r="J1850">
        <v>62.29</v>
      </c>
      <c r="K1850">
        <v>4</v>
      </c>
      <c r="T1850">
        <v>3</v>
      </c>
      <c r="U1850">
        <v>1</v>
      </c>
      <c r="V1850" t="s">
        <v>93</v>
      </c>
      <c r="W1850" t="s">
        <v>382</v>
      </c>
      <c r="X1850">
        <v>9</v>
      </c>
      <c r="Y1850">
        <v>9</v>
      </c>
      <c r="Z1850" t="s">
        <v>2485</v>
      </c>
      <c r="AA1850" t="s">
        <v>2486</v>
      </c>
      <c r="AB1850" t="s">
        <v>96</v>
      </c>
      <c r="AC1850" t="s">
        <v>97</v>
      </c>
      <c r="AD1850" t="s">
        <v>1818</v>
      </c>
      <c r="AG1850" t="s">
        <v>2487</v>
      </c>
      <c r="AH1850">
        <v>0</v>
      </c>
      <c r="AI1850">
        <v>375</v>
      </c>
      <c r="AJ1850">
        <v>72</v>
      </c>
      <c r="AK1850">
        <v>22</v>
      </c>
      <c r="AL1850">
        <v>1.47</v>
      </c>
    </row>
    <row r="1851" spans="1:38" x14ac:dyDescent="0.3">
      <c r="A1851" t="s">
        <v>1813</v>
      </c>
      <c r="B1851">
        <v>22523</v>
      </c>
      <c r="C1851">
        <v>2</v>
      </c>
      <c r="D1851" t="s">
        <v>2484</v>
      </c>
      <c r="E1851" t="s">
        <v>307</v>
      </c>
      <c r="F1851">
        <v>15</v>
      </c>
      <c r="G1851">
        <v>21.37</v>
      </c>
      <c r="H1851">
        <v>70.66</v>
      </c>
      <c r="I1851">
        <v>19.2</v>
      </c>
      <c r="J1851">
        <v>63.49</v>
      </c>
      <c r="K1851">
        <v>4</v>
      </c>
      <c r="T1851">
        <v>3</v>
      </c>
      <c r="U1851">
        <v>1</v>
      </c>
      <c r="V1851" t="s">
        <v>93</v>
      </c>
      <c r="W1851" t="s">
        <v>1194</v>
      </c>
      <c r="X1851">
        <v>9</v>
      </c>
      <c r="Y1851">
        <v>9</v>
      </c>
      <c r="Z1851" t="s">
        <v>2485</v>
      </c>
      <c r="AA1851" t="s">
        <v>2486</v>
      </c>
      <c r="AB1851" t="s">
        <v>96</v>
      </c>
      <c r="AC1851" t="s">
        <v>97</v>
      </c>
      <c r="AD1851" t="s">
        <v>1818</v>
      </c>
      <c r="AG1851" t="s">
        <v>2487</v>
      </c>
      <c r="AH1851">
        <v>0</v>
      </c>
      <c r="AI1851">
        <v>375</v>
      </c>
      <c r="AJ1851">
        <v>72</v>
      </c>
      <c r="AK1851">
        <v>22</v>
      </c>
      <c r="AL1851">
        <v>1.47</v>
      </c>
    </row>
    <row r="1852" spans="1:38" x14ac:dyDescent="0.3">
      <c r="A1852" t="s">
        <v>1813</v>
      </c>
      <c r="B1852">
        <v>22523</v>
      </c>
      <c r="C1852">
        <v>3</v>
      </c>
      <c r="D1852" t="s">
        <v>2484</v>
      </c>
      <c r="E1852" t="s">
        <v>307</v>
      </c>
      <c r="F1852">
        <v>15</v>
      </c>
      <c r="G1852">
        <v>21.32</v>
      </c>
      <c r="H1852">
        <v>70.510000000000005</v>
      </c>
      <c r="I1852">
        <v>19.13</v>
      </c>
      <c r="J1852">
        <v>63.26</v>
      </c>
      <c r="K1852">
        <v>1</v>
      </c>
      <c r="T1852">
        <v>3</v>
      </c>
      <c r="U1852">
        <v>1</v>
      </c>
      <c r="V1852" t="s">
        <v>93</v>
      </c>
      <c r="W1852" t="s">
        <v>490</v>
      </c>
      <c r="X1852">
        <v>9</v>
      </c>
      <c r="Y1852">
        <v>9</v>
      </c>
      <c r="Z1852" t="s">
        <v>2485</v>
      </c>
      <c r="AA1852" t="s">
        <v>2486</v>
      </c>
      <c r="AB1852" t="s">
        <v>96</v>
      </c>
      <c r="AC1852" t="s">
        <v>97</v>
      </c>
      <c r="AD1852" t="s">
        <v>1818</v>
      </c>
      <c r="AG1852" t="s">
        <v>2487</v>
      </c>
      <c r="AH1852">
        <v>0</v>
      </c>
      <c r="AI1852">
        <v>375</v>
      </c>
      <c r="AJ1852">
        <v>72</v>
      </c>
      <c r="AK1852">
        <v>22</v>
      </c>
      <c r="AL1852">
        <v>1.47</v>
      </c>
    </row>
    <row r="1853" spans="1:38" x14ac:dyDescent="0.3">
      <c r="A1853" t="s">
        <v>1813</v>
      </c>
      <c r="B1853">
        <v>22523</v>
      </c>
      <c r="C1853">
        <v>4</v>
      </c>
      <c r="D1853" t="s">
        <v>2484</v>
      </c>
      <c r="E1853" t="s">
        <v>307</v>
      </c>
      <c r="F1853">
        <v>15</v>
      </c>
      <c r="G1853">
        <v>24.44</v>
      </c>
      <c r="H1853">
        <v>80.819999999999993</v>
      </c>
      <c r="I1853">
        <v>21.96</v>
      </c>
      <c r="J1853">
        <v>72.62</v>
      </c>
      <c r="K1853">
        <v>3</v>
      </c>
      <c r="T1853">
        <v>3</v>
      </c>
      <c r="U1853">
        <v>1</v>
      </c>
      <c r="V1853" t="s">
        <v>211</v>
      </c>
      <c r="W1853">
        <v>80</v>
      </c>
      <c r="X1853">
        <v>9</v>
      </c>
      <c r="Y1853">
        <v>9</v>
      </c>
      <c r="Z1853" t="s">
        <v>2485</v>
      </c>
      <c r="AA1853" t="s">
        <v>2486</v>
      </c>
      <c r="AB1853" t="s">
        <v>96</v>
      </c>
      <c r="AC1853" t="s">
        <v>97</v>
      </c>
      <c r="AD1853" t="s">
        <v>1818</v>
      </c>
      <c r="AG1853" t="s">
        <v>2487</v>
      </c>
      <c r="AH1853">
        <v>0</v>
      </c>
      <c r="AI1853">
        <v>375</v>
      </c>
      <c r="AJ1853">
        <v>72</v>
      </c>
      <c r="AK1853">
        <v>22</v>
      </c>
      <c r="AL1853">
        <v>1.47</v>
      </c>
    </row>
    <row r="1854" spans="1:38" x14ac:dyDescent="0.3">
      <c r="A1854" t="s">
        <v>1813</v>
      </c>
      <c r="B1854">
        <v>22523</v>
      </c>
      <c r="C1854">
        <v>5</v>
      </c>
      <c r="D1854" t="s">
        <v>2484</v>
      </c>
      <c r="E1854" t="s">
        <v>307</v>
      </c>
      <c r="F1854">
        <v>15</v>
      </c>
      <c r="G1854">
        <v>25.39</v>
      </c>
      <c r="H1854">
        <v>83.94</v>
      </c>
      <c r="I1854">
        <v>22.81</v>
      </c>
      <c r="J1854">
        <v>75.42</v>
      </c>
      <c r="K1854">
        <v>2</v>
      </c>
      <c r="T1854">
        <v>3</v>
      </c>
      <c r="U1854">
        <v>1</v>
      </c>
      <c r="V1854" t="s">
        <v>93</v>
      </c>
      <c r="W1854" t="s">
        <v>990</v>
      </c>
      <c r="X1854">
        <v>9</v>
      </c>
      <c r="Y1854">
        <v>9</v>
      </c>
      <c r="Z1854" t="s">
        <v>2485</v>
      </c>
      <c r="AA1854" t="s">
        <v>2486</v>
      </c>
      <c r="AB1854" t="s">
        <v>96</v>
      </c>
      <c r="AC1854" t="s">
        <v>97</v>
      </c>
      <c r="AD1854" t="s">
        <v>1818</v>
      </c>
      <c r="AG1854" t="s">
        <v>2487</v>
      </c>
      <c r="AH1854">
        <v>0</v>
      </c>
      <c r="AI1854">
        <v>375</v>
      </c>
      <c r="AJ1854">
        <v>72</v>
      </c>
      <c r="AK1854">
        <v>22</v>
      </c>
      <c r="AL1854">
        <v>1.47</v>
      </c>
    </row>
    <row r="1855" spans="1:38" x14ac:dyDescent="0.3">
      <c r="A1855" t="s">
        <v>1813</v>
      </c>
      <c r="B1855">
        <v>22523</v>
      </c>
      <c r="C1855">
        <v>6</v>
      </c>
      <c r="D1855" t="s">
        <v>2484</v>
      </c>
      <c r="E1855" t="s">
        <v>307</v>
      </c>
      <c r="F1855">
        <v>15</v>
      </c>
      <c r="G1855">
        <v>25.3</v>
      </c>
      <c r="H1855">
        <v>83.64</v>
      </c>
      <c r="I1855">
        <v>22.73</v>
      </c>
      <c r="J1855">
        <v>75.150000000000006</v>
      </c>
      <c r="K1855">
        <v>1</v>
      </c>
      <c r="T1855">
        <v>3</v>
      </c>
      <c r="U1855">
        <v>1</v>
      </c>
      <c r="V1855" t="s">
        <v>93</v>
      </c>
      <c r="W1855" t="s">
        <v>220</v>
      </c>
      <c r="X1855">
        <v>9</v>
      </c>
      <c r="Y1855">
        <v>9</v>
      </c>
      <c r="Z1855" t="s">
        <v>2485</v>
      </c>
      <c r="AA1855" t="s">
        <v>2486</v>
      </c>
      <c r="AB1855" t="s">
        <v>96</v>
      </c>
      <c r="AC1855" t="s">
        <v>97</v>
      </c>
      <c r="AD1855" t="s">
        <v>1818</v>
      </c>
      <c r="AG1855" t="s">
        <v>2487</v>
      </c>
      <c r="AH1855">
        <v>0</v>
      </c>
      <c r="AI1855">
        <v>375</v>
      </c>
      <c r="AJ1855">
        <v>72</v>
      </c>
      <c r="AK1855">
        <v>22</v>
      </c>
      <c r="AL1855">
        <v>1.47</v>
      </c>
    </row>
    <row r="1856" spans="1:38" x14ac:dyDescent="0.3">
      <c r="A1856" t="s">
        <v>1813</v>
      </c>
      <c r="B1856">
        <v>131913</v>
      </c>
      <c r="C1856">
        <v>1</v>
      </c>
      <c r="D1856" t="s">
        <v>2488</v>
      </c>
      <c r="E1856" t="s">
        <v>950</v>
      </c>
      <c r="F1856">
        <v>26</v>
      </c>
      <c r="G1856">
        <v>26.9</v>
      </c>
      <c r="H1856">
        <v>88.94</v>
      </c>
      <c r="I1856">
        <v>21.25</v>
      </c>
      <c r="J1856">
        <v>70.260000000000005</v>
      </c>
      <c r="K1856">
        <v>13</v>
      </c>
      <c r="T1856">
        <v>3</v>
      </c>
      <c r="U1856">
        <v>2</v>
      </c>
      <c r="V1856" t="s">
        <v>93</v>
      </c>
      <c r="W1856">
        <v>88</v>
      </c>
      <c r="X1856">
        <v>14</v>
      </c>
      <c r="Y1856">
        <v>14</v>
      </c>
      <c r="Z1856" t="s">
        <v>2489</v>
      </c>
      <c r="AA1856" t="s">
        <v>2490</v>
      </c>
      <c r="AB1856" t="s">
        <v>96</v>
      </c>
      <c r="AC1856" t="s">
        <v>97</v>
      </c>
      <c r="AD1856" t="s">
        <v>1818</v>
      </c>
      <c r="AG1856" t="s">
        <v>2491</v>
      </c>
      <c r="AH1856">
        <v>0</v>
      </c>
      <c r="AI1856">
        <v>757</v>
      </c>
      <c r="AJ1856">
        <v>75</v>
      </c>
      <c r="AK1856">
        <v>26</v>
      </c>
      <c r="AL1856">
        <v>1</v>
      </c>
    </row>
    <row r="1857" spans="1:38" x14ac:dyDescent="0.3">
      <c r="A1857" t="s">
        <v>1813</v>
      </c>
      <c r="B1857">
        <v>131913</v>
      </c>
      <c r="C1857">
        <v>2</v>
      </c>
      <c r="D1857" t="s">
        <v>2488</v>
      </c>
      <c r="E1857" t="s">
        <v>950</v>
      </c>
      <c r="F1857">
        <v>26</v>
      </c>
      <c r="G1857">
        <v>28.1</v>
      </c>
      <c r="H1857">
        <v>92.9</v>
      </c>
      <c r="I1857">
        <v>22.11</v>
      </c>
      <c r="J1857">
        <v>73.11</v>
      </c>
      <c r="K1857">
        <v>8</v>
      </c>
      <c r="T1857">
        <v>3</v>
      </c>
      <c r="U1857">
        <v>2</v>
      </c>
      <c r="V1857" t="s">
        <v>93</v>
      </c>
      <c r="W1857">
        <v>92</v>
      </c>
      <c r="X1857">
        <v>14</v>
      </c>
      <c r="Y1857">
        <v>14</v>
      </c>
      <c r="Z1857" t="s">
        <v>2489</v>
      </c>
      <c r="AA1857" t="s">
        <v>2490</v>
      </c>
      <c r="AB1857" t="s">
        <v>96</v>
      </c>
      <c r="AC1857" t="s">
        <v>97</v>
      </c>
      <c r="AD1857" t="s">
        <v>1818</v>
      </c>
      <c r="AG1857" t="s">
        <v>2491</v>
      </c>
      <c r="AH1857">
        <v>0</v>
      </c>
      <c r="AI1857">
        <v>757</v>
      </c>
      <c r="AJ1857">
        <v>75</v>
      </c>
      <c r="AK1857">
        <v>26</v>
      </c>
      <c r="AL1857">
        <v>1</v>
      </c>
    </row>
    <row r="1858" spans="1:38" x14ac:dyDescent="0.3">
      <c r="A1858" t="s">
        <v>1813</v>
      </c>
      <c r="B1858">
        <v>131913</v>
      </c>
      <c r="C1858">
        <v>3</v>
      </c>
      <c r="D1858" t="s">
        <v>2488</v>
      </c>
      <c r="E1858" t="s">
        <v>950</v>
      </c>
      <c r="F1858">
        <v>26</v>
      </c>
      <c r="G1858">
        <v>32.26</v>
      </c>
      <c r="H1858">
        <v>106.65</v>
      </c>
      <c r="I1858">
        <v>25.61</v>
      </c>
      <c r="J1858">
        <v>84.69</v>
      </c>
      <c r="K1858">
        <v>5</v>
      </c>
      <c r="T1858">
        <v>3</v>
      </c>
      <c r="U1858">
        <v>2</v>
      </c>
      <c r="V1858" t="s">
        <v>93</v>
      </c>
      <c r="W1858">
        <v>106</v>
      </c>
      <c r="X1858">
        <v>14</v>
      </c>
      <c r="Y1858">
        <v>14</v>
      </c>
      <c r="Z1858" t="s">
        <v>2489</v>
      </c>
      <c r="AA1858" t="s">
        <v>2490</v>
      </c>
      <c r="AB1858" t="s">
        <v>96</v>
      </c>
      <c r="AC1858" t="s">
        <v>97</v>
      </c>
      <c r="AD1858" t="s">
        <v>1818</v>
      </c>
      <c r="AG1858" t="s">
        <v>2491</v>
      </c>
      <c r="AH1858">
        <v>0</v>
      </c>
      <c r="AI1858">
        <v>757</v>
      </c>
      <c r="AJ1858">
        <v>75</v>
      </c>
      <c r="AK1858">
        <v>26</v>
      </c>
      <c r="AL1858">
        <v>1</v>
      </c>
    </row>
    <row r="1859" spans="1:38" x14ac:dyDescent="0.3">
      <c r="A1859" t="s">
        <v>1813</v>
      </c>
      <c r="B1859">
        <v>110999</v>
      </c>
      <c r="C1859">
        <v>1</v>
      </c>
      <c r="D1859" t="s">
        <v>2492</v>
      </c>
      <c r="E1859" t="s">
        <v>843</v>
      </c>
      <c r="F1859">
        <v>90</v>
      </c>
      <c r="G1859">
        <v>18.72</v>
      </c>
      <c r="H1859">
        <v>61.89</v>
      </c>
      <c r="I1859">
        <v>15.02</v>
      </c>
      <c r="J1859">
        <v>49.68</v>
      </c>
      <c r="K1859">
        <v>9</v>
      </c>
      <c r="T1859">
        <v>2</v>
      </c>
      <c r="U1859">
        <v>1</v>
      </c>
      <c r="V1859" t="s">
        <v>93</v>
      </c>
      <c r="W1859">
        <v>61</v>
      </c>
      <c r="X1859">
        <v>14</v>
      </c>
      <c r="Y1859">
        <v>14</v>
      </c>
      <c r="Z1859" t="s">
        <v>2493</v>
      </c>
      <c r="AA1859" t="s">
        <v>2494</v>
      </c>
      <c r="AB1859" t="s">
        <v>96</v>
      </c>
      <c r="AC1859" t="s">
        <v>97</v>
      </c>
      <c r="AD1859" t="s">
        <v>1818</v>
      </c>
      <c r="AG1859" t="s">
        <v>2495</v>
      </c>
      <c r="AH1859">
        <v>0</v>
      </c>
      <c r="AI1859">
        <v>699</v>
      </c>
      <c r="AJ1859">
        <v>70</v>
      </c>
      <c r="AK1859">
        <v>90</v>
      </c>
      <c r="AL1859">
        <v>1</v>
      </c>
    </row>
    <row r="1860" spans="1:38" x14ac:dyDescent="0.3">
      <c r="A1860" t="s">
        <v>1813</v>
      </c>
      <c r="B1860">
        <v>110999</v>
      </c>
      <c r="C1860">
        <v>2</v>
      </c>
      <c r="D1860" t="s">
        <v>2492</v>
      </c>
      <c r="E1860" t="s">
        <v>843</v>
      </c>
      <c r="F1860">
        <v>90</v>
      </c>
      <c r="G1860">
        <v>19.84</v>
      </c>
      <c r="H1860">
        <v>65.599999999999994</v>
      </c>
      <c r="I1860">
        <v>16.079999999999998</v>
      </c>
      <c r="J1860">
        <v>53.19</v>
      </c>
      <c r="K1860">
        <v>9</v>
      </c>
      <c r="T1860">
        <v>3</v>
      </c>
      <c r="U1860">
        <v>1</v>
      </c>
      <c r="V1860" t="s">
        <v>93</v>
      </c>
      <c r="W1860">
        <v>65</v>
      </c>
      <c r="X1860">
        <v>14</v>
      </c>
      <c r="Y1860">
        <v>14</v>
      </c>
      <c r="Z1860" t="s">
        <v>2493</v>
      </c>
      <c r="AA1860" t="s">
        <v>2494</v>
      </c>
      <c r="AB1860" t="s">
        <v>96</v>
      </c>
      <c r="AC1860" t="s">
        <v>97</v>
      </c>
      <c r="AD1860" t="s">
        <v>1818</v>
      </c>
      <c r="AG1860" t="s">
        <v>2495</v>
      </c>
      <c r="AH1860">
        <v>0</v>
      </c>
      <c r="AI1860">
        <v>699</v>
      </c>
      <c r="AJ1860">
        <v>70</v>
      </c>
      <c r="AK1860">
        <v>90</v>
      </c>
      <c r="AL1860">
        <v>1</v>
      </c>
    </row>
    <row r="1861" spans="1:38" x14ac:dyDescent="0.3">
      <c r="A1861" t="s">
        <v>1813</v>
      </c>
      <c r="B1861">
        <v>110999</v>
      </c>
      <c r="C1861">
        <v>3</v>
      </c>
      <c r="D1861" t="s">
        <v>2492</v>
      </c>
      <c r="E1861" t="s">
        <v>843</v>
      </c>
      <c r="F1861">
        <v>90</v>
      </c>
      <c r="G1861">
        <v>20.93</v>
      </c>
      <c r="H1861">
        <v>69.22</v>
      </c>
      <c r="I1861">
        <v>17.02</v>
      </c>
      <c r="J1861">
        <v>56.29</v>
      </c>
      <c r="K1861">
        <v>9</v>
      </c>
      <c r="T1861">
        <v>3</v>
      </c>
      <c r="U1861">
        <v>1</v>
      </c>
      <c r="V1861" t="s">
        <v>93</v>
      </c>
      <c r="W1861" t="s">
        <v>382</v>
      </c>
      <c r="X1861">
        <v>14</v>
      </c>
      <c r="Y1861">
        <v>14</v>
      </c>
      <c r="Z1861" t="s">
        <v>2493</v>
      </c>
      <c r="AA1861" t="s">
        <v>2494</v>
      </c>
      <c r="AB1861" t="s">
        <v>96</v>
      </c>
      <c r="AC1861" t="s">
        <v>97</v>
      </c>
      <c r="AD1861" t="s">
        <v>1818</v>
      </c>
      <c r="AG1861" t="s">
        <v>2495</v>
      </c>
      <c r="AH1861">
        <v>0</v>
      </c>
      <c r="AI1861">
        <v>699</v>
      </c>
      <c r="AJ1861">
        <v>70</v>
      </c>
      <c r="AK1861">
        <v>90</v>
      </c>
      <c r="AL1861">
        <v>1</v>
      </c>
    </row>
    <row r="1862" spans="1:38" x14ac:dyDescent="0.3">
      <c r="A1862" t="s">
        <v>1813</v>
      </c>
      <c r="B1862">
        <v>110999</v>
      </c>
      <c r="C1862">
        <v>4</v>
      </c>
      <c r="D1862" t="s">
        <v>2492</v>
      </c>
      <c r="E1862" t="s">
        <v>843</v>
      </c>
      <c r="F1862">
        <v>90</v>
      </c>
      <c r="G1862">
        <v>21.02</v>
      </c>
      <c r="H1862">
        <v>69.510000000000005</v>
      </c>
      <c r="I1862">
        <v>17.34</v>
      </c>
      <c r="J1862">
        <v>57.35</v>
      </c>
      <c r="K1862">
        <v>9</v>
      </c>
      <c r="T1862">
        <v>3</v>
      </c>
      <c r="U1862">
        <v>1</v>
      </c>
      <c r="V1862" t="s">
        <v>93</v>
      </c>
      <c r="W1862" t="s">
        <v>381</v>
      </c>
      <c r="X1862">
        <v>14</v>
      </c>
      <c r="Y1862">
        <v>14</v>
      </c>
      <c r="Z1862" t="s">
        <v>2493</v>
      </c>
      <c r="AA1862" t="s">
        <v>2494</v>
      </c>
      <c r="AB1862" t="s">
        <v>96</v>
      </c>
      <c r="AC1862" t="s">
        <v>97</v>
      </c>
      <c r="AD1862" t="s">
        <v>1818</v>
      </c>
      <c r="AG1862" t="s">
        <v>2495</v>
      </c>
      <c r="AH1862">
        <v>0</v>
      </c>
      <c r="AI1862">
        <v>699</v>
      </c>
      <c r="AJ1862">
        <v>70</v>
      </c>
      <c r="AK1862">
        <v>90</v>
      </c>
      <c r="AL1862">
        <v>1</v>
      </c>
    </row>
    <row r="1863" spans="1:38" x14ac:dyDescent="0.3">
      <c r="A1863" t="s">
        <v>1813</v>
      </c>
      <c r="B1863">
        <v>110999</v>
      </c>
      <c r="C1863">
        <v>5</v>
      </c>
      <c r="D1863" t="s">
        <v>2492</v>
      </c>
      <c r="E1863" t="s">
        <v>843</v>
      </c>
      <c r="F1863">
        <v>90</v>
      </c>
      <c r="G1863">
        <v>21.09</v>
      </c>
      <c r="H1863">
        <v>69.75</v>
      </c>
      <c r="I1863">
        <v>16.72</v>
      </c>
      <c r="J1863">
        <v>55.29</v>
      </c>
      <c r="K1863">
        <v>9</v>
      </c>
      <c r="T1863">
        <v>3</v>
      </c>
      <c r="U1863">
        <v>1</v>
      </c>
      <c r="V1863" t="s">
        <v>93</v>
      </c>
      <c r="W1863" t="s">
        <v>453</v>
      </c>
      <c r="X1863">
        <v>14</v>
      </c>
      <c r="Y1863">
        <v>14</v>
      </c>
      <c r="Z1863" t="s">
        <v>2493</v>
      </c>
      <c r="AA1863" t="s">
        <v>2494</v>
      </c>
      <c r="AB1863" t="s">
        <v>96</v>
      </c>
      <c r="AC1863" t="s">
        <v>97</v>
      </c>
      <c r="AD1863" t="s">
        <v>1818</v>
      </c>
      <c r="AG1863" t="s">
        <v>2495</v>
      </c>
      <c r="AH1863">
        <v>0</v>
      </c>
      <c r="AI1863">
        <v>699</v>
      </c>
      <c r="AJ1863">
        <v>70</v>
      </c>
      <c r="AK1863">
        <v>90</v>
      </c>
      <c r="AL1863">
        <v>1</v>
      </c>
    </row>
    <row r="1864" spans="1:38" x14ac:dyDescent="0.3">
      <c r="A1864" t="s">
        <v>1813</v>
      </c>
      <c r="B1864">
        <v>110999</v>
      </c>
      <c r="C1864">
        <v>6</v>
      </c>
      <c r="D1864" t="s">
        <v>2492</v>
      </c>
      <c r="E1864" t="s">
        <v>843</v>
      </c>
      <c r="F1864">
        <v>90</v>
      </c>
      <c r="G1864">
        <v>21.76</v>
      </c>
      <c r="H1864">
        <v>71.95</v>
      </c>
      <c r="I1864">
        <v>17.03</v>
      </c>
      <c r="J1864">
        <v>56.31</v>
      </c>
      <c r="K1864">
        <v>9</v>
      </c>
      <c r="T1864">
        <v>3</v>
      </c>
      <c r="U1864">
        <v>1</v>
      </c>
      <c r="V1864" t="s">
        <v>93</v>
      </c>
      <c r="W1864" t="s">
        <v>460</v>
      </c>
      <c r="X1864">
        <v>14</v>
      </c>
      <c r="Y1864">
        <v>14</v>
      </c>
      <c r="Z1864" t="s">
        <v>2493</v>
      </c>
      <c r="AA1864" t="s">
        <v>2494</v>
      </c>
      <c r="AB1864" t="s">
        <v>96</v>
      </c>
      <c r="AC1864" t="s">
        <v>97</v>
      </c>
      <c r="AD1864" t="s">
        <v>1818</v>
      </c>
      <c r="AG1864" t="s">
        <v>2495</v>
      </c>
      <c r="AH1864">
        <v>0</v>
      </c>
      <c r="AI1864">
        <v>699</v>
      </c>
      <c r="AJ1864">
        <v>70</v>
      </c>
      <c r="AK1864">
        <v>90</v>
      </c>
      <c r="AL1864">
        <v>1</v>
      </c>
    </row>
    <row r="1865" spans="1:38" x14ac:dyDescent="0.3">
      <c r="A1865" t="s">
        <v>1813</v>
      </c>
      <c r="B1865">
        <v>110999</v>
      </c>
      <c r="C1865">
        <v>7</v>
      </c>
      <c r="D1865" t="s">
        <v>2492</v>
      </c>
      <c r="E1865" t="s">
        <v>843</v>
      </c>
      <c r="F1865">
        <v>90</v>
      </c>
      <c r="G1865">
        <v>21.77</v>
      </c>
      <c r="H1865">
        <v>71.989999999999995</v>
      </c>
      <c r="I1865">
        <v>17.04</v>
      </c>
      <c r="J1865">
        <v>56.36</v>
      </c>
      <c r="K1865">
        <v>9</v>
      </c>
      <c r="T1865">
        <v>3</v>
      </c>
      <c r="U1865">
        <v>1</v>
      </c>
      <c r="V1865" t="s">
        <v>93</v>
      </c>
      <c r="W1865" t="s">
        <v>2127</v>
      </c>
      <c r="X1865">
        <v>14</v>
      </c>
      <c r="Y1865">
        <v>14</v>
      </c>
      <c r="Z1865" t="s">
        <v>2493</v>
      </c>
      <c r="AA1865" t="s">
        <v>2494</v>
      </c>
      <c r="AB1865" t="s">
        <v>96</v>
      </c>
      <c r="AC1865" t="s">
        <v>97</v>
      </c>
      <c r="AD1865" t="s">
        <v>1818</v>
      </c>
      <c r="AG1865" t="s">
        <v>2495</v>
      </c>
      <c r="AH1865">
        <v>0</v>
      </c>
      <c r="AI1865">
        <v>699</v>
      </c>
      <c r="AJ1865">
        <v>70</v>
      </c>
      <c r="AK1865">
        <v>90</v>
      </c>
      <c r="AL1865">
        <v>1</v>
      </c>
    </row>
    <row r="1866" spans="1:38" x14ac:dyDescent="0.3">
      <c r="A1866" t="s">
        <v>1813</v>
      </c>
      <c r="B1866">
        <v>110999</v>
      </c>
      <c r="C1866">
        <v>8</v>
      </c>
      <c r="D1866" t="s">
        <v>2492</v>
      </c>
      <c r="E1866" t="s">
        <v>843</v>
      </c>
      <c r="F1866">
        <v>90</v>
      </c>
      <c r="G1866">
        <v>21.51</v>
      </c>
      <c r="H1866">
        <v>71.12</v>
      </c>
      <c r="I1866">
        <v>17.25</v>
      </c>
      <c r="J1866">
        <v>57.03</v>
      </c>
      <c r="K1866">
        <v>9</v>
      </c>
      <c r="T1866">
        <v>3</v>
      </c>
      <c r="U1866">
        <v>1</v>
      </c>
      <c r="V1866" t="s">
        <v>93</v>
      </c>
      <c r="W1866" t="s">
        <v>2496</v>
      </c>
      <c r="X1866">
        <v>14</v>
      </c>
      <c r="Y1866">
        <v>14</v>
      </c>
      <c r="Z1866" t="s">
        <v>2493</v>
      </c>
      <c r="AA1866" t="s">
        <v>2494</v>
      </c>
      <c r="AB1866" t="s">
        <v>96</v>
      </c>
      <c r="AC1866" t="s">
        <v>97</v>
      </c>
      <c r="AD1866" t="s">
        <v>1818</v>
      </c>
      <c r="AG1866" t="s">
        <v>2495</v>
      </c>
      <c r="AH1866">
        <v>0</v>
      </c>
      <c r="AI1866">
        <v>699</v>
      </c>
      <c r="AJ1866">
        <v>70</v>
      </c>
      <c r="AK1866">
        <v>90</v>
      </c>
      <c r="AL1866">
        <v>1</v>
      </c>
    </row>
    <row r="1867" spans="1:38" x14ac:dyDescent="0.3">
      <c r="A1867" t="s">
        <v>1813</v>
      </c>
      <c r="B1867">
        <v>110999</v>
      </c>
      <c r="C1867">
        <v>9</v>
      </c>
      <c r="D1867" t="s">
        <v>2492</v>
      </c>
      <c r="E1867" t="s">
        <v>843</v>
      </c>
      <c r="F1867">
        <v>90</v>
      </c>
      <c r="G1867">
        <v>22.22</v>
      </c>
      <c r="H1867">
        <v>73.459999999999994</v>
      </c>
      <c r="I1867">
        <v>17.239999999999998</v>
      </c>
      <c r="J1867">
        <v>57.02</v>
      </c>
      <c r="K1867">
        <v>9</v>
      </c>
      <c r="T1867">
        <v>3</v>
      </c>
      <c r="U1867">
        <v>1</v>
      </c>
      <c r="V1867" t="s">
        <v>93</v>
      </c>
      <c r="W1867" t="s">
        <v>903</v>
      </c>
      <c r="X1867">
        <v>14</v>
      </c>
      <c r="Y1867">
        <v>14</v>
      </c>
      <c r="Z1867" t="s">
        <v>2493</v>
      </c>
      <c r="AA1867" t="s">
        <v>2494</v>
      </c>
      <c r="AB1867" t="s">
        <v>96</v>
      </c>
      <c r="AC1867" t="s">
        <v>97</v>
      </c>
      <c r="AD1867" t="s">
        <v>1818</v>
      </c>
      <c r="AG1867" t="s">
        <v>2495</v>
      </c>
      <c r="AH1867">
        <v>0</v>
      </c>
      <c r="AI1867">
        <v>699</v>
      </c>
      <c r="AJ1867">
        <v>70</v>
      </c>
      <c r="AK1867">
        <v>90</v>
      </c>
      <c r="AL1867">
        <v>1</v>
      </c>
    </row>
    <row r="1868" spans="1:38" x14ac:dyDescent="0.3">
      <c r="A1868" t="s">
        <v>1813</v>
      </c>
      <c r="B1868">
        <v>110999</v>
      </c>
      <c r="C1868">
        <v>10</v>
      </c>
      <c r="D1868" t="s">
        <v>2492</v>
      </c>
      <c r="E1868" t="s">
        <v>843</v>
      </c>
      <c r="F1868">
        <v>90</v>
      </c>
      <c r="G1868">
        <v>22.27</v>
      </c>
      <c r="H1868">
        <v>73.64</v>
      </c>
      <c r="I1868">
        <v>17.41</v>
      </c>
      <c r="J1868">
        <v>57.56</v>
      </c>
      <c r="K1868">
        <v>9</v>
      </c>
      <c r="T1868">
        <v>3</v>
      </c>
      <c r="U1868">
        <v>1</v>
      </c>
      <c r="V1868" t="s">
        <v>93</v>
      </c>
      <c r="W1868" t="s">
        <v>2387</v>
      </c>
      <c r="X1868">
        <v>14</v>
      </c>
      <c r="Y1868">
        <v>14</v>
      </c>
      <c r="Z1868" t="s">
        <v>2493</v>
      </c>
      <c r="AA1868" t="s">
        <v>2494</v>
      </c>
      <c r="AB1868" t="s">
        <v>96</v>
      </c>
      <c r="AC1868" t="s">
        <v>97</v>
      </c>
      <c r="AD1868" t="s">
        <v>1818</v>
      </c>
      <c r="AG1868" t="s">
        <v>2495</v>
      </c>
      <c r="AH1868">
        <v>0</v>
      </c>
      <c r="AI1868">
        <v>699</v>
      </c>
      <c r="AJ1868">
        <v>70</v>
      </c>
      <c r="AK1868">
        <v>90</v>
      </c>
      <c r="AL1868">
        <v>1</v>
      </c>
    </row>
    <row r="1869" spans="1:38" x14ac:dyDescent="0.3">
      <c r="A1869" t="s">
        <v>1813</v>
      </c>
      <c r="B1869">
        <v>101817</v>
      </c>
      <c r="C1869">
        <v>1</v>
      </c>
      <c r="D1869" t="s">
        <v>2497</v>
      </c>
      <c r="E1869" t="s">
        <v>742</v>
      </c>
      <c r="F1869">
        <v>18</v>
      </c>
      <c r="G1869">
        <v>19.89</v>
      </c>
      <c r="H1869">
        <v>65.760000000000005</v>
      </c>
      <c r="I1869">
        <v>16.96</v>
      </c>
      <c r="J1869">
        <v>56.09</v>
      </c>
      <c r="K1869">
        <v>18</v>
      </c>
      <c r="T1869">
        <v>2</v>
      </c>
      <c r="U1869">
        <v>1</v>
      </c>
      <c r="V1869" t="s">
        <v>93</v>
      </c>
      <c r="W1869">
        <v>65</v>
      </c>
      <c r="X1869">
        <v>11</v>
      </c>
      <c r="Y1869">
        <v>11</v>
      </c>
      <c r="Z1869" t="s">
        <v>2498</v>
      </c>
      <c r="AA1869" t="s">
        <v>2499</v>
      </c>
      <c r="AB1869" t="s">
        <v>96</v>
      </c>
      <c r="AC1869" t="s">
        <v>97</v>
      </c>
      <c r="AD1869" t="s">
        <v>1818</v>
      </c>
      <c r="AG1869" t="s">
        <v>2500</v>
      </c>
      <c r="AH1869">
        <v>0</v>
      </c>
      <c r="AI1869">
        <v>304</v>
      </c>
      <c r="AJ1869">
        <v>40</v>
      </c>
      <c r="AK1869">
        <v>18</v>
      </c>
      <c r="AL1869">
        <v>1</v>
      </c>
    </row>
    <row r="1870" spans="1:38" x14ac:dyDescent="0.3">
      <c r="A1870" t="s">
        <v>1813</v>
      </c>
      <c r="B1870">
        <v>127784</v>
      </c>
      <c r="C1870">
        <v>1</v>
      </c>
      <c r="D1870" t="s">
        <v>2501</v>
      </c>
      <c r="E1870" t="s">
        <v>717</v>
      </c>
      <c r="F1870">
        <v>8</v>
      </c>
      <c r="G1870">
        <v>14.33</v>
      </c>
      <c r="H1870">
        <v>47.4</v>
      </c>
      <c r="I1870">
        <v>11.63</v>
      </c>
      <c r="J1870">
        <v>38.450000000000003</v>
      </c>
      <c r="K1870">
        <v>1</v>
      </c>
      <c r="T1870">
        <v>2</v>
      </c>
      <c r="U1870">
        <v>1</v>
      </c>
      <c r="V1870" t="s">
        <v>93</v>
      </c>
      <c r="W1870">
        <v>47</v>
      </c>
      <c r="X1870">
        <v>7</v>
      </c>
      <c r="Y1870">
        <v>7</v>
      </c>
      <c r="Z1870" t="s">
        <v>2502</v>
      </c>
      <c r="AA1870" t="s">
        <v>2503</v>
      </c>
      <c r="AB1870" t="s">
        <v>96</v>
      </c>
      <c r="AC1870" t="s">
        <v>97</v>
      </c>
      <c r="AD1870" t="s">
        <v>1818</v>
      </c>
      <c r="AG1870" t="s">
        <v>2504</v>
      </c>
      <c r="AH1870">
        <v>0</v>
      </c>
      <c r="AI1870">
        <v>413</v>
      </c>
      <c r="AJ1870">
        <v>79</v>
      </c>
      <c r="AK1870">
        <v>5</v>
      </c>
      <c r="AL1870">
        <v>0.62</v>
      </c>
    </row>
    <row r="1871" spans="1:38" x14ac:dyDescent="0.3">
      <c r="A1871" t="s">
        <v>1813</v>
      </c>
      <c r="B1871">
        <v>127784</v>
      </c>
      <c r="C1871">
        <v>2</v>
      </c>
      <c r="D1871" t="s">
        <v>2501</v>
      </c>
      <c r="E1871" t="s">
        <v>717</v>
      </c>
      <c r="F1871">
        <v>8</v>
      </c>
      <c r="G1871">
        <v>15.43</v>
      </c>
      <c r="H1871">
        <v>51.04</v>
      </c>
      <c r="I1871">
        <v>12.58</v>
      </c>
      <c r="J1871">
        <v>41.59</v>
      </c>
      <c r="K1871">
        <v>1</v>
      </c>
      <c r="T1871">
        <v>2</v>
      </c>
      <c r="U1871">
        <v>1</v>
      </c>
      <c r="V1871" t="s">
        <v>93</v>
      </c>
      <c r="W1871">
        <v>51</v>
      </c>
      <c r="X1871">
        <v>7</v>
      </c>
      <c r="Y1871">
        <v>7</v>
      </c>
      <c r="Z1871" t="s">
        <v>2502</v>
      </c>
      <c r="AA1871" t="s">
        <v>2503</v>
      </c>
      <c r="AB1871" t="s">
        <v>96</v>
      </c>
      <c r="AC1871" t="s">
        <v>97</v>
      </c>
      <c r="AD1871" t="s">
        <v>1818</v>
      </c>
      <c r="AG1871" t="s">
        <v>2504</v>
      </c>
      <c r="AH1871">
        <v>0</v>
      </c>
      <c r="AI1871">
        <v>413</v>
      </c>
      <c r="AJ1871">
        <v>79</v>
      </c>
      <c r="AK1871">
        <v>5</v>
      </c>
      <c r="AL1871">
        <v>0.62</v>
      </c>
    </row>
    <row r="1872" spans="1:38" x14ac:dyDescent="0.3">
      <c r="A1872" t="s">
        <v>1813</v>
      </c>
      <c r="B1872">
        <v>127784</v>
      </c>
      <c r="C1872">
        <v>3</v>
      </c>
      <c r="D1872" t="s">
        <v>2501</v>
      </c>
      <c r="E1872" t="s">
        <v>717</v>
      </c>
      <c r="F1872">
        <v>8</v>
      </c>
      <c r="G1872">
        <v>17.46</v>
      </c>
      <c r="H1872">
        <v>57.73</v>
      </c>
      <c r="I1872">
        <v>14.19</v>
      </c>
      <c r="J1872">
        <v>46.91</v>
      </c>
      <c r="K1872">
        <v>3</v>
      </c>
      <c r="T1872">
        <v>2</v>
      </c>
      <c r="U1872">
        <v>1</v>
      </c>
      <c r="V1872" t="s">
        <v>93</v>
      </c>
      <c r="W1872" t="s">
        <v>353</v>
      </c>
      <c r="X1872">
        <v>7</v>
      </c>
      <c r="Y1872">
        <v>7</v>
      </c>
      <c r="Z1872" t="s">
        <v>2502</v>
      </c>
      <c r="AA1872" t="s">
        <v>2503</v>
      </c>
      <c r="AB1872" t="s">
        <v>96</v>
      </c>
      <c r="AC1872" t="s">
        <v>97</v>
      </c>
      <c r="AD1872" t="s">
        <v>1818</v>
      </c>
      <c r="AG1872" t="s">
        <v>2504</v>
      </c>
      <c r="AH1872">
        <v>0</v>
      </c>
      <c r="AI1872">
        <v>413</v>
      </c>
      <c r="AJ1872">
        <v>79</v>
      </c>
      <c r="AK1872">
        <v>5</v>
      </c>
      <c r="AL1872">
        <v>0.62</v>
      </c>
    </row>
    <row r="1873" spans="1:38" x14ac:dyDescent="0.3">
      <c r="A1873" t="s">
        <v>1813</v>
      </c>
      <c r="B1873">
        <v>127784</v>
      </c>
      <c r="C1873">
        <v>4</v>
      </c>
      <c r="D1873" t="s">
        <v>2501</v>
      </c>
      <c r="E1873" t="s">
        <v>717</v>
      </c>
      <c r="F1873">
        <v>8</v>
      </c>
      <c r="G1873">
        <v>17.47</v>
      </c>
      <c r="H1873">
        <v>57.78</v>
      </c>
      <c r="I1873">
        <v>14.28</v>
      </c>
      <c r="J1873">
        <v>47.21</v>
      </c>
      <c r="K1873">
        <v>3</v>
      </c>
      <c r="T1873">
        <v>2</v>
      </c>
      <c r="U1873">
        <v>1</v>
      </c>
      <c r="V1873" t="s">
        <v>93</v>
      </c>
      <c r="W1873" t="s">
        <v>349</v>
      </c>
      <c r="X1873">
        <v>7</v>
      </c>
      <c r="Y1873">
        <v>7</v>
      </c>
      <c r="Z1873" t="s">
        <v>2502</v>
      </c>
      <c r="AA1873" t="s">
        <v>2503</v>
      </c>
      <c r="AB1873" t="s">
        <v>96</v>
      </c>
      <c r="AC1873" t="s">
        <v>97</v>
      </c>
      <c r="AD1873" t="s">
        <v>1818</v>
      </c>
      <c r="AG1873" t="s">
        <v>2504</v>
      </c>
      <c r="AH1873">
        <v>0</v>
      </c>
      <c r="AI1873">
        <v>413</v>
      </c>
      <c r="AJ1873">
        <v>79</v>
      </c>
      <c r="AK1873">
        <v>5</v>
      </c>
      <c r="AL1873">
        <v>0.62</v>
      </c>
    </row>
    <row r="1874" spans="1:38" x14ac:dyDescent="0.3">
      <c r="A1874" t="s">
        <v>1813</v>
      </c>
      <c r="B1874">
        <v>10475</v>
      </c>
      <c r="C1874">
        <v>1</v>
      </c>
      <c r="D1874" t="s">
        <v>2505</v>
      </c>
      <c r="E1874" t="s">
        <v>993</v>
      </c>
      <c r="F1874">
        <v>140</v>
      </c>
      <c r="G1874">
        <v>14.67</v>
      </c>
      <c r="H1874">
        <v>48.51</v>
      </c>
      <c r="I1874">
        <v>14.67</v>
      </c>
      <c r="J1874">
        <v>48.51</v>
      </c>
      <c r="K1874">
        <v>60</v>
      </c>
      <c r="T1874">
        <v>2</v>
      </c>
      <c r="U1874">
        <v>1</v>
      </c>
      <c r="V1874" t="s">
        <v>93</v>
      </c>
      <c r="W1874" t="s">
        <v>2506</v>
      </c>
      <c r="X1874">
        <v>5</v>
      </c>
      <c r="Y1874">
        <v>5</v>
      </c>
      <c r="Z1874" t="s">
        <v>2507</v>
      </c>
      <c r="AA1874" t="s">
        <v>2508</v>
      </c>
      <c r="AB1874" t="s">
        <v>96</v>
      </c>
      <c r="AC1874" t="s">
        <v>97</v>
      </c>
      <c r="AD1874" t="s">
        <v>1818</v>
      </c>
      <c r="AG1874" t="s">
        <v>2509</v>
      </c>
      <c r="AH1874">
        <v>0</v>
      </c>
      <c r="AI1874">
        <v>176</v>
      </c>
      <c r="AJ1874">
        <v>37</v>
      </c>
      <c r="AK1874">
        <v>160</v>
      </c>
      <c r="AL1874">
        <v>1.1399999999999999</v>
      </c>
    </row>
    <row r="1875" spans="1:38" x14ac:dyDescent="0.3">
      <c r="A1875" t="s">
        <v>1813</v>
      </c>
      <c r="B1875">
        <v>10475</v>
      </c>
      <c r="C1875">
        <v>2</v>
      </c>
      <c r="D1875" t="s">
        <v>2505</v>
      </c>
      <c r="E1875" t="s">
        <v>993</v>
      </c>
      <c r="F1875">
        <v>140</v>
      </c>
      <c r="G1875">
        <v>15.23</v>
      </c>
      <c r="H1875">
        <v>50.38</v>
      </c>
      <c r="I1875">
        <v>15.23</v>
      </c>
      <c r="J1875">
        <v>50.38</v>
      </c>
      <c r="K1875">
        <v>60</v>
      </c>
      <c r="T1875">
        <v>2</v>
      </c>
      <c r="U1875">
        <v>1</v>
      </c>
      <c r="V1875" t="s">
        <v>93</v>
      </c>
      <c r="W1875" t="s">
        <v>250</v>
      </c>
      <c r="X1875">
        <v>5</v>
      </c>
      <c r="Y1875">
        <v>5</v>
      </c>
      <c r="Z1875" t="s">
        <v>2507</v>
      </c>
      <c r="AA1875" t="s">
        <v>2508</v>
      </c>
      <c r="AB1875" t="s">
        <v>96</v>
      </c>
      <c r="AC1875" t="s">
        <v>97</v>
      </c>
      <c r="AD1875" t="s">
        <v>1818</v>
      </c>
      <c r="AG1875" t="s">
        <v>2509</v>
      </c>
      <c r="AH1875">
        <v>0</v>
      </c>
      <c r="AI1875">
        <v>176</v>
      </c>
      <c r="AJ1875">
        <v>37</v>
      </c>
      <c r="AK1875">
        <v>160</v>
      </c>
      <c r="AL1875">
        <v>1.1399999999999999</v>
      </c>
    </row>
    <row r="1876" spans="1:38" x14ac:dyDescent="0.3">
      <c r="A1876" t="s">
        <v>1813</v>
      </c>
      <c r="B1876">
        <v>10475</v>
      </c>
      <c r="C1876">
        <v>3</v>
      </c>
      <c r="D1876" t="s">
        <v>2505</v>
      </c>
      <c r="E1876" t="s">
        <v>993</v>
      </c>
      <c r="F1876">
        <v>140</v>
      </c>
      <c r="G1876">
        <v>22.21</v>
      </c>
      <c r="H1876">
        <v>73.44</v>
      </c>
      <c r="I1876">
        <v>22.21</v>
      </c>
      <c r="J1876">
        <v>73.44</v>
      </c>
      <c r="K1876">
        <v>15</v>
      </c>
      <c r="T1876">
        <v>3</v>
      </c>
      <c r="U1876">
        <v>1</v>
      </c>
      <c r="V1876" t="s">
        <v>211</v>
      </c>
      <c r="W1876">
        <v>73</v>
      </c>
      <c r="X1876">
        <v>5</v>
      </c>
      <c r="Y1876">
        <v>5</v>
      </c>
      <c r="Z1876" t="s">
        <v>2507</v>
      </c>
      <c r="AA1876" t="s">
        <v>2508</v>
      </c>
      <c r="AB1876" t="s">
        <v>96</v>
      </c>
      <c r="AC1876" t="s">
        <v>97</v>
      </c>
      <c r="AD1876" t="s">
        <v>1818</v>
      </c>
      <c r="AG1876" t="s">
        <v>2509</v>
      </c>
      <c r="AH1876">
        <v>0</v>
      </c>
      <c r="AI1876">
        <v>176</v>
      </c>
      <c r="AJ1876">
        <v>37</v>
      </c>
      <c r="AK1876">
        <v>160</v>
      </c>
      <c r="AL1876">
        <v>1.1399999999999999</v>
      </c>
    </row>
    <row r="1877" spans="1:38" x14ac:dyDescent="0.3">
      <c r="A1877" t="s">
        <v>1813</v>
      </c>
      <c r="B1877">
        <v>10475</v>
      </c>
      <c r="C1877">
        <v>4</v>
      </c>
      <c r="D1877" t="s">
        <v>2505</v>
      </c>
      <c r="E1877" t="s">
        <v>993</v>
      </c>
      <c r="F1877">
        <v>140</v>
      </c>
      <c r="G1877">
        <v>23.28</v>
      </c>
      <c r="H1877">
        <v>76.959999999999994</v>
      </c>
      <c r="I1877">
        <v>23.28</v>
      </c>
      <c r="J1877">
        <v>76.959999999999994</v>
      </c>
      <c r="K1877">
        <v>5</v>
      </c>
      <c r="T1877">
        <v>3</v>
      </c>
      <c r="U1877">
        <v>1</v>
      </c>
      <c r="V1877" t="s">
        <v>93</v>
      </c>
      <c r="W1877">
        <v>76</v>
      </c>
      <c r="X1877">
        <v>5</v>
      </c>
      <c r="Y1877">
        <v>5</v>
      </c>
      <c r="Z1877" t="s">
        <v>2507</v>
      </c>
      <c r="AA1877" t="s">
        <v>2508</v>
      </c>
      <c r="AB1877" t="s">
        <v>96</v>
      </c>
      <c r="AC1877" t="s">
        <v>97</v>
      </c>
      <c r="AD1877" t="s">
        <v>1818</v>
      </c>
      <c r="AG1877" t="s">
        <v>2509</v>
      </c>
      <c r="AH1877">
        <v>0</v>
      </c>
      <c r="AI1877">
        <v>176</v>
      </c>
      <c r="AJ1877">
        <v>37</v>
      </c>
      <c r="AK1877">
        <v>160</v>
      </c>
      <c r="AL1877">
        <v>1.1399999999999999</v>
      </c>
    </row>
    <row r="1878" spans="1:38" x14ac:dyDescent="0.3">
      <c r="A1878" t="s">
        <v>1813</v>
      </c>
      <c r="B1878">
        <v>10690</v>
      </c>
      <c r="C1878">
        <v>1</v>
      </c>
      <c r="D1878" t="s">
        <v>2510</v>
      </c>
      <c r="E1878" t="s">
        <v>269</v>
      </c>
      <c r="F1878">
        <v>443</v>
      </c>
      <c r="G1878">
        <v>26.48</v>
      </c>
      <c r="H1878">
        <v>87.55</v>
      </c>
      <c r="I1878">
        <v>20.170000000000002</v>
      </c>
      <c r="J1878">
        <v>66.7</v>
      </c>
      <c r="K1878">
        <v>170</v>
      </c>
      <c r="T1878">
        <v>3</v>
      </c>
      <c r="U1878">
        <v>1</v>
      </c>
      <c r="V1878" t="s">
        <v>93</v>
      </c>
      <c r="W1878">
        <v>87</v>
      </c>
      <c r="X1878">
        <v>20</v>
      </c>
      <c r="Y1878">
        <v>14</v>
      </c>
      <c r="Z1878" t="s">
        <v>2511</v>
      </c>
      <c r="AA1878" t="s">
        <v>2512</v>
      </c>
      <c r="AB1878" t="s">
        <v>96</v>
      </c>
      <c r="AC1878" t="s">
        <v>97</v>
      </c>
      <c r="AD1878" t="s">
        <v>1818</v>
      </c>
      <c r="AG1878" t="s">
        <v>2513</v>
      </c>
      <c r="AH1878">
        <v>0</v>
      </c>
      <c r="AI1878">
        <v>349</v>
      </c>
      <c r="AJ1878">
        <v>24</v>
      </c>
      <c r="AK1878">
        <v>450</v>
      </c>
      <c r="AL1878">
        <v>1.02</v>
      </c>
    </row>
    <row r="1879" spans="1:38" x14ac:dyDescent="0.3">
      <c r="A1879" t="s">
        <v>1813</v>
      </c>
      <c r="B1879">
        <v>10690</v>
      </c>
      <c r="C1879">
        <v>2</v>
      </c>
      <c r="D1879" t="s">
        <v>2510</v>
      </c>
      <c r="E1879" t="s">
        <v>269</v>
      </c>
      <c r="F1879">
        <v>443</v>
      </c>
      <c r="G1879">
        <v>30.06</v>
      </c>
      <c r="H1879">
        <v>99.4</v>
      </c>
      <c r="I1879">
        <v>23.83</v>
      </c>
      <c r="J1879">
        <v>78.78</v>
      </c>
      <c r="K1879">
        <v>159</v>
      </c>
      <c r="T1879">
        <v>3</v>
      </c>
      <c r="U1879">
        <v>2</v>
      </c>
      <c r="V1879" t="s">
        <v>93</v>
      </c>
      <c r="W1879">
        <v>99</v>
      </c>
      <c r="X1879">
        <v>20</v>
      </c>
      <c r="Y1879">
        <v>14</v>
      </c>
      <c r="Z1879" t="s">
        <v>2511</v>
      </c>
      <c r="AA1879" t="s">
        <v>2512</v>
      </c>
      <c r="AB1879" t="s">
        <v>96</v>
      </c>
      <c r="AC1879" t="s">
        <v>97</v>
      </c>
      <c r="AD1879" t="s">
        <v>1818</v>
      </c>
      <c r="AG1879" t="s">
        <v>2513</v>
      </c>
      <c r="AH1879">
        <v>0</v>
      </c>
      <c r="AI1879">
        <v>349</v>
      </c>
      <c r="AJ1879">
        <v>24</v>
      </c>
      <c r="AK1879">
        <v>450</v>
      </c>
      <c r="AL1879">
        <v>1.02</v>
      </c>
    </row>
    <row r="1880" spans="1:38" x14ac:dyDescent="0.3">
      <c r="A1880" t="s">
        <v>1813</v>
      </c>
      <c r="B1880">
        <v>10690</v>
      </c>
      <c r="C1880">
        <v>3</v>
      </c>
      <c r="D1880" t="s">
        <v>2510</v>
      </c>
      <c r="E1880" t="s">
        <v>269</v>
      </c>
      <c r="F1880">
        <v>443</v>
      </c>
      <c r="G1880">
        <v>36.64</v>
      </c>
      <c r="H1880">
        <v>121.13</v>
      </c>
      <c r="I1880">
        <v>28.05</v>
      </c>
      <c r="J1880">
        <v>92.75</v>
      </c>
      <c r="K1880">
        <v>76</v>
      </c>
      <c r="T1880">
        <v>3</v>
      </c>
      <c r="U1880">
        <v>2</v>
      </c>
      <c r="V1880" t="s">
        <v>93</v>
      </c>
      <c r="W1880">
        <v>121</v>
      </c>
      <c r="X1880">
        <v>20</v>
      </c>
      <c r="Y1880">
        <v>14</v>
      </c>
      <c r="Z1880" t="s">
        <v>2511</v>
      </c>
      <c r="AA1880" t="s">
        <v>2512</v>
      </c>
      <c r="AB1880" t="s">
        <v>96</v>
      </c>
      <c r="AC1880" t="s">
        <v>97</v>
      </c>
      <c r="AD1880" t="s">
        <v>1818</v>
      </c>
      <c r="AG1880" t="s">
        <v>2513</v>
      </c>
      <c r="AH1880">
        <v>0</v>
      </c>
      <c r="AI1880">
        <v>349</v>
      </c>
      <c r="AJ1880">
        <v>24</v>
      </c>
      <c r="AK1880">
        <v>450</v>
      </c>
      <c r="AL1880">
        <v>1.02</v>
      </c>
    </row>
    <row r="1881" spans="1:38" x14ac:dyDescent="0.3">
      <c r="A1881" t="s">
        <v>1813</v>
      </c>
      <c r="B1881">
        <v>10690</v>
      </c>
      <c r="C1881">
        <v>4</v>
      </c>
      <c r="D1881" t="s">
        <v>2510</v>
      </c>
      <c r="E1881" t="s">
        <v>269</v>
      </c>
      <c r="F1881">
        <v>443</v>
      </c>
      <c r="G1881">
        <v>41.37</v>
      </c>
      <c r="H1881">
        <v>136.77000000000001</v>
      </c>
      <c r="I1881">
        <v>34.770000000000003</v>
      </c>
      <c r="J1881">
        <v>114.96</v>
      </c>
      <c r="K1881">
        <v>38</v>
      </c>
      <c r="T1881">
        <v>4</v>
      </c>
      <c r="U1881">
        <v>2</v>
      </c>
      <c r="V1881" t="s">
        <v>93</v>
      </c>
      <c r="W1881">
        <v>136</v>
      </c>
      <c r="X1881">
        <v>20</v>
      </c>
      <c r="Y1881">
        <v>14</v>
      </c>
      <c r="Z1881" t="s">
        <v>2511</v>
      </c>
      <c r="AA1881" t="s">
        <v>2512</v>
      </c>
      <c r="AB1881" t="s">
        <v>96</v>
      </c>
      <c r="AC1881" t="s">
        <v>97</v>
      </c>
      <c r="AD1881" t="s">
        <v>1818</v>
      </c>
      <c r="AG1881" t="s">
        <v>2513</v>
      </c>
      <c r="AH1881">
        <v>0</v>
      </c>
      <c r="AI1881">
        <v>349</v>
      </c>
      <c r="AJ1881">
        <v>24</v>
      </c>
      <c r="AK1881">
        <v>450</v>
      </c>
      <c r="AL1881">
        <v>1.02</v>
      </c>
    </row>
    <row r="1882" spans="1:38" x14ac:dyDescent="0.3">
      <c r="A1882" t="s">
        <v>1813</v>
      </c>
      <c r="B1882">
        <v>114266</v>
      </c>
      <c r="C1882">
        <v>1</v>
      </c>
      <c r="D1882" t="s">
        <v>2514</v>
      </c>
      <c r="E1882" t="s">
        <v>717</v>
      </c>
      <c r="F1882">
        <v>35</v>
      </c>
      <c r="G1882">
        <v>22.58</v>
      </c>
      <c r="H1882">
        <v>74.66</v>
      </c>
      <c r="I1882">
        <v>17.32</v>
      </c>
      <c r="J1882">
        <v>57.28</v>
      </c>
      <c r="K1882">
        <v>1</v>
      </c>
      <c r="T1882">
        <v>3</v>
      </c>
      <c r="U1882">
        <v>1</v>
      </c>
      <c r="V1882" t="s">
        <v>93</v>
      </c>
      <c r="W1882">
        <v>74</v>
      </c>
      <c r="X1882">
        <v>14</v>
      </c>
      <c r="Y1882">
        <v>13</v>
      </c>
      <c r="Z1882" t="s">
        <v>2515</v>
      </c>
      <c r="AA1882" t="s">
        <v>2516</v>
      </c>
      <c r="AB1882" t="s">
        <v>96</v>
      </c>
      <c r="AC1882" t="s">
        <v>97</v>
      </c>
      <c r="AD1882" t="s">
        <v>1818</v>
      </c>
      <c r="AG1882" t="s">
        <v>2517</v>
      </c>
      <c r="AH1882">
        <v>0</v>
      </c>
      <c r="AI1882">
        <v>628</v>
      </c>
      <c r="AJ1882">
        <v>78</v>
      </c>
      <c r="AK1882">
        <v>36</v>
      </c>
      <c r="AL1882">
        <v>1.03</v>
      </c>
    </row>
    <row r="1883" spans="1:38" x14ac:dyDescent="0.3">
      <c r="A1883" t="s">
        <v>1813</v>
      </c>
      <c r="B1883">
        <v>114266</v>
      </c>
      <c r="C1883">
        <v>2</v>
      </c>
      <c r="D1883" t="s">
        <v>2514</v>
      </c>
      <c r="E1883" t="s">
        <v>717</v>
      </c>
      <c r="F1883">
        <v>35</v>
      </c>
      <c r="G1883">
        <v>23.51</v>
      </c>
      <c r="H1883">
        <v>77.73</v>
      </c>
      <c r="I1883">
        <v>18.11</v>
      </c>
      <c r="J1883">
        <v>59.89</v>
      </c>
      <c r="K1883">
        <v>9</v>
      </c>
      <c r="T1883">
        <v>3</v>
      </c>
      <c r="U1883">
        <v>1</v>
      </c>
      <c r="V1883" t="s">
        <v>93</v>
      </c>
      <c r="W1883" t="s">
        <v>1176</v>
      </c>
      <c r="X1883">
        <v>14</v>
      </c>
      <c r="Y1883">
        <v>13</v>
      </c>
      <c r="Z1883" t="s">
        <v>2515</v>
      </c>
      <c r="AA1883" t="s">
        <v>2516</v>
      </c>
      <c r="AB1883" t="s">
        <v>96</v>
      </c>
      <c r="AC1883" t="s">
        <v>97</v>
      </c>
      <c r="AD1883" t="s">
        <v>1818</v>
      </c>
      <c r="AG1883" t="s">
        <v>2517</v>
      </c>
      <c r="AH1883">
        <v>0</v>
      </c>
      <c r="AI1883">
        <v>628</v>
      </c>
      <c r="AJ1883">
        <v>78</v>
      </c>
      <c r="AK1883">
        <v>36</v>
      </c>
      <c r="AL1883">
        <v>1.03</v>
      </c>
    </row>
    <row r="1884" spans="1:38" x14ac:dyDescent="0.3">
      <c r="A1884" t="s">
        <v>1813</v>
      </c>
      <c r="B1884">
        <v>114266</v>
      </c>
      <c r="C1884">
        <v>3</v>
      </c>
      <c r="D1884" t="s">
        <v>2514</v>
      </c>
      <c r="E1884" t="s">
        <v>717</v>
      </c>
      <c r="F1884">
        <v>35</v>
      </c>
      <c r="G1884">
        <v>23.51</v>
      </c>
      <c r="H1884">
        <v>77.73</v>
      </c>
      <c r="I1884">
        <v>18.11</v>
      </c>
      <c r="J1884">
        <v>59.88</v>
      </c>
      <c r="K1884">
        <v>7</v>
      </c>
      <c r="T1884">
        <v>3</v>
      </c>
      <c r="U1884">
        <v>1</v>
      </c>
      <c r="V1884" t="s">
        <v>93</v>
      </c>
      <c r="W1884" t="s">
        <v>948</v>
      </c>
      <c r="X1884">
        <v>14</v>
      </c>
      <c r="Y1884">
        <v>13</v>
      </c>
      <c r="Z1884" t="s">
        <v>2515</v>
      </c>
      <c r="AA1884" t="s">
        <v>2516</v>
      </c>
      <c r="AB1884" t="s">
        <v>96</v>
      </c>
      <c r="AC1884" t="s">
        <v>97</v>
      </c>
      <c r="AD1884" t="s">
        <v>1818</v>
      </c>
      <c r="AG1884" t="s">
        <v>2517</v>
      </c>
      <c r="AH1884">
        <v>0</v>
      </c>
      <c r="AI1884">
        <v>628</v>
      </c>
      <c r="AJ1884">
        <v>78</v>
      </c>
      <c r="AK1884">
        <v>36</v>
      </c>
      <c r="AL1884">
        <v>1.03</v>
      </c>
    </row>
    <row r="1885" spans="1:38" x14ac:dyDescent="0.3">
      <c r="A1885" t="s">
        <v>1813</v>
      </c>
      <c r="B1885">
        <v>114266</v>
      </c>
      <c r="C1885">
        <v>4</v>
      </c>
      <c r="D1885" t="s">
        <v>2514</v>
      </c>
      <c r="E1885" t="s">
        <v>717</v>
      </c>
      <c r="F1885">
        <v>35</v>
      </c>
      <c r="G1885">
        <v>23.58</v>
      </c>
      <c r="H1885">
        <v>77.959999999999994</v>
      </c>
      <c r="I1885">
        <v>18.12</v>
      </c>
      <c r="J1885">
        <v>59.91</v>
      </c>
      <c r="K1885">
        <v>7</v>
      </c>
      <c r="T1885">
        <v>3</v>
      </c>
      <c r="U1885">
        <v>1</v>
      </c>
      <c r="V1885" t="s">
        <v>93</v>
      </c>
      <c r="W1885" t="s">
        <v>1127</v>
      </c>
      <c r="X1885">
        <v>14</v>
      </c>
      <c r="Y1885">
        <v>13</v>
      </c>
      <c r="Z1885" t="s">
        <v>2515</v>
      </c>
      <c r="AA1885" t="s">
        <v>2516</v>
      </c>
      <c r="AB1885" t="s">
        <v>96</v>
      </c>
      <c r="AC1885" t="s">
        <v>97</v>
      </c>
      <c r="AD1885" t="s">
        <v>1818</v>
      </c>
      <c r="AG1885" t="s">
        <v>2517</v>
      </c>
      <c r="AH1885">
        <v>0</v>
      </c>
      <c r="AI1885">
        <v>628</v>
      </c>
      <c r="AJ1885">
        <v>78</v>
      </c>
      <c r="AK1885">
        <v>36</v>
      </c>
      <c r="AL1885">
        <v>1.03</v>
      </c>
    </row>
    <row r="1886" spans="1:38" x14ac:dyDescent="0.3">
      <c r="A1886" t="s">
        <v>1813</v>
      </c>
      <c r="B1886">
        <v>114266</v>
      </c>
      <c r="C1886">
        <v>5</v>
      </c>
      <c r="D1886" t="s">
        <v>2514</v>
      </c>
      <c r="E1886" t="s">
        <v>717</v>
      </c>
      <c r="F1886">
        <v>35</v>
      </c>
      <c r="G1886">
        <v>23.54</v>
      </c>
      <c r="H1886">
        <v>77.83</v>
      </c>
      <c r="I1886">
        <v>18.13</v>
      </c>
      <c r="J1886">
        <v>59.94</v>
      </c>
      <c r="K1886">
        <v>1</v>
      </c>
      <c r="T1886">
        <v>3</v>
      </c>
      <c r="U1886">
        <v>1</v>
      </c>
      <c r="V1886" t="s">
        <v>93</v>
      </c>
      <c r="W1886" t="s">
        <v>1526</v>
      </c>
      <c r="X1886">
        <v>14</v>
      </c>
      <c r="Y1886">
        <v>13</v>
      </c>
      <c r="Z1886" t="s">
        <v>2515</v>
      </c>
      <c r="AA1886" t="s">
        <v>2516</v>
      </c>
      <c r="AB1886" t="s">
        <v>96</v>
      </c>
      <c r="AC1886" t="s">
        <v>97</v>
      </c>
      <c r="AD1886" t="s">
        <v>1818</v>
      </c>
      <c r="AG1886" t="s">
        <v>2517</v>
      </c>
      <c r="AH1886">
        <v>0</v>
      </c>
      <c r="AI1886">
        <v>628</v>
      </c>
      <c r="AJ1886">
        <v>78</v>
      </c>
      <c r="AK1886">
        <v>36</v>
      </c>
      <c r="AL1886">
        <v>1.03</v>
      </c>
    </row>
    <row r="1887" spans="1:38" x14ac:dyDescent="0.3">
      <c r="A1887" t="s">
        <v>1813</v>
      </c>
      <c r="B1887">
        <v>114266</v>
      </c>
      <c r="C1887">
        <v>6</v>
      </c>
      <c r="D1887" t="s">
        <v>2514</v>
      </c>
      <c r="E1887" t="s">
        <v>717</v>
      </c>
      <c r="F1887">
        <v>35</v>
      </c>
      <c r="G1887">
        <v>26.98</v>
      </c>
      <c r="H1887">
        <v>89.22</v>
      </c>
      <c r="I1887">
        <v>20.51</v>
      </c>
      <c r="J1887">
        <v>67.819999999999993</v>
      </c>
      <c r="K1887">
        <v>9</v>
      </c>
      <c r="T1887">
        <v>3</v>
      </c>
      <c r="U1887">
        <v>2</v>
      </c>
      <c r="V1887" t="s">
        <v>93</v>
      </c>
      <c r="W1887">
        <v>89</v>
      </c>
      <c r="X1887">
        <v>14</v>
      </c>
      <c r="Y1887">
        <v>13</v>
      </c>
      <c r="Z1887" t="s">
        <v>2515</v>
      </c>
      <c r="AA1887" t="s">
        <v>2516</v>
      </c>
      <c r="AB1887" t="s">
        <v>96</v>
      </c>
      <c r="AC1887" t="s">
        <v>97</v>
      </c>
      <c r="AD1887" t="s">
        <v>1818</v>
      </c>
      <c r="AG1887" t="s">
        <v>2517</v>
      </c>
      <c r="AH1887">
        <v>0</v>
      </c>
      <c r="AI1887">
        <v>628</v>
      </c>
      <c r="AJ1887">
        <v>78</v>
      </c>
      <c r="AK1887">
        <v>36</v>
      </c>
      <c r="AL1887">
        <v>1.03</v>
      </c>
    </row>
    <row r="1888" spans="1:38" x14ac:dyDescent="0.3">
      <c r="A1888" t="s">
        <v>1813</v>
      </c>
      <c r="B1888">
        <v>114266</v>
      </c>
      <c r="C1888">
        <v>7</v>
      </c>
      <c r="D1888" t="s">
        <v>2514</v>
      </c>
      <c r="E1888" t="s">
        <v>717</v>
      </c>
      <c r="F1888">
        <v>35</v>
      </c>
      <c r="G1888">
        <v>30.92</v>
      </c>
      <c r="H1888">
        <v>102.22</v>
      </c>
      <c r="I1888">
        <v>23.85</v>
      </c>
      <c r="J1888">
        <v>78.849999999999994</v>
      </c>
      <c r="K1888">
        <v>1</v>
      </c>
      <c r="T1888">
        <v>3</v>
      </c>
      <c r="U1888">
        <v>2</v>
      </c>
      <c r="V1888" t="s">
        <v>93</v>
      </c>
      <c r="W1888">
        <v>102</v>
      </c>
      <c r="X1888">
        <v>14</v>
      </c>
      <c r="Y1888">
        <v>13</v>
      </c>
      <c r="Z1888" t="s">
        <v>2515</v>
      </c>
      <c r="AA1888" t="s">
        <v>2516</v>
      </c>
      <c r="AB1888" t="s">
        <v>96</v>
      </c>
      <c r="AC1888" t="s">
        <v>97</v>
      </c>
      <c r="AD1888" t="s">
        <v>1818</v>
      </c>
      <c r="AG1888" t="s">
        <v>2517</v>
      </c>
      <c r="AH1888">
        <v>0</v>
      </c>
      <c r="AI1888">
        <v>628</v>
      </c>
      <c r="AJ1888">
        <v>78</v>
      </c>
      <c r="AK1888">
        <v>36</v>
      </c>
      <c r="AL1888">
        <v>1.03</v>
      </c>
    </row>
    <row r="1889" spans="1:38" x14ac:dyDescent="0.3">
      <c r="A1889" t="s">
        <v>1813</v>
      </c>
      <c r="B1889">
        <v>115091</v>
      </c>
      <c r="C1889">
        <v>1</v>
      </c>
      <c r="D1889" t="s">
        <v>2518</v>
      </c>
      <c r="E1889" t="s">
        <v>391</v>
      </c>
      <c r="F1889">
        <v>12</v>
      </c>
      <c r="G1889">
        <v>20.47</v>
      </c>
      <c r="H1889">
        <v>67.69</v>
      </c>
      <c r="I1889">
        <v>18.02</v>
      </c>
      <c r="J1889">
        <v>59.59</v>
      </c>
      <c r="K1889">
        <v>4</v>
      </c>
      <c r="T1889">
        <v>3</v>
      </c>
      <c r="U1889">
        <v>2</v>
      </c>
      <c r="V1889" t="s">
        <v>93</v>
      </c>
      <c r="W1889">
        <v>67</v>
      </c>
      <c r="X1889">
        <v>14</v>
      </c>
      <c r="Y1889">
        <v>14</v>
      </c>
      <c r="Z1889" t="s">
        <v>2519</v>
      </c>
      <c r="AA1889" t="s">
        <v>2520</v>
      </c>
      <c r="AB1889" t="s">
        <v>96</v>
      </c>
      <c r="AC1889" t="s">
        <v>97</v>
      </c>
      <c r="AD1889" t="s">
        <v>1818</v>
      </c>
      <c r="AG1889" t="s">
        <v>2521</v>
      </c>
      <c r="AH1889">
        <v>0</v>
      </c>
      <c r="AI1889">
        <v>856</v>
      </c>
      <c r="AJ1889">
        <v>79</v>
      </c>
      <c r="AK1889">
        <v>10</v>
      </c>
      <c r="AL1889">
        <v>0.83</v>
      </c>
    </row>
    <row r="1890" spans="1:38" x14ac:dyDescent="0.3">
      <c r="A1890" t="s">
        <v>1813</v>
      </c>
      <c r="B1890">
        <v>115091</v>
      </c>
      <c r="C1890">
        <v>2</v>
      </c>
      <c r="D1890" t="s">
        <v>2518</v>
      </c>
      <c r="E1890" t="s">
        <v>391</v>
      </c>
      <c r="F1890">
        <v>12</v>
      </c>
      <c r="G1890">
        <v>23.48</v>
      </c>
      <c r="H1890">
        <v>77.63</v>
      </c>
      <c r="I1890">
        <v>20.81</v>
      </c>
      <c r="J1890">
        <v>68.819999999999993</v>
      </c>
      <c r="K1890">
        <v>4</v>
      </c>
      <c r="T1890">
        <v>3</v>
      </c>
      <c r="U1890">
        <v>2</v>
      </c>
      <c r="V1890" t="s">
        <v>93</v>
      </c>
      <c r="W1890">
        <v>77</v>
      </c>
      <c r="X1890">
        <v>14</v>
      </c>
      <c r="Y1890">
        <v>14</v>
      </c>
      <c r="Z1890" t="s">
        <v>2519</v>
      </c>
      <c r="AA1890" t="s">
        <v>2520</v>
      </c>
      <c r="AB1890" t="s">
        <v>96</v>
      </c>
      <c r="AC1890" t="s">
        <v>97</v>
      </c>
      <c r="AD1890" t="s">
        <v>1818</v>
      </c>
      <c r="AG1890" t="s">
        <v>2521</v>
      </c>
      <c r="AH1890">
        <v>0</v>
      </c>
      <c r="AI1890">
        <v>856</v>
      </c>
      <c r="AJ1890">
        <v>79</v>
      </c>
      <c r="AK1890">
        <v>10</v>
      </c>
      <c r="AL1890">
        <v>0.83</v>
      </c>
    </row>
    <row r="1891" spans="1:38" x14ac:dyDescent="0.3">
      <c r="A1891" t="s">
        <v>1813</v>
      </c>
      <c r="B1891">
        <v>115091</v>
      </c>
      <c r="C1891">
        <v>3</v>
      </c>
      <c r="D1891" t="s">
        <v>2518</v>
      </c>
      <c r="E1891" t="s">
        <v>391</v>
      </c>
      <c r="F1891">
        <v>12</v>
      </c>
      <c r="G1891">
        <v>24.38</v>
      </c>
      <c r="H1891">
        <v>80.61</v>
      </c>
      <c r="I1891">
        <v>21.53</v>
      </c>
      <c r="J1891">
        <v>71.180000000000007</v>
      </c>
      <c r="K1891">
        <v>4</v>
      </c>
      <c r="T1891">
        <v>3</v>
      </c>
      <c r="U1891">
        <v>2</v>
      </c>
      <c r="V1891" t="s">
        <v>93</v>
      </c>
      <c r="W1891">
        <v>80</v>
      </c>
      <c r="X1891">
        <v>14</v>
      </c>
      <c r="Y1891">
        <v>14</v>
      </c>
      <c r="Z1891" t="s">
        <v>2519</v>
      </c>
      <c r="AA1891" t="s">
        <v>2520</v>
      </c>
      <c r="AB1891" t="s">
        <v>96</v>
      </c>
      <c r="AC1891" t="s">
        <v>97</v>
      </c>
      <c r="AD1891" t="s">
        <v>1818</v>
      </c>
      <c r="AG1891" t="s">
        <v>2521</v>
      </c>
      <c r="AH1891">
        <v>0</v>
      </c>
      <c r="AI1891">
        <v>856</v>
      </c>
      <c r="AJ1891">
        <v>79</v>
      </c>
      <c r="AK1891">
        <v>10</v>
      </c>
      <c r="AL1891">
        <v>0.83</v>
      </c>
    </row>
    <row r="1892" spans="1:38" x14ac:dyDescent="0.3">
      <c r="A1892" t="s">
        <v>1813</v>
      </c>
      <c r="B1892">
        <v>131843</v>
      </c>
      <c r="C1892">
        <v>1</v>
      </c>
      <c r="D1892" t="s">
        <v>2522</v>
      </c>
      <c r="E1892" t="s">
        <v>2168</v>
      </c>
      <c r="F1892">
        <v>15</v>
      </c>
      <c r="G1892">
        <v>20.32</v>
      </c>
      <c r="H1892">
        <v>67.2</v>
      </c>
      <c r="I1892">
        <v>16.57</v>
      </c>
      <c r="J1892">
        <v>54.8</v>
      </c>
      <c r="K1892">
        <v>3</v>
      </c>
      <c r="T1892">
        <v>3</v>
      </c>
      <c r="U1892">
        <v>2</v>
      </c>
      <c r="V1892" t="s">
        <v>93</v>
      </c>
      <c r="W1892" t="s">
        <v>395</v>
      </c>
      <c r="X1892">
        <v>8</v>
      </c>
      <c r="Y1892">
        <v>7</v>
      </c>
      <c r="Z1892" t="s">
        <v>2523</v>
      </c>
      <c r="AA1892" t="s">
        <v>2524</v>
      </c>
      <c r="AB1892" t="s">
        <v>96</v>
      </c>
      <c r="AC1892" t="s">
        <v>97</v>
      </c>
      <c r="AD1892" t="s">
        <v>1818</v>
      </c>
      <c r="AG1892" t="s">
        <v>2525</v>
      </c>
      <c r="AH1892">
        <v>0</v>
      </c>
      <c r="AI1892">
        <v>435</v>
      </c>
      <c r="AJ1892">
        <v>70</v>
      </c>
      <c r="AK1892">
        <v>15</v>
      </c>
      <c r="AL1892">
        <v>1</v>
      </c>
    </row>
    <row r="1893" spans="1:38" x14ac:dyDescent="0.3">
      <c r="A1893" t="s">
        <v>1813</v>
      </c>
      <c r="B1893">
        <v>131843</v>
      </c>
      <c r="C1893">
        <v>2</v>
      </c>
      <c r="D1893" t="s">
        <v>2522</v>
      </c>
      <c r="E1893" t="s">
        <v>2168</v>
      </c>
      <c r="F1893">
        <v>15</v>
      </c>
      <c r="G1893">
        <v>20.39</v>
      </c>
      <c r="H1893">
        <v>67.42</v>
      </c>
      <c r="I1893">
        <v>16.600000000000001</v>
      </c>
      <c r="J1893">
        <v>54.88</v>
      </c>
      <c r="K1893">
        <v>3</v>
      </c>
      <c r="T1893">
        <v>3</v>
      </c>
      <c r="U1893">
        <v>2</v>
      </c>
      <c r="V1893" t="s">
        <v>93</v>
      </c>
      <c r="W1893" t="s">
        <v>858</v>
      </c>
      <c r="X1893">
        <v>8</v>
      </c>
      <c r="Y1893">
        <v>7</v>
      </c>
      <c r="Z1893" t="s">
        <v>2523</v>
      </c>
      <c r="AA1893" t="s">
        <v>2524</v>
      </c>
      <c r="AB1893" t="s">
        <v>96</v>
      </c>
      <c r="AC1893" t="s">
        <v>97</v>
      </c>
      <c r="AD1893" t="s">
        <v>1818</v>
      </c>
      <c r="AG1893" t="s">
        <v>2525</v>
      </c>
      <c r="AH1893">
        <v>0</v>
      </c>
      <c r="AI1893">
        <v>435</v>
      </c>
      <c r="AJ1893">
        <v>70</v>
      </c>
      <c r="AK1893">
        <v>15</v>
      </c>
      <c r="AL1893">
        <v>1</v>
      </c>
    </row>
    <row r="1894" spans="1:38" x14ac:dyDescent="0.3">
      <c r="A1894" t="s">
        <v>1813</v>
      </c>
      <c r="B1894">
        <v>131843</v>
      </c>
      <c r="C1894">
        <v>3</v>
      </c>
      <c r="D1894" t="s">
        <v>2522</v>
      </c>
      <c r="E1894" t="s">
        <v>2168</v>
      </c>
      <c r="F1894">
        <v>15</v>
      </c>
      <c r="G1894">
        <v>20.5</v>
      </c>
      <c r="H1894">
        <v>67.790000000000006</v>
      </c>
      <c r="I1894">
        <v>16.91</v>
      </c>
      <c r="J1894">
        <v>55.92</v>
      </c>
      <c r="K1894">
        <v>1</v>
      </c>
      <c r="T1894">
        <v>3</v>
      </c>
      <c r="U1894">
        <v>2</v>
      </c>
      <c r="V1894" t="s">
        <v>93</v>
      </c>
      <c r="W1894" t="s">
        <v>858</v>
      </c>
      <c r="X1894">
        <v>8</v>
      </c>
      <c r="Y1894">
        <v>7</v>
      </c>
      <c r="Z1894" t="s">
        <v>2523</v>
      </c>
      <c r="AA1894" t="s">
        <v>2524</v>
      </c>
      <c r="AB1894" t="s">
        <v>96</v>
      </c>
      <c r="AC1894" t="s">
        <v>97</v>
      </c>
      <c r="AD1894" t="s">
        <v>1818</v>
      </c>
      <c r="AG1894" t="s">
        <v>2525</v>
      </c>
      <c r="AH1894">
        <v>0</v>
      </c>
      <c r="AI1894">
        <v>435</v>
      </c>
      <c r="AJ1894">
        <v>70</v>
      </c>
      <c r="AK1894">
        <v>15</v>
      </c>
      <c r="AL1894">
        <v>1</v>
      </c>
    </row>
    <row r="1895" spans="1:38" x14ac:dyDescent="0.3">
      <c r="A1895" t="s">
        <v>1813</v>
      </c>
      <c r="B1895">
        <v>131843</v>
      </c>
      <c r="C1895">
        <v>4</v>
      </c>
      <c r="D1895" t="s">
        <v>2522</v>
      </c>
      <c r="E1895" t="s">
        <v>2168</v>
      </c>
      <c r="F1895">
        <v>15</v>
      </c>
      <c r="G1895">
        <v>20.6</v>
      </c>
      <c r="H1895">
        <v>68.13</v>
      </c>
      <c r="I1895">
        <v>16.739999999999998</v>
      </c>
      <c r="J1895">
        <v>55.37</v>
      </c>
      <c r="K1895">
        <v>3</v>
      </c>
      <c r="T1895">
        <v>3</v>
      </c>
      <c r="U1895">
        <v>2</v>
      </c>
      <c r="V1895" t="s">
        <v>93</v>
      </c>
      <c r="W1895" t="s">
        <v>226</v>
      </c>
      <c r="X1895">
        <v>8</v>
      </c>
      <c r="Y1895">
        <v>7</v>
      </c>
      <c r="Z1895" t="s">
        <v>2523</v>
      </c>
      <c r="AA1895" t="s">
        <v>2524</v>
      </c>
      <c r="AB1895" t="s">
        <v>96</v>
      </c>
      <c r="AC1895" t="s">
        <v>97</v>
      </c>
      <c r="AD1895" t="s">
        <v>1818</v>
      </c>
      <c r="AG1895" t="s">
        <v>2525</v>
      </c>
      <c r="AH1895">
        <v>0</v>
      </c>
      <c r="AI1895">
        <v>435</v>
      </c>
      <c r="AJ1895">
        <v>70</v>
      </c>
      <c r="AK1895">
        <v>15</v>
      </c>
      <c r="AL1895">
        <v>1</v>
      </c>
    </row>
    <row r="1896" spans="1:38" x14ac:dyDescent="0.3">
      <c r="A1896" t="s">
        <v>1813</v>
      </c>
      <c r="B1896">
        <v>131843</v>
      </c>
      <c r="C1896">
        <v>5</v>
      </c>
      <c r="D1896" t="s">
        <v>2522</v>
      </c>
      <c r="E1896" t="s">
        <v>2168</v>
      </c>
      <c r="F1896">
        <v>15</v>
      </c>
      <c r="G1896">
        <v>20.8</v>
      </c>
      <c r="H1896">
        <v>68.77</v>
      </c>
      <c r="I1896">
        <v>16.98</v>
      </c>
      <c r="J1896">
        <v>56.14</v>
      </c>
      <c r="K1896">
        <v>3</v>
      </c>
      <c r="T1896">
        <v>3</v>
      </c>
      <c r="U1896">
        <v>2</v>
      </c>
      <c r="V1896" t="s">
        <v>93</v>
      </c>
      <c r="W1896" t="s">
        <v>380</v>
      </c>
      <c r="X1896">
        <v>8</v>
      </c>
      <c r="Y1896">
        <v>7</v>
      </c>
      <c r="Z1896" t="s">
        <v>2523</v>
      </c>
      <c r="AA1896" t="s">
        <v>2524</v>
      </c>
      <c r="AB1896" t="s">
        <v>96</v>
      </c>
      <c r="AC1896" t="s">
        <v>97</v>
      </c>
      <c r="AD1896" t="s">
        <v>1818</v>
      </c>
      <c r="AG1896" t="s">
        <v>2525</v>
      </c>
      <c r="AH1896">
        <v>0</v>
      </c>
      <c r="AI1896">
        <v>435</v>
      </c>
      <c r="AJ1896">
        <v>70</v>
      </c>
      <c r="AK1896">
        <v>15</v>
      </c>
      <c r="AL1896">
        <v>1</v>
      </c>
    </row>
    <row r="1897" spans="1:38" x14ac:dyDescent="0.3">
      <c r="A1897" t="s">
        <v>1813</v>
      </c>
      <c r="B1897">
        <v>131843</v>
      </c>
      <c r="C1897">
        <v>6</v>
      </c>
      <c r="D1897" t="s">
        <v>2522</v>
      </c>
      <c r="E1897" t="s">
        <v>2168</v>
      </c>
      <c r="F1897">
        <v>15</v>
      </c>
      <c r="G1897">
        <v>23.6</v>
      </c>
      <c r="H1897">
        <v>78.040000000000006</v>
      </c>
      <c r="I1897">
        <v>19.66</v>
      </c>
      <c r="J1897">
        <v>65.010000000000005</v>
      </c>
      <c r="K1897">
        <v>1</v>
      </c>
      <c r="T1897">
        <v>3</v>
      </c>
      <c r="U1897">
        <v>2</v>
      </c>
      <c r="V1897" t="s">
        <v>93</v>
      </c>
      <c r="W1897" t="s">
        <v>318</v>
      </c>
      <c r="X1897">
        <v>8</v>
      </c>
      <c r="Y1897">
        <v>7</v>
      </c>
      <c r="Z1897" t="s">
        <v>2523</v>
      </c>
      <c r="AA1897" t="s">
        <v>2524</v>
      </c>
      <c r="AB1897" t="s">
        <v>96</v>
      </c>
      <c r="AC1897" t="s">
        <v>97</v>
      </c>
      <c r="AD1897" t="s">
        <v>1818</v>
      </c>
      <c r="AG1897" t="s">
        <v>2525</v>
      </c>
      <c r="AH1897">
        <v>0</v>
      </c>
      <c r="AI1897">
        <v>435</v>
      </c>
      <c r="AJ1897">
        <v>70</v>
      </c>
      <c r="AK1897">
        <v>15</v>
      </c>
      <c r="AL1897">
        <v>1</v>
      </c>
    </row>
    <row r="1898" spans="1:38" x14ac:dyDescent="0.3">
      <c r="A1898" t="s">
        <v>1813</v>
      </c>
      <c r="B1898">
        <v>131843</v>
      </c>
      <c r="C1898">
        <v>7</v>
      </c>
      <c r="D1898" t="s">
        <v>2522</v>
      </c>
      <c r="E1898" t="s">
        <v>2168</v>
      </c>
      <c r="F1898">
        <v>15</v>
      </c>
      <c r="G1898">
        <v>23.97</v>
      </c>
      <c r="H1898">
        <v>79.239999999999995</v>
      </c>
      <c r="I1898">
        <v>19.8</v>
      </c>
      <c r="J1898">
        <v>65.47</v>
      </c>
      <c r="K1898">
        <v>1</v>
      </c>
      <c r="T1898">
        <v>3</v>
      </c>
      <c r="U1898">
        <v>2</v>
      </c>
      <c r="V1898" t="s">
        <v>93</v>
      </c>
      <c r="W1898" t="s">
        <v>475</v>
      </c>
      <c r="X1898">
        <v>8</v>
      </c>
      <c r="Y1898">
        <v>7</v>
      </c>
      <c r="Z1898" t="s">
        <v>2523</v>
      </c>
      <c r="AA1898" t="s">
        <v>2524</v>
      </c>
      <c r="AB1898" t="s">
        <v>96</v>
      </c>
      <c r="AC1898" t="s">
        <v>97</v>
      </c>
      <c r="AD1898" t="s">
        <v>1818</v>
      </c>
      <c r="AG1898" t="s">
        <v>2525</v>
      </c>
      <c r="AH1898">
        <v>0</v>
      </c>
      <c r="AI1898">
        <v>435</v>
      </c>
      <c r="AJ1898">
        <v>70</v>
      </c>
      <c r="AK1898">
        <v>15</v>
      </c>
      <c r="AL1898">
        <v>1</v>
      </c>
    </row>
    <row r="1899" spans="1:38" x14ac:dyDescent="0.3">
      <c r="A1899" t="s">
        <v>1813</v>
      </c>
      <c r="B1899">
        <v>16563</v>
      </c>
      <c r="C1899">
        <v>1</v>
      </c>
      <c r="D1899" t="s">
        <v>2526</v>
      </c>
      <c r="E1899" t="s">
        <v>146</v>
      </c>
      <c r="F1899">
        <v>30</v>
      </c>
      <c r="G1899">
        <v>23.54</v>
      </c>
      <c r="H1899">
        <v>77.84</v>
      </c>
      <c r="I1899">
        <v>20.12</v>
      </c>
      <c r="J1899">
        <v>66.540000000000006</v>
      </c>
      <c r="K1899">
        <v>10</v>
      </c>
      <c r="T1899">
        <v>3</v>
      </c>
      <c r="U1899">
        <v>1</v>
      </c>
      <c r="V1899" t="s">
        <v>132</v>
      </c>
      <c r="W1899" t="s">
        <v>1176</v>
      </c>
      <c r="X1899">
        <v>5</v>
      </c>
      <c r="Y1899">
        <v>5</v>
      </c>
      <c r="Z1899" t="s">
        <v>2527</v>
      </c>
      <c r="AA1899" t="s">
        <v>2528</v>
      </c>
      <c r="AB1899" t="s">
        <v>96</v>
      </c>
      <c r="AC1899" t="s">
        <v>97</v>
      </c>
      <c r="AD1899" t="s">
        <v>1818</v>
      </c>
      <c r="AG1899" t="s">
        <v>2529</v>
      </c>
      <c r="AH1899">
        <v>0</v>
      </c>
      <c r="AI1899">
        <v>0</v>
      </c>
      <c r="AJ1899">
        <v>0</v>
      </c>
      <c r="AK1899">
        <v>0</v>
      </c>
      <c r="AL1899">
        <v>0</v>
      </c>
    </row>
    <row r="1900" spans="1:38" x14ac:dyDescent="0.3">
      <c r="A1900" t="s">
        <v>1813</v>
      </c>
      <c r="B1900">
        <v>16563</v>
      </c>
      <c r="C1900">
        <v>2</v>
      </c>
      <c r="D1900" t="s">
        <v>2526</v>
      </c>
      <c r="E1900" t="s">
        <v>146</v>
      </c>
      <c r="F1900">
        <v>30</v>
      </c>
      <c r="G1900">
        <v>24.18</v>
      </c>
      <c r="H1900">
        <v>79.95</v>
      </c>
      <c r="I1900">
        <v>22.27</v>
      </c>
      <c r="J1900">
        <v>73.62</v>
      </c>
      <c r="K1900">
        <v>5</v>
      </c>
      <c r="T1900">
        <v>3</v>
      </c>
      <c r="U1900">
        <v>1</v>
      </c>
      <c r="V1900" t="s">
        <v>132</v>
      </c>
      <c r="W1900" t="s">
        <v>475</v>
      </c>
      <c r="X1900">
        <v>5</v>
      </c>
      <c r="Y1900">
        <v>5</v>
      </c>
      <c r="Z1900" t="s">
        <v>2527</v>
      </c>
      <c r="AA1900" t="s">
        <v>2528</v>
      </c>
      <c r="AB1900" t="s">
        <v>96</v>
      </c>
      <c r="AC1900" t="s">
        <v>97</v>
      </c>
      <c r="AD1900" t="s">
        <v>1818</v>
      </c>
      <c r="AG1900" t="s">
        <v>2529</v>
      </c>
      <c r="AH1900">
        <v>0</v>
      </c>
      <c r="AI1900">
        <v>0</v>
      </c>
      <c r="AJ1900">
        <v>0</v>
      </c>
      <c r="AK1900">
        <v>0</v>
      </c>
      <c r="AL1900">
        <v>0</v>
      </c>
    </row>
    <row r="1901" spans="1:38" x14ac:dyDescent="0.3">
      <c r="A1901" t="s">
        <v>1813</v>
      </c>
      <c r="B1901">
        <v>16563</v>
      </c>
      <c r="C1901">
        <v>3</v>
      </c>
      <c r="D1901" t="s">
        <v>2526</v>
      </c>
      <c r="E1901" t="s">
        <v>146</v>
      </c>
      <c r="F1901">
        <v>30</v>
      </c>
      <c r="G1901">
        <v>25.41</v>
      </c>
      <c r="H1901">
        <v>84</v>
      </c>
      <c r="I1901">
        <v>21.54</v>
      </c>
      <c r="J1901">
        <v>71.22</v>
      </c>
      <c r="K1901">
        <v>15</v>
      </c>
      <c r="T1901">
        <v>3</v>
      </c>
      <c r="U1901">
        <v>1</v>
      </c>
      <c r="V1901" t="s">
        <v>132</v>
      </c>
      <c r="W1901">
        <v>84</v>
      </c>
      <c r="X1901">
        <v>5</v>
      </c>
      <c r="Y1901">
        <v>5</v>
      </c>
      <c r="Z1901" t="s">
        <v>2527</v>
      </c>
      <c r="AA1901" t="s">
        <v>2528</v>
      </c>
      <c r="AB1901" t="s">
        <v>96</v>
      </c>
      <c r="AC1901" t="s">
        <v>97</v>
      </c>
      <c r="AD1901" t="s">
        <v>1818</v>
      </c>
      <c r="AG1901" t="s">
        <v>2529</v>
      </c>
      <c r="AH1901">
        <v>0</v>
      </c>
      <c r="AI1901">
        <v>0</v>
      </c>
      <c r="AJ1901">
        <v>0</v>
      </c>
      <c r="AK1901">
        <v>0</v>
      </c>
      <c r="AL1901">
        <v>0</v>
      </c>
    </row>
    <row r="1902" spans="1:38" x14ac:dyDescent="0.3">
      <c r="A1902" t="s">
        <v>1813</v>
      </c>
      <c r="B1902">
        <v>10476</v>
      </c>
      <c r="C1902">
        <v>1</v>
      </c>
      <c r="D1902" t="s">
        <v>2530</v>
      </c>
      <c r="E1902" t="s">
        <v>2531</v>
      </c>
      <c r="F1902">
        <v>90</v>
      </c>
      <c r="G1902">
        <v>18.899999999999999</v>
      </c>
      <c r="H1902">
        <v>62.5</v>
      </c>
      <c r="I1902">
        <v>15.94</v>
      </c>
      <c r="J1902">
        <v>52.7</v>
      </c>
      <c r="K1902">
        <v>20</v>
      </c>
      <c r="T1902">
        <v>3</v>
      </c>
      <c r="U1902">
        <v>1</v>
      </c>
      <c r="V1902" t="s">
        <v>93</v>
      </c>
      <c r="W1902" t="s">
        <v>255</v>
      </c>
      <c r="X1902">
        <v>5</v>
      </c>
      <c r="Y1902">
        <v>5</v>
      </c>
      <c r="Z1902" t="s">
        <v>2532</v>
      </c>
      <c r="AA1902" t="s">
        <v>2533</v>
      </c>
      <c r="AB1902" t="s">
        <v>96</v>
      </c>
      <c r="AC1902" t="s">
        <v>97</v>
      </c>
      <c r="AD1902" t="s">
        <v>1818</v>
      </c>
      <c r="AG1902" t="s">
        <v>2534</v>
      </c>
      <c r="AH1902">
        <v>0</v>
      </c>
      <c r="AI1902">
        <v>0</v>
      </c>
      <c r="AJ1902">
        <v>0</v>
      </c>
      <c r="AK1902">
        <v>0</v>
      </c>
      <c r="AL1902">
        <v>0</v>
      </c>
    </row>
    <row r="1903" spans="1:38" x14ac:dyDescent="0.3">
      <c r="A1903" t="s">
        <v>1813</v>
      </c>
      <c r="B1903">
        <v>10476</v>
      </c>
      <c r="C1903">
        <v>2</v>
      </c>
      <c r="D1903" t="s">
        <v>2530</v>
      </c>
      <c r="E1903" t="s">
        <v>2531</v>
      </c>
      <c r="F1903">
        <v>90</v>
      </c>
      <c r="G1903">
        <v>18.899999999999999</v>
      </c>
      <c r="H1903">
        <v>62.5</v>
      </c>
      <c r="I1903">
        <v>15.94</v>
      </c>
      <c r="J1903">
        <v>52.7</v>
      </c>
      <c r="K1903">
        <v>10</v>
      </c>
      <c r="T1903">
        <v>3</v>
      </c>
      <c r="U1903">
        <v>1</v>
      </c>
      <c r="V1903" t="s">
        <v>93</v>
      </c>
      <c r="W1903" t="s">
        <v>463</v>
      </c>
      <c r="X1903">
        <v>5</v>
      </c>
      <c r="Y1903">
        <v>5</v>
      </c>
      <c r="Z1903" t="s">
        <v>2532</v>
      </c>
      <c r="AA1903" t="s">
        <v>2533</v>
      </c>
      <c r="AB1903" t="s">
        <v>96</v>
      </c>
      <c r="AC1903" t="s">
        <v>97</v>
      </c>
      <c r="AD1903" t="s">
        <v>1818</v>
      </c>
      <c r="AG1903" t="s">
        <v>2534</v>
      </c>
      <c r="AH1903">
        <v>0</v>
      </c>
      <c r="AI1903">
        <v>0</v>
      </c>
      <c r="AJ1903">
        <v>0</v>
      </c>
      <c r="AK1903">
        <v>0</v>
      </c>
      <c r="AL1903">
        <v>0</v>
      </c>
    </row>
    <row r="1904" spans="1:38" x14ac:dyDescent="0.3">
      <c r="A1904" t="s">
        <v>1813</v>
      </c>
      <c r="B1904">
        <v>10476</v>
      </c>
      <c r="C1904">
        <v>3</v>
      </c>
      <c r="D1904" t="s">
        <v>2530</v>
      </c>
      <c r="E1904" t="s">
        <v>2531</v>
      </c>
      <c r="F1904">
        <v>90</v>
      </c>
      <c r="G1904">
        <v>20.309999999999999</v>
      </c>
      <c r="H1904">
        <v>67.16</v>
      </c>
      <c r="I1904">
        <v>18.27</v>
      </c>
      <c r="J1904">
        <v>60.42</v>
      </c>
      <c r="K1904">
        <v>30</v>
      </c>
      <c r="T1904">
        <v>3</v>
      </c>
      <c r="U1904">
        <v>1</v>
      </c>
      <c r="V1904" t="s">
        <v>93</v>
      </c>
      <c r="W1904">
        <v>67</v>
      </c>
      <c r="X1904">
        <v>5</v>
      </c>
      <c r="Y1904">
        <v>5</v>
      </c>
      <c r="Z1904" t="s">
        <v>2532</v>
      </c>
      <c r="AA1904" t="s">
        <v>2533</v>
      </c>
      <c r="AB1904" t="s">
        <v>96</v>
      </c>
      <c r="AC1904" t="s">
        <v>97</v>
      </c>
      <c r="AD1904" t="s">
        <v>1818</v>
      </c>
      <c r="AG1904" t="s">
        <v>2534</v>
      </c>
      <c r="AH1904">
        <v>0</v>
      </c>
      <c r="AI1904">
        <v>0</v>
      </c>
      <c r="AJ1904">
        <v>0</v>
      </c>
      <c r="AK1904">
        <v>0</v>
      </c>
      <c r="AL1904">
        <v>0</v>
      </c>
    </row>
    <row r="1905" spans="1:38" x14ac:dyDescent="0.3">
      <c r="A1905" t="s">
        <v>1813</v>
      </c>
      <c r="B1905">
        <v>10476</v>
      </c>
      <c r="C1905">
        <v>4</v>
      </c>
      <c r="D1905" t="s">
        <v>2530</v>
      </c>
      <c r="E1905" t="s">
        <v>2531</v>
      </c>
      <c r="F1905">
        <v>90</v>
      </c>
      <c r="G1905">
        <v>20.78</v>
      </c>
      <c r="H1905">
        <v>68.72</v>
      </c>
      <c r="I1905">
        <v>17.52</v>
      </c>
      <c r="J1905">
        <v>57.94</v>
      </c>
      <c r="K1905">
        <v>30</v>
      </c>
      <c r="T1905">
        <v>3</v>
      </c>
      <c r="U1905">
        <v>1</v>
      </c>
      <c r="V1905" t="s">
        <v>93</v>
      </c>
      <c r="W1905">
        <v>68</v>
      </c>
      <c r="X1905">
        <v>5</v>
      </c>
      <c r="Y1905">
        <v>5</v>
      </c>
      <c r="Z1905" t="s">
        <v>2532</v>
      </c>
      <c r="AA1905" t="s">
        <v>2533</v>
      </c>
      <c r="AB1905" t="s">
        <v>96</v>
      </c>
      <c r="AC1905" t="s">
        <v>97</v>
      </c>
      <c r="AD1905" t="s">
        <v>1818</v>
      </c>
      <c r="AG1905" t="s">
        <v>2534</v>
      </c>
      <c r="AH1905">
        <v>0</v>
      </c>
      <c r="AI1905">
        <v>0</v>
      </c>
      <c r="AJ1905">
        <v>0</v>
      </c>
      <c r="AK1905">
        <v>0</v>
      </c>
      <c r="AL1905">
        <v>0</v>
      </c>
    </row>
    <row r="1906" spans="1:38" x14ac:dyDescent="0.3">
      <c r="A1906" t="s">
        <v>1813</v>
      </c>
      <c r="B1906">
        <v>105643</v>
      </c>
      <c r="C1906">
        <v>1</v>
      </c>
      <c r="D1906" t="s">
        <v>2535</v>
      </c>
      <c r="E1906" t="s">
        <v>1881</v>
      </c>
      <c r="F1906">
        <v>75</v>
      </c>
      <c r="G1906">
        <v>6.63</v>
      </c>
      <c r="H1906">
        <v>21.94</v>
      </c>
      <c r="I1906">
        <v>5.14</v>
      </c>
      <c r="J1906">
        <v>17.02</v>
      </c>
      <c r="K1906">
        <v>1</v>
      </c>
      <c r="T1906">
        <v>1</v>
      </c>
      <c r="U1906">
        <v>1</v>
      </c>
      <c r="V1906" t="s">
        <v>211</v>
      </c>
      <c r="W1906" t="s">
        <v>2301</v>
      </c>
      <c r="X1906">
        <v>9</v>
      </c>
      <c r="Y1906">
        <v>9</v>
      </c>
      <c r="Z1906" t="s">
        <v>2536</v>
      </c>
      <c r="AA1906" t="s">
        <v>2537</v>
      </c>
      <c r="AB1906" t="s">
        <v>96</v>
      </c>
      <c r="AC1906" t="s">
        <v>97</v>
      </c>
      <c r="AD1906" t="s">
        <v>1818</v>
      </c>
      <c r="AG1906" t="s">
        <v>2538</v>
      </c>
      <c r="AH1906">
        <v>0</v>
      </c>
      <c r="AI1906">
        <v>507</v>
      </c>
      <c r="AJ1906">
        <v>71</v>
      </c>
      <c r="AK1906">
        <v>40</v>
      </c>
      <c r="AL1906">
        <v>0.53</v>
      </c>
    </row>
    <row r="1907" spans="1:38" x14ac:dyDescent="0.3">
      <c r="A1907" t="s">
        <v>1813</v>
      </c>
      <c r="B1907">
        <v>105643</v>
      </c>
      <c r="C1907">
        <v>2</v>
      </c>
      <c r="D1907" t="s">
        <v>2535</v>
      </c>
      <c r="E1907" t="s">
        <v>1881</v>
      </c>
      <c r="F1907">
        <v>75</v>
      </c>
      <c r="G1907">
        <v>6.94</v>
      </c>
      <c r="H1907">
        <v>22.96</v>
      </c>
      <c r="I1907">
        <v>5.38</v>
      </c>
      <c r="J1907">
        <v>17.809999999999999</v>
      </c>
      <c r="K1907">
        <v>60</v>
      </c>
      <c r="T1907">
        <v>1</v>
      </c>
      <c r="U1907">
        <v>1</v>
      </c>
      <c r="V1907" t="s">
        <v>211</v>
      </c>
      <c r="W1907" t="s">
        <v>2539</v>
      </c>
      <c r="X1907">
        <v>9</v>
      </c>
      <c r="Y1907">
        <v>9</v>
      </c>
      <c r="Z1907" t="s">
        <v>2536</v>
      </c>
      <c r="AA1907" t="s">
        <v>2537</v>
      </c>
      <c r="AB1907" t="s">
        <v>96</v>
      </c>
      <c r="AC1907" t="s">
        <v>97</v>
      </c>
      <c r="AD1907" t="s">
        <v>1818</v>
      </c>
      <c r="AG1907" t="s">
        <v>2538</v>
      </c>
      <c r="AH1907">
        <v>0</v>
      </c>
      <c r="AI1907">
        <v>507</v>
      </c>
      <c r="AJ1907">
        <v>71</v>
      </c>
      <c r="AK1907">
        <v>40</v>
      </c>
      <c r="AL1907">
        <v>0.53</v>
      </c>
    </row>
    <row r="1908" spans="1:38" x14ac:dyDescent="0.3">
      <c r="A1908" t="s">
        <v>1813</v>
      </c>
      <c r="B1908">
        <v>105643</v>
      </c>
      <c r="C1908">
        <v>3</v>
      </c>
      <c r="D1908" t="s">
        <v>2535</v>
      </c>
      <c r="E1908" t="s">
        <v>1881</v>
      </c>
      <c r="F1908">
        <v>75</v>
      </c>
      <c r="G1908">
        <v>6.66</v>
      </c>
      <c r="H1908">
        <v>22.04</v>
      </c>
      <c r="I1908">
        <v>5.17</v>
      </c>
      <c r="J1908">
        <v>17.100000000000001</v>
      </c>
      <c r="K1908">
        <v>6</v>
      </c>
      <c r="T1908">
        <v>1</v>
      </c>
      <c r="U1908">
        <v>1</v>
      </c>
      <c r="V1908" t="s">
        <v>211</v>
      </c>
      <c r="W1908" t="s">
        <v>2540</v>
      </c>
      <c r="X1908">
        <v>9</v>
      </c>
      <c r="Y1908">
        <v>9</v>
      </c>
      <c r="Z1908" t="s">
        <v>2536</v>
      </c>
      <c r="AA1908" t="s">
        <v>2537</v>
      </c>
      <c r="AB1908" t="s">
        <v>96</v>
      </c>
      <c r="AC1908" t="s">
        <v>97</v>
      </c>
      <c r="AD1908" t="s">
        <v>1818</v>
      </c>
      <c r="AG1908" t="s">
        <v>2538</v>
      </c>
      <c r="AH1908">
        <v>0</v>
      </c>
      <c r="AI1908">
        <v>507</v>
      </c>
      <c r="AJ1908">
        <v>71</v>
      </c>
      <c r="AK1908">
        <v>40</v>
      </c>
      <c r="AL1908">
        <v>0.53</v>
      </c>
    </row>
    <row r="1909" spans="1:38" x14ac:dyDescent="0.3">
      <c r="A1909" t="s">
        <v>1813</v>
      </c>
      <c r="B1909">
        <v>105643</v>
      </c>
      <c r="C1909">
        <v>4</v>
      </c>
      <c r="D1909" t="s">
        <v>2535</v>
      </c>
      <c r="E1909" t="s">
        <v>1881</v>
      </c>
      <c r="F1909">
        <v>75</v>
      </c>
      <c r="G1909">
        <v>6.91</v>
      </c>
      <c r="H1909">
        <v>22.86</v>
      </c>
      <c r="I1909">
        <v>5.36</v>
      </c>
      <c r="J1909">
        <v>17.73</v>
      </c>
      <c r="K1909">
        <v>4</v>
      </c>
      <c r="T1909">
        <v>1</v>
      </c>
      <c r="U1909">
        <v>1</v>
      </c>
      <c r="V1909" t="s">
        <v>211</v>
      </c>
      <c r="W1909" t="s">
        <v>2541</v>
      </c>
      <c r="X1909">
        <v>9</v>
      </c>
      <c r="Y1909">
        <v>9</v>
      </c>
      <c r="Z1909" t="s">
        <v>2536</v>
      </c>
      <c r="AA1909" t="s">
        <v>2537</v>
      </c>
      <c r="AB1909" t="s">
        <v>96</v>
      </c>
      <c r="AC1909" t="s">
        <v>97</v>
      </c>
      <c r="AD1909" t="s">
        <v>1818</v>
      </c>
      <c r="AG1909" t="s">
        <v>2538</v>
      </c>
      <c r="AH1909">
        <v>0</v>
      </c>
      <c r="AI1909">
        <v>507</v>
      </c>
      <c r="AJ1909">
        <v>71</v>
      </c>
      <c r="AK1909">
        <v>40</v>
      </c>
      <c r="AL1909">
        <v>0.53</v>
      </c>
    </row>
    <row r="1910" spans="1:38" x14ac:dyDescent="0.3">
      <c r="A1910" t="s">
        <v>1813</v>
      </c>
      <c r="B1910">
        <v>105643</v>
      </c>
      <c r="C1910">
        <v>5</v>
      </c>
      <c r="D1910" t="s">
        <v>2535</v>
      </c>
      <c r="E1910" t="s">
        <v>1881</v>
      </c>
      <c r="F1910">
        <v>75</v>
      </c>
      <c r="G1910">
        <v>7.82</v>
      </c>
      <c r="H1910">
        <v>25.87</v>
      </c>
      <c r="I1910">
        <v>6.07</v>
      </c>
      <c r="J1910">
        <v>20.07</v>
      </c>
      <c r="K1910">
        <v>2</v>
      </c>
      <c r="T1910">
        <v>1</v>
      </c>
      <c r="U1910">
        <v>1</v>
      </c>
      <c r="V1910" t="s">
        <v>211</v>
      </c>
      <c r="W1910" t="s">
        <v>651</v>
      </c>
      <c r="X1910">
        <v>9</v>
      </c>
      <c r="Y1910">
        <v>9</v>
      </c>
      <c r="Z1910" t="s">
        <v>2536</v>
      </c>
      <c r="AA1910" t="s">
        <v>2537</v>
      </c>
      <c r="AB1910" t="s">
        <v>96</v>
      </c>
      <c r="AC1910" t="s">
        <v>97</v>
      </c>
      <c r="AD1910" t="s">
        <v>1818</v>
      </c>
      <c r="AG1910" t="s">
        <v>2538</v>
      </c>
      <c r="AH1910">
        <v>0</v>
      </c>
      <c r="AI1910">
        <v>507</v>
      </c>
      <c r="AJ1910">
        <v>71</v>
      </c>
      <c r="AK1910">
        <v>40</v>
      </c>
      <c r="AL1910">
        <v>0.53</v>
      </c>
    </row>
    <row r="1911" spans="1:38" x14ac:dyDescent="0.3">
      <c r="A1911" t="s">
        <v>1813</v>
      </c>
      <c r="B1911">
        <v>105643</v>
      </c>
      <c r="C1911">
        <v>6</v>
      </c>
      <c r="D1911" t="s">
        <v>2535</v>
      </c>
      <c r="E1911" t="s">
        <v>1881</v>
      </c>
      <c r="F1911">
        <v>75</v>
      </c>
      <c r="G1911">
        <v>7.69</v>
      </c>
      <c r="H1911">
        <v>25.43</v>
      </c>
      <c r="I1911">
        <v>5.96</v>
      </c>
      <c r="J1911">
        <v>19.73</v>
      </c>
      <c r="K1911">
        <v>2</v>
      </c>
      <c r="T1911">
        <v>1</v>
      </c>
      <c r="U1911">
        <v>1</v>
      </c>
      <c r="V1911" t="s">
        <v>211</v>
      </c>
      <c r="W1911" t="s">
        <v>2291</v>
      </c>
      <c r="X1911">
        <v>9</v>
      </c>
      <c r="Y1911">
        <v>9</v>
      </c>
      <c r="Z1911" t="s">
        <v>2536</v>
      </c>
      <c r="AA1911" t="s">
        <v>2537</v>
      </c>
      <c r="AB1911" t="s">
        <v>96</v>
      </c>
      <c r="AC1911" t="s">
        <v>97</v>
      </c>
      <c r="AD1911" t="s">
        <v>1818</v>
      </c>
      <c r="AG1911" t="s">
        <v>2538</v>
      </c>
      <c r="AH1911">
        <v>0</v>
      </c>
      <c r="AI1911">
        <v>507</v>
      </c>
      <c r="AJ1911">
        <v>71</v>
      </c>
      <c r="AK1911">
        <v>40</v>
      </c>
      <c r="AL1911">
        <v>0.53</v>
      </c>
    </row>
    <row r="1912" spans="1:38" x14ac:dyDescent="0.3">
      <c r="A1912" t="s">
        <v>1813</v>
      </c>
      <c r="B1912">
        <v>13815</v>
      </c>
      <c r="C1912">
        <v>1</v>
      </c>
      <c r="D1912" t="s">
        <v>2542</v>
      </c>
      <c r="E1912" t="s">
        <v>2543</v>
      </c>
      <c r="F1912">
        <v>50</v>
      </c>
      <c r="G1912">
        <v>14.82</v>
      </c>
      <c r="H1912">
        <v>49.02</v>
      </c>
      <c r="I1912">
        <v>11.94</v>
      </c>
      <c r="J1912">
        <v>39.479999999999997</v>
      </c>
      <c r="K1912">
        <v>50</v>
      </c>
      <c r="T1912">
        <v>2</v>
      </c>
      <c r="U1912">
        <v>1</v>
      </c>
      <c r="V1912" t="s">
        <v>93</v>
      </c>
      <c r="W1912">
        <v>49</v>
      </c>
      <c r="X1912">
        <v>5</v>
      </c>
      <c r="Y1912">
        <v>5</v>
      </c>
      <c r="Z1912" t="s">
        <v>2544</v>
      </c>
      <c r="AA1912" t="s">
        <v>2545</v>
      </c>
      <c r="AB1912" t="s">
        <v>96</v>
      </c>
      <c r="AC1912" t="s">
        <v>97</v>
      </c>
      <c r="AD1912" t="s">
        <v>1818</v>
      </c>
      <c r="AG1912" t="s">
        <v>2546</v>
      </c>
      <c r="AH1912">
        <v>0</v>
      </c>
      <c r="AI1912">
        <v>0</v>
      </c>
      <c r="AJ1912">
        <v>0</v>
      </c>
      <c r="AK1912">
        <v>0</v>
      </c>
      <c r="AL1912">
        <v>0</v>
      </c>
    </row>
    <row r="1913" spans="1:38" x14ac:dyDescent="0.3">
      <c r="A1913" t="s">
        <v>1813</v>
      </c>
      <c r="B1913">
        <v>13236</v>
      </c>
      <c r="C1913">
        <v>1</v>
      </c>
      <c r="D1913" t="s">
        <v>2547</v>
      </c>
      <c r="E1913" t="s">
        <v>2548</v>
      </c>
      <c r="F1913">
        <v>165</v>
      </c>
      <c r="G1913">
        <v>9.82</v>
      </c>
      <c r="H1913">
        <v>32.49</v>
      </c>
      <c r="I1913">
        <v>7.62</v>
      </c>
      <c r="J1913">
        <v>25.2</v>
      </c>
      <c r="K1913">
        <v>20</v>
      </c>
      <c r="T1913">
        <v>1</v>
      </c>
      <c r="U1913">
        <v>1</v>
      </c>
      <c r="V1913" t="s">
        <v>132</v>
      </c>
      <c r="W1913">
        <v>32</v>
      </c>
      <c r="X1913">
        <v>13</v>
      </c>
      <c r="Y1913">
        <v>8</v>
      </c>
      <c r="Z1913" t="s">
        <v>2549</v>
      </c>
      <c r="AA1913" t="s">
        <v>2550</v>
      </c>
      <c r="AB1913" t="s">
        <v>96</v>
      </c>
      <c r="AC1913" t="s">
        <v>97</v>
      </c>
      <c r="AD1913" t="s">
        <v>1818</v>
      </c>
      <c r="AG1913" t="s">
        <v>2551</v>
      </c>
      <c r="AH1913">
        <v>0</v>
      </c>
      <c r="AI1913">
        <v>489</v>
      </c>
      <c r="AJ1913">
        <v>69</v>
      </c>
      <c r="AK1913">
        <v>118</v>
      </c>
      <c r="AL1913">
        <v>0.72</v>
      </c>
    </row>
    <row r="1914" spans="1:38" x14ac:dyDescent="0.3">
      <c r="A1914" t="s">
        <v>1813</v>
      </c>
      <c r="B1914">
        <v>13236</v>
      </c>
      <c r="C1914">
        <v>2</v>
      </c>
      <c r="D1914" t="s">
        <v>2547</v>
      </c>
      <c r="E1914" t="s">
        <v>2548</v>
      </c>
      <c r="F1914">
        <v>165</v>
      </c>
      <c r="G1914">
        <v>12.28</v>
      </c>
      <c r="H1914">
        <v>40.61</v>
      </c>
      <c r="I1914">
        <v>9.52</v>
      </c>
      <c r="J1914">
        <v>31.5</v>
      </c>
      <c r="K1914">
        <v>30</v>
      </c>
      <c r="T1914">
        <v>1</v>
      </c>
      <c r="U1914">
        <v>1</v>
      </c>
      <c r="V1914" t="s">
        <v>132</v>
      </c>
      <c r="W1914">
        <v>40</v>
      </c>
      <c r="X1914">
        <v>13</v>
      </c>
      <c r="Y1914">
        <v>8</v>
      </c>
      <c r="Z1914" t="s">
        <v>2549</v>
      </c>
      <c r="AA1914" t="s">
        <v>2550</v>
      </c>
      <c r="AB1914" t="s">
        <v>96</v>
      </c>
      <c r="AC1914" t="s">
        <v>97</v>
      </c>
      <c r="AD1914" t="s">
        <v>1818</v>
      </c>
      <c r="AG1914" t="s">
        <v>2551</v>
      </c>
      <c r="AH1914">
        <v>0</v>
      </c>
      <c r="AI1914">
        <v>489</v>
      </c>
      <c r="AJ1914">
        <v>69</v>
      </c>
      <c r="AK1914">
        <v>118</v>
      </c>
      <c r="AL1914">
        <v>0.72</v>
      </c>
    </row>
    <row r="1915" spans="1:38" x14ac:dyDescent="0.3">
      <c r="A1915" t="s">
        <v>1813</v>
      </c>
      <c r="B1915">
        <v>13236</v>
      </c>
      <c r="C1915">
        <v>3</v>
      </c>
      <c r="D1915" t="s">
        <v>2547</v>
      </c>
      <c r="E1915" t="s">
        <v>2548</v>
      </c>
      <c r="F1915">
        <v>165</v>
      </c>
      <c r="G1915">
        <v>12.63</v>
      </c>
      <c r="H1915">
        <v>41.77</v>
      </c>
      <c r="I1915">
        <v>9.8000000000000007</v>
      </c>
      <c r="J1915">
        <v>32.4</v>
      </c>
      <c r="K1915">
        <v>1</v>
      </c>
      <c r="T1915">
        <v>1</v>
      </c>
      <c r="U1915">
        <v>1</v>
      </c>
      <c r="V1915" t="s">
        <v>211</v>
      </c>
      <c r="W1915">
        <v>41</v>
      </c>
      <c r="X1915">
        <v>13</v>
      </c>
      <c r="Y1915">
        <v>8</v>
      </c>
      <c r="Z1915" t="s">
        <v>2549</v>
      </c>
      <c r="AA1915" t="s">
        <v>2550</v>
      </c>
      <c r="AB1915" t="s">
        <v>96</v>
      </c>
      <c r="AC1915" t="s">
        <v>97</v>
      </c>
      <c r="AD1915" t="s">
        <v>1818</v>
      </c>
      <c r="AG1915" t="s">
        <v>2551</v>
      </c>
      <c r="AH1915">
        <v>0</v>
      </c>
      <c r="AI1915">
        <v>489</v>
      </c>
      <c r="AJ1915">
        <v>69</v>
      </c>
      <c r="AK1915">
        <v>118</v>
      </c>
      <c r="AL1915">
        <v>0.72</v>
      </c>
    </row>
    <row r="1916" spans="1:38" x14ac:dyDescent="0.3">
      <c r="A1916" t="s">
        <v>1813</v>
      </c>
      <c r="B1916">
        <v>13236</v>
      </c>
      <c r="C1916">
        <v>4</v>
      </c>
      <c r="D1916" t="s">
        <v>2547</v>
      </c>
      <c r="E1916" t="s">
        <v>2548</v>
      </c>
      <c r="F1916">
        <v>165</v>
      </c>
      <c r="G1916">
        <v>14.74</v>
      </c>
      <c r="H1916">
        <v>48.74</v>
      </c>
      <c r="I1916">
        <v>11.43</v>
      </c>
      <c r="J1916">
        <v>37.799999999999997</v>
      </c>
      <c r="K1916">
        <v>107</v>
      </c>
      <c r="T1916">
        <v>1</v>
      </c>
      <c r="U1916">
        <v>1</v>
      </c>
      <c r="V1916" t="s">
        <v>132</v>
      </c>
      <c r="W1916">
        <v>48</v>
      </c>
      <c r="X1916">
        <v>13</v>
      </c>
      <c r="Y1916">
        <v>8</v>
      </c>
      <c r="Z1916" t="s">
        <v>2549</v>
      </c>
      <c r="AA1916" t="s">
        <v>2550</v>
      </c>
      <c r="AB1916" t="s">
        <v>96</v>
      </c>
      <c r="AC1916" t="s">
        <v>97</v>
      </c>
      <c r="AD1916" t="s">
        <v>1818</v>
      </c>
      <c r="AG1916" t="s">
        <v>2551</v>
      </c>
      <c r="AH1916">
        <v>0</v>
      </c>
      <c r="AI1916">
        <v>489</v>
      </c>
      <c r="AJ1916">
        <v>69</v>
      </c>
      <c r="AK1916">
        <v>118</v>
      </c>
      <c r="AL1916">
        <v>0.72</v>
      </c>
    </row>
    <row r="1917" spans="1:38" x14ac:dyDescent="0.3">
      <c r="A1917" t="s">
        <v>1813</v>
      </c>
      <c r="B1917">
        <v>13236</v>
      </c>
      <c r="C1917">
        <v>5</v>
      </c>
      <c r="D1917" t="s">
        <v>2547</v>
      </c>
      <c r="E1917" t="s">
        <v>2548</v>
      </c>
      <c r="F1917">
        <v>165</v>
      </c>
      <c r="G1917">
        <v>15.79</v>
      </c>
      <c r="H1917">
        <v>52.22</v>
      </c>
      <c r="I1917">
        <v>12.25</v>
      </c>
      <c r="J1917">
        <v>40.5</v>
      </c>
      <c r="K1917">
        <v>2</v>
      </c>
      <c r="T1917">
        <v>1</v>
      </c>
      <c r="U1917">
        <v>1</v>
      </c>
      <c r="V1917" t="s">
        <v>132</v>
      </c>
      <c r="W1917">
        <v>52</v>
      </c>
      <c r="X1917">
        <v>13</v>
      </c>
      <c r="Y1917">
        <v>8</v>
      </c>
      <c r="Z1917" t="s">
        <v>2549</v>
      </c>
      <c r="AA1917" t="s">
        <v>2550</v>
      </c>
      <c r="AB1917" t="s">
        <v>96</v>
      </c>
      <c r="AC1917" t="s">
        <v>97</v>
      </c>
      <c r="AD1917" t="s">
        <v>1818</v>
      </c>
      <c r="AG1917" t="s">
        <v>2551</v>
      </c>
      <c r="AH1917">
        <v>0</v>
      </c>
      <c r="AI1917">
        <v>489</v>
      </c>
      <c r="AJ1917">
        <v>69</v>
      </c>
      <c r="AK1917">
        <v>118</v>
      </c>
      <c r="AL1917">
        <v>0.72</v>
      </c>
    </row>
    <row r="1918" spans="1:38" x14ac:dyDescent="0.3">
      <c r="A1918" t="s">
        <v>1813</v>
      </c>
      <c r="B1918">
        <v>13236</v>
      </c>
      <c r="C1918">
        <v>6</v>
      </c>
      <c r="D1918" t="s">
        <v>2547</v>
      </c>
      <c r="E1918" t="s">
        <v>2548</v>
      </c>
      <c r="F1918">
        <v>165</v>
      </c>
      <c r="G1918">
        <v>18.95</v>
      </c>
      <c r="H1918">
        <v>62.66</v>
      </c>
      <c r="I1918">
        <v>14.7</v>
      </c>
      <c r="J1918">
        <v>48.6</v>
      </c>
      <c r="K1918">
        <v>5</v>
      </c>
      <c r="T1918">
        <v>2</v>
      </c>
      <c r="U1918">
        <v>1</v>
      </c>
      <c r="V1918" t="s">
        <v>211</v>
      </c>
      <c r="W1918">
        <v>62</v>
      </c>
      <c r="X1918">
        <v>13</v>
      </c>
      <c r="Y1918">
        <v>8</v>
      </c>
      <c r="Z1918" t="s">
        <v>2549</v>
      </c>
      <c r="AA1918" t="s">
        <v>2550</v>
      </c>
      <c r="AB1918" t="s">
        <v>96</v>
      </c>
      <c r="AC1918" t="s">
        <v>97</v>
      </c>
      <c r="AD1918" t="s">
        <v>1818</v>
      </c>
      <c r="AG1918" t="s">
        <v>2551</v>
      </c>
      <c r="AH1918">
        <v>0</v>
      </c>
      <c r="AI1918">
        <v>489</v>
      </c>
      <c r="AJ1918">
        <v>69</v>
      </c>
      <c r="AK1918">
        <v>118</v>
      </c>
      <c r="AL1918">
        <v>0.72</v>
      </c>
    </row>
    <row r="1919" spans="1:38" x14ac:dyDescent="0.3">
      <c r="A1919" t="s">
        <v>1813</v>
      </c>
      <c r="B1919">
        <v>130579</v>
      </c>
      <c r="C1919">
        <v>1</v>
      </c>
      <c r="D1919" t="s">
        <v>2552</v>
      </c>
      <c r="E1919" t="s">
        <v>1606</v>
      </c>
      <c r="F1919">
        <v>16</v>
      </c>
      <c r="G1919">
        <v>25.29</v>
      </c>
      <c r="H1919">
        <v>83.63</v>
      </c>
      <c r="I1919">
        <v>20.76</v>
      </c>
      <c r="J1919">
        <v>68.64</v>
      </c>
      <c r="K1919">
        <v>4</v>
      </c>
      <c r="T1919">
        <v>3</v>
      </c>
      <c r="U1919">
        <v>2</v>
      </c>
      <c r="V1919" t="s">
        <v>93</v>
      </c>
      <c r="W1919">
        <v>83</v>
      </c>
      <c r="X1919">
        <v>14</v>
      </c>
      <c r="Y1919">
        <v>14</v>
      </c>
      <c r="Z1919" t="s">
        <v>2553</v>
      </c>
      <c r="AA1919" t="s">
        <v>2554</v>
      </c>
      <c r="AB1919" t="s">
        <v>96</v>
      </c>
      <c r="AC1919" t="s">
        <v>97</v>
      </c>
      <c r="AD1919" t="s">
        <v>1818</v>
      </c>
      <c r="AG1919" t="s">
        <v>2555</v>
      </c>
      <c r="AH1919">
        <v>0</v>
      </c>
      <c r="AI1919">
        <v>849</v>
      </c>
      <c r="AJ1919">
        <v>75</v>
      </c>
      <c r="AK1919">
        <v>23</v>
      </c>
      <c r="AL1919">
        <v>1.44</v>
      </c>
    </row>
    <row r="1920" spans="1:38" x14ac:dyDescent="0.3">
      <c r="A1920" t="s">
        <v>1813</v>
      </c>
      <c r="B1920">
        <v>130579</v>
      </c>
      <c r="C1920">
        <v>2</v>
      </c>
      <c r="D1920" t="s">
        <v>2552</v>
      </c>
      <c r="E1920" t="s">
        <v>1606</v>
      </c>
      <c r="F1920">
        <v>16</v>
      </c>
      <c r="G1920">
        <v>30.47</v>
      </c>
      <c r="H1920">
        <v>100.76</v>
      </c>
      <c r="I1920">
        <v>25.21</v>
      </c>
      <c r="J1920">
        <v>83.36</v>
      </c>
      <c r="K1920">
        <v>4</v>
      </c>
      <c r="T1920">
        <v>3</v>
      </c>
      <c r="U1920">
        <v>2</v>
      </c>
      <c r="V1920" t="s">
        <v>93</v>
      </c>
      <c r="W1920" t="s">
        <v>601</v>
      </c>
      <c r="X1920">
        <v>14</v>
      </c>
      <c r="Y1920">
        <v>14</v>
      </c>
      <c r="Z1920" t="s">
        <v>2553</v>
      </c>
      <c r="AA1920" t="s">
        <v>2554</v>
      </c>
      <c r="AB1920" t="s">
        <v>96</v>
      </c>
      <c r="AC1920" t="s">
        <v>97</v>
      </c>
      <c r="AD1920" t="s">
        <v>1818</v>
      </c>
      <c r="AG1920" t="s">
        <v>2555</v>
      </c>
      <c r="AH1920">
        <v>0</v>
      </c>
      <c r="AI1920">
        <v>849</v>
      </c>
      <c r="AJ1920">
        <v>75</v>
      </c>
      <c r="AK1920">
        <v>23</v>
      </c>
      <c r="AL1920">
        <v>1.44</v>
      </c>
    </row>
    <row r="1921" spans="1:38" x14ac:dyDescent="0.3">
      <c r="A1921" t="s">
        <v>1813</v>
      </c>
      <c r="B1921">
        <v>130579</v>
      </c>
      <c r="C1921">
        <v>3</v>
      </c>
      <c r="D1921" t="s">
        <v>2552</v>
      </c>
      <c r="E1921" t="s">
        <v>1606</v>
      </c>
      <c r="F1921">
        <v>16</v>
      </c>
      <c r="G1921">
        <v>30.34</v>
      </c>
      <c r="H1921">
        <v>100.32</v>
      </c>
      <c r="I1921">
        <v>25.24</v>
      </c>
      <c r="J1921">
        <v>83.45</v>
      </c>
      <c r="K1921">
        <v>4</v>
      </c>
      <c r="T1921">
        <v>3</v>
      </c>
      <c r="U1921">
        <v>2</v>
      </c>
      <c r="V1921" t="s">
        <v>93</v>
      </c>
      <c r="W1921" t="s">
        <v>1640</v>
      </c>
      <c r="X1921">
        <v>14</v>
      </c>
      <c r="Y1921">
        <v>14</v>
      </c>
      <c r="Z1921" t="s">
        <v>2553</v>
      </c>
      <c r="AA1921" t="s">
        <v>2554</v>
      </c>
      <c r="AB1921" t="s">
        <v>96</v>
      </c>
      <c r="AC1921" t="s">
        <v>97</v>
      </c>
      <c r="AD1921" t="s">
        <v>1818</v>
      </c>
      <c r="AG1921" t="s">
        <v>2555</v>
      </c>
      <c r="AH1921">
        <v>0</v>
      </c>
      <c r="AI1921">
        <v>849</v>
      </c>
      <c r="AJ1921">
        <v>75</v>
      </c>
      <c r="AK1921">
        <v>23</v>
      </c>
      <c r="AL1921">
        <v>1.44</v>
      </c>
    </row>
    <row r="1922" spans="1:38" x14ac:dyDescent="0.3">
      <c r="A1922" t="s">
        <v>1813</v>
      </c>
      <c r="B1922">
        <v>130579</v>
      </c>
      <c r="C1922">
        <v>4</v>
      </c>
      <c r="D1922" t="s">
        <v>2552</v>
      </c>
      <c r="E1922" t="s">
        <v>1606</v>
      </c>
      <c r="F1922">
        <v>16</v>
      </c>
      <c r="G1922">
        <v>30.95</v>
      </c>
      <c r="H1922">
        <v>102.33</v>
      </c>
      <c r="I1922">
        <v>25.68</v>
      </c>
      <c r="J1922">
        <v>84.91</v>
      </c>
      <c r="K1922">
        <v>4</v>
      </c>
      <c r="T1922">
        <v>3</v>
      </c>
      <c r="U1922">
        <v>2</v>
      </c>
      <c r="V1922" t="s">
        <v>93</v>
      </c>
      <c r="W1922">
        <v>102</v>
      </c>
      <c r="X1922">
        <v>14</v>
      </c>
      <c r="Y1922">
        <v>14</v>
      </c>
      <c r="Z1922" t="s">
        <v>2553</v>
      </c>
      <c r="AA1922" t="s">
        <v>2554</v>
      </c>
      <c r="AB1922" t="s">
        <v>96</v>
      </c>
      <c r="AC1922" t="s">
        <v>97</v>
      </c>
      <c r="AD1922" t="s">
        <v>1818</v>
      </c>
      <c r="AG1922" t="s">
        <v>2555</v>
      </c>
      <c r="AH1922">
        <v>0</v>
      </c>
      <c r="AI1922">
        <v>849</v>
      </c>
      <c r="AJ1922">
        <v>75</v>
      </c>
      <c r="AK1922">
        <v>23</v>
      </c>
      <c r="AL1922">
        <v>1.44</v>
      </c>
    </row>
    <row r="1923" spans="1:38" x14ac:dyDescent="0.3">
      <c r="A1923" t="s">
        <v>1813</v>
      </c>
      <c r="B1923">
        <v>106254</v>
      </c>
      <c r="C1923">
        <v>1</v>
      </c>
      <c r="D1923" t="s">
        <v>2556</v>
      </c>
      <c r="E1923" t="s">
        <v>2557</v>
      </c>
      <c r="F1923">
        <v>80</v>
      </c>
      <c r="G1923">
        <v>32.67</v>
      </c>
      <c r="H1923">
        <v>108.01</v>
      </c>
      <c r="I1923">
        <v>25.7</v>
      </c>
      <c r="J1923">
        <v>84.98</v>
      </c>
      <c r="K1923">
        <v>80</v>
      </c>
      <c r="T1923">
        <v>3</v>
      </c>
      <c r="U1923">
        <v>2</v>
      </c>
      <c r="V1923" t="s">
        <v>93</v>
      </c>
      <c r="W1923">
        <v>108</v>
      </c>
      <c r="X1923">
        <v>17</v>
      </c>
      <c r="Y1923">
        <v>17</v>
      </c>
      <c r="Z1923" t="s">
        <v>2558</v>
      </c>
      <c r="AA1923" t="s">
        <v>2559</v>
      </c>
      <c r="AB1923" t="s">
        <v>96</v>
      </c>
      <c r="AC1923" t="s">
        <v>97</v>
      </c>
      <c r="AD1923" t="s">
        <v>1818</v>
      </c>
      <c r="AG1923" t="s">
        <v>2560</v>
      </c>
      <c r="AH1923">
        <v>0</v>
      </c>
      <c r="AI1923">
        <v>683</v>
      </c>
      <c r="AJ1923">
        <v>78</v>
      </c>
      <c r="AK1923">
        <v>94</v>
      </c>
      <c r="AL1923">
        <v>1.18</v>
      </c>
    </row>
    <row r="1924" spans="1:38" x14ac:dyDescent="0.3">
      <c r="A1924" t="s">
        <v>1813</v>
      </c>
      <c r="B1924">
        <v>110194</v>
      </c>
      <c r="C1924">
        <v>1</v>
      </c>
      <c r="D1924" t="s">
        <v>2561</v>
      </c>
      <c r="E1924" t="s">
        <v>2034</v>
      </c>
      <c r="F1924">
        <v>11</v>
      </c>
      <c r="G1924">
        <v>22.92</v>
      </c>
      <c r="H1924">
        <v>75.8</v>
      </c>
      <c r="I1924">
        <v>18.84</v>
      </c>
      <c r="J1924">
        <v>62.3</v>
      </c>
      <c r="K1924">
        <v>1</v>
      </c>
      <c r="T1924">
        <v>3</v>
      </c>
      <c r="U1924">
        <v>1</v>
      </c>
      <c r="V1924" t="s">
        <v>93</v>
      </c>
      <c r="W1924">
        <v>75</v>
      </c>
      <c r="X1924">
        <v>10</v>
      </c>
      <c r="Y1924">
        <v>9</v>
      </c>
      <c r="Z1924" t="s">
        <v>2562</v>
      </c>
      <c r="AA1924" t="s">
        <v>2563</v>
      </c>
      <c r="AB1924" t="s">
        <v>96</v>
      </c>
      <c r="AC1924" t="s">
        <v>97</v>
      </c>
      <c r="AD1924" t="s">
        <v>1818</v>
      </c>
      <c r="AG1924" t="s">
        <v>2564</v>
      </c>
      <c r="AH1924">
        <v>0</v>
      </c>
      <c r="AI1924">
        <v>409</v>
      </c>
      <c r="AJ1924">
        <v>67</v>
      </c>
      <c r="AK1924">
        <v>11</v>
      </c>
      <c r="AL1924">
        <v>1</v>
      </c>
    </row>
    <row r="1925" spans="1:38" x14ac:dyDescent="0.3">
      <c r="A1925" t="s">
        <v>1813</v>
      </c>
      <c r="B1925">
        <v>110194</v>
      </c>
      <c r="C1925">
        <v>2</v>
      </c>
      <c r="D1925" t="s">
        <v>2561</v>
      </c>
      <c r="E1925" t="s">
        <v>2034</v>
      </c>
      <c r="F1925">
        <v>11</v>
      </c>
      <c r="G1925">
        <v>29.15</v>
      </c>
      <c r="H1925">
        <v>96.37</v>
      </c>
      <c r="I1925">
        <v>23.99</v>
      </c>
      <c r="J1925">
        <v>79.33</v>
      </c>
      <c r="K1925">
        <v>2</v>
      </c>
      <c r="T1925">
        <v>3</v>
      </c>
      <c r="U1925">
        <v>1</v>
      </c>
      <c r="V1925" t="s">
        <v>93</v>
      </c>
      <c r="W1925">
        <v>96</v>
      </c>
      <c r="X1925">
        <v>10</v>
      </c>
      <c r="Y1925">
        <v>9</v>
      </c>
      <c r="Z1925" t="s">
        <v>2562</v>
      </c>
      <c r="AA1925" t="s">
        <v>2563</v>
      </c>
      <c r="AB1925" t="s">
        <v>96</v>
      </c>
      <c r="AC1925" t="s">
        <v>97</v>
      </c>
      <c r="AD1925" t="s">
        <v>1818</v>
      </c>
      <c r="AG1925" t="s">
        <v>2564</v>
      </c>
      <c r="AH1925">
        <v>0</v>
      </c>
      <c r="AI1925">
        <v>409</v>
      </c>
      <c r="AJ1925">
        <v>67</v>
      </c>
      <c r="AK1925">
        <v>11</v>
      </c>
      <c r="AL1925">
        <v>1</v>
      </c>
    </row>
    <row r="1926" spans="1:38" x14ac:dyDescent="0.3">
      <c r="A1926" t="s">
        <v>1813</v>
      </c>
      <c r="B1926">
        <v>110194</v>
      </c>
      <c r="C1926">
        <v>3</v>
      </c>
      <c r="D1926" t="s">
        <v>2561</v>
      </c>
      <c r="E1926" t="s">
        <v>2034</v>
      </c>
      <c r="F1926">
        <v>11</v>
      </c>
      <c r="G1926">
        <v>29.88</v>
      </c>
      <c r="H1926">
        <v>98.79</v>
      </c>
      <c r="I1926">
        <v>24.65</v>
      </c>
      <c r="J1926">
        <v>81.5</v>
      </c>
      <c r="K1926">
        <v>5</v>
      </c>
      <c r="T1926">
        <v>3</v>
      </c>
      <c r="U1926">
        <v>2</v>
      </c>
      <c r="V1926" t="s">
        <v>93</v>
      </c>
      <c r="W1926">
        <v>98</v>
      </c>
      <c r="X1926">
        <v>10</v>
      </c>
      <c r="Y1926">
        <v>9</v>
      </c>
      <c r="Z1926" t="s">
        <v>2562</v>
      </c>
      <c r="AA1926" t="s">
        <v>2563</v>
      </c>
      <c r="AB1926" t="s">
        <v>96</v>
      </c>
      <c r="AC1926" t="s">
        <v>97</v>
      </c>
      <c r="AD1926" t="s">
        <v>1818</v>
      </c>
      <c r="AG1926" t="s">
        <v>2564</v>
      </c>
      <c r="AH1926">
        <v>0</v>
      </c>
      <c r="AI1926">
        <v>409</v>
      </c>
      <c r="AJ1926">
        <v>67</v>
      </c>
      <c r="AK1926">
        <v>11</v>
      </c>
      <c r="AL1926">
        <v>1</v>
      </c>
    </row>
    <row r="1927" spans="1:38" x14ac:dyDescent="0.3">
      <c r="A1927" t="s">
        <v>1813</v>
      </c>
      <c r="B1927">
        <v>110194</v>
      </c>
      <c r="C1927">
        <v>4</v>
      </c>
      <c r="D1927" t="s">
        <v>2561</v>
      </c>
      <c r="E1927" t="s">
        <v>2034</v>
      </c>
      <c r="F1927">
        <v>11</v>
      </c>
      <c r="G1927">
        <v>30.56</v>
      </c>
      <c r="H1927">
        <v>101.03</v>
      </c>
      <c r="I1927">
        <v>25.18</v>
      </c>
      <c r="J1927">
        <v>83.26</v>
      </c>
      <c r="K1927">
        <v>2</v>
      </c>
      <c r="T1927">
        <v>3</v>
      </c>
      <c r="U1927">
        <v>2</v>
      </c>
      <c r="V1927" t="s">
        <v>93</v>
      </c>
      <c r="W1927" t="s">
        <v>1055</v>
      </c>
      <c r="X1927">
        <v>10</v>
      </c>
      <c r="Y1927">
        <v>9</v>
      </c>
      <c r="Z1927" t="s">
        <v>2562</v>
      </c>
      <c r="AA1927" t="s">
        <v>2563</v>
      </c>
      <c r="AB1927" t="s">
        <v>96</v>
      </c>
      <c r="AC1927" t="s">
        <v>97</v>
      </c>
      <c r="AD1927" t="s">
        <v>1818</v>
      </c>
      <c r="AG1927" t="s">
        <v>2564</v>
      </c>
      <c r="AH1927">
        <v>0</v>
      </c>
      <c r="AI1927">
        <v>409</v>
      </c>
      <c r="AJ1927">
        <v>67</v>
      </c>
      <c r="AK1927">
        <v>11</v>
      </c>
      <c r="AL1927">
        <v>1</v>
      </c>
    </row>
    <row r="1928" spans="1:38" x14ac:dyDescent="0.3">
      <c r="A1928" t="s">
        <v>1813</v>
      </c>
      <c r="B1928">
        <v>110194</v>
      </c>
      <c r="C1928">
        <v>5</v>
      </c>
      <c r="D1928" t="s">
        <v>2561</v>
      </c>
      <c r="E1928" t="s">
        <v>2034</v>
      </c>
      <c r="F1928">
        <v>11</v>
      </c>
      <c r="G1928">
        <v>31.19</v>
      </c>
      <c r="H1928">
        <v>103.12</v>
      </c>
      <c r="I1928">
        <v>25.69</v>
      </c>
      <c r="J1928">
        <v>84.95</v>
      </c>
      <c r="K1928">
        <v>1</v>
      </c>
      <c r="T1928">
        <v>3</v>
      </c>
      <c r="U1928">
        <v>2</v>
      </c>
      <c r="V1928" t="s">
        <v>93</v>
      </c>
      <c r="W1928" t="s">
        <v>602</v>
      </c>
      <c r="X1928">
        <v>10</v>
      </c>
      <c r="Y1928">
        <v>9</v>
      </c>
      <c r="Z1928" t="s">
        <v>2562</v>
      </c>
      <c r="AA1928" t="s">
        <v>2563</v>
      </c>
      <c r="AB1928" t="s">
        <v>96</v>
      </c>
      <c r="AC1928" t="s">
        <v>97</v>
      </c>
      <c r="AD1928" t="s">
        <v>1818</v>
      </c>
      <c r="AG1928" t="s">
        <v>2564</v>
      </c>
      <c r="AH1928">
        <v>0</v>
      </c>
      <c r="AI1928">
        <v>409</v>
      </c>
      <c r="AJ1928">
        <v>67</v>
      </c>
      <c r="AK1928">
        <v>11</v>
      </c>
      <c r="AL1928">
        <v>1</v>
      </c>
    </row>
    <row r="1929" spans="1:38" x14ac:dyDescent="0.3">
      <c r="A1929" t="s">
        <v>1813</v>
      </c>
      <c r="B1929">
        <v>108118</v>
      </c>
      <c r="C1929">
        <v>1</v>
      </c>
      <c r="D1929" t="s">
        <v>2565</v>
      </c>
      <c r="E1929" t="s">
        <v>2566</v>
      </c>
      <c r="F1929">
        <v>17</v>
      </c>
      <c r="G1929">
        <v>24.32</v>
      </c>
      <c r="H1929">
        <v>80.400000000000006</v>
      </c>
      <c r="I1929">
        <v>20.88</v>
      </c>
      <c r="J1929">
        <v>69.05</v>
      </c>
      <c r="K1929">
        <v>1</v>
      </c>
      <c r="T1929">
        <v>3</v>
      </c>
      <c r="U1929">
        <v>2</v>
      </c>
      <c r="V1929" t="s">
        <v>211</v>
      </c>
      <c r="W1929">
        <v>80</v>
      </c>
      <c r="X1929">
        <v>10</v>
      </c>
      <c r="Y1929">
        <v>9</v>
      </c>
      <c r="Z1929" t="s">
        <v>2567</v>
      </c>
      <c r="AA1929" t="s">
        <v>2568</v>
      </c>
      <c r="AB1929" t="s">
        <v>96</v>
      </c>
      <c r="AC1929" t="s">
        <v>97</v>
      </c>
      <c r="AD1929" t="s">
        <v>1818</v>
      </c>
      <c r="AG1929" t="s">
        <v>2569</v>
      </c>
      <c r="AH1929">
        <v>0</v>
      </c>
      <c r="AI1929">
        <v>333</v>
      </c>
      <c r="AJ1929">
        <v>54</v>
      </c>
      <c r="AK1929">
        <v>17</v>
      </c>
      <c r="AL1929">
        <v>1</v>
      </c>
    </row>
    <row r="1930" spans="1:38" x14ac:dyDescent="0.3">
      <c r="A1930" t="s">
        <v>1813</v>
      </c>
      <c r="B1930">
        <v>108118</v>
      </c>
      <c r="C1930">
        <v>2</v>
      </c>
      <c r="D1930" t="s">
        <v>2565</v>
      </c>
      <c r="E1930" t="s">
        <v>2566</v>
      </c>
      <c r="F1930">
        <v>17</v>
      </c>
      <c r="G1930">
        <v>26.46</v>
      </c>
      <c r="H1930">
        <v>87.49</v>
      </c>
      <c r="I1930">
        <v>22.72</v>
      </c>
      <c r="J1930">
        <v>75.14</v>
      </c>
      <c r="K1930">
        <v>7</v>
      </c>
      <c r="T1930">
        <v>3</v>
      </c>
      <c r="U1930">
        <v>2</v>
      </c>
      <c r="V1930" t="s">
        <v>211</v>
      </c>
      <c r="W1930">
        <v>87</v>
      </c>
      <c r="X1930">
        <v>10</v>
      </c>
      <c r="Y1930">
        <v>9</v>
      </c>
      <c r="Z1930" t="s">
        <v>2567</v>
      </c>
      <c r="AA1930" t="s">
        <v>2568</v>
      </c>
      <c r="AB1930" t="s">
        <v>96</v>
      </c>
      <c r="AC1930" t="s">
        <v>97</v>
      </c>
      <c r="AD1930" t="s">
        <v>1818</v>
      </c>
      <c r="AG1930" t="s">
        <v>2569</v>
      </c>
      <c r="AH1930">
        <v>0</v>
      </c>
      <c r="AI1930">
        <v>333</v>
      </c>
      <c r="AJ1930">
        <v>54</v>
      </c>
      <c r="AK1930">
        <v>17</v>
      </c>
      <c r="AL1930">
        <v>1</v>
      </c>
    </row>
    <row r="1931" spans="1:38" x14ac:dyDescent="0.3">
      <c r="A1931" t="s">
        <v>1813</v>
      </c>
      <c r="B1931">
        <v>108118</v>
      </c>
      <c r="C1931">
        <v>3</v>
      </c>
      <c r="D1931" t="s">
        <v>2565</v>
      </c>
      <c r="E1931" t="s">
        <v>2566</v>
      </c>
      <c r="F1931">
        <v>17</v>
      </c>
      <c r="G1931">
        <v>26.72</v>
      </c>
      <c r="H1931">
        <v>88.34</v>
      </c>
      <c r="I1931">
        <v>22.95</v>
      </c>
      <c r="J1931">
        <v>75.87</v>
      </c>
      <c r="K1931">
        <v>8</v>
      </c>
      <c r="T1931">
        <v>3</v>
      </c>
      <c r="U1931">
        <v>2</v>
      </c>
      <c r="V1931" t="s">
        <v>211</v>
      </c>
      <c r="W1931">
        <v>88</v>
      </c>
      <c r="X1931">
        <v>10</v>
      </c>
      <c r="Y1931">
        <v>9</v>
      </c>
      <c r="Z1931" t="s">
        <v>2567</v>
      </c>
      <c r="AA1931" t="s">
        <v>2568</v>
      </c>
      <c r="AB1931" t="s">
        <v>96</v>
      </c>
      <c r="AC1931" t="s">
        <v>97</v>
      </c>
      <c r="AD1931" t="s">
        <v>1818</v>
      </c>
      <c r="AG1931" t="s">
        <v>2569</v>
      </c>
      <c r="AH1931">
        <v>0</v>
      </c>
      <c r="AI1931">
        <v>333</v>
      </c>
      <c r="AJ1931">
        <v>54</v>
      </c>
      <c r="AK1931">
        <v>17</v>
      </c>
      <c r="AL1931">
        <v>1</v>
      </c>
    </row>
    <row r="1932" spans="1:38" x14ac:dyDescent="0.3">
      <c r="A1932" t="s">
        <v>1813</v>
      </c>
      <c r="B1932">
        <v>108118</v>
      </c>
      <c r="C1932">
        <v>4</v>
      </c>
      <c r="D1932" t="s">
        <v>2565</v>
      </c>
      <c r="E1932" t="s">
        <v>2566</v>
      </c>
      <c r="F1932">
        <v>17</v>
      </c>
      <c r="G1932">
        <v>39.53</v>
      </c>
      <c r="H1932">
        <v>130.69999999999999</v>
      </c>
      <c r="I1932">
        <v>33.950000000000003</v>
      </c>
      <c r="J1932">
        <v>112.25</v>
      </c>
      <c r="K1932">
        <v>1</v>
      </c>
      <c r="T1932">
        <v>4</v>
      </c>
      <c r="U1932">
        <v>2</v>
      </c>
      <c r="V1932" t="s">
        <v>211</v>
      </c>
      <c r="W1932">
        <v>130</v>
      </c>
      <c r="X1932">
        <v>10</v>
      </c>
      <c r="Y1932">
        <v>9</v>
      </c>
      <c r="Z1932" t="s">
        <v>2567</v>
      </c>
      <c r="AA1932" t="s">
        <v>2568</v>
      </c>
      <c r="AB1932" t="s">
        <v>96</v>
      </c>
      <c r="AC1932" t="s">
        <v>97</v>
      </c>
      <c r="AD1932" t="s">
        <v>1818</v>
      </c>
      <c r="AG1932" t="s">
        <v>2569</v>
      </c>
      <c r="AH1932">
        <v>0</v>
      </c>
      <c r="AI1932">
        <v>333</v>
      </c>
      <c r="AJ1932">
        <v>54</v>
      </c>
      <c r="AK1932">
        <v>17</v>
      </c>
      <c r="AL1932">
        <v>1</v>
      </c>
    </row>
    <row r="1933" spans="1:38" x14ac:dyDescent="0.3">
      <c r="A1933" t="s">
        <v>1813</v>
      </c>
      <c r="B1933">
        <v>108210</v>
      </c>
      <c r="C1933">
        <v>1</v>
      </c>
      <c r="D1933" t="s">
        <v>2570</v>
      </c>
      <c r="E1933" t="s">
        <v>2571</v>
      </c>
      <c r="F1933">
        <v>16</v>
      </c>
      <c r="G1933">
        <v>28.66</v>
      </c>
      <c r="H1933">
        <v>94.77</v>
      </c>
      <c r="I1933">
        <v>25.63</v>
      </c>
      <c r="J1933">
        <v>84.75</v>
      </c>
      <c r="K1933">
        <v>16</v>
      </c>
      <c r="T1933">
        <v>3</v>
      </c>
      <c r="U1933">
        <v>2</v>
      </c>
      <c r="V1933" t="s">
        <v>93</v>
      </c>
      <c r="W1933">
        <v>94</v>
      </c>
      <c r="X1933">
        <v>7</v>
      </c>
      <c r="Y1933">
        <v>3</v>
      </c>
      <c r="Z1933" t="s">
        <v>2572</v>
      </c>
      <c r="AA1933" t="s">
        <v>2573</v>
      </c>
      <c r="AB1933" t="s">
        <v>96</v>
      </c>
      <c r="AC1933" t="s">
        <v>97</v>
      </c>
      <c r="AD1933" t="s">
        <v>1818</v>
      </c>
      <c r="AG1933" t="s">
        <v>2574</v>
      </c>
      <c r="AH1933">
        <v>0</v>
      </c>
      <c r="AI1933">
        <v>331</v>
      </c>
      <c r="AJ1933">
        <v>67</v>
      </c>
      <c r="AK1933">
        <v>16</v>
      </c>
      <c r="AL1933">
        <v>1</v>
      </c>
    </row>
    <row r="1934" spans="1:38" x14ac:dyDescent="0.3">
      <c r="A1934" t="s">
        <v>1813</v>
      </c>
      <c r="B1934">
        <v>114983</v>
      </c>
      <c r="C1934">
        <v>1</v>
      </c>
      <c r="D1934" t="s">
        <v>2575</v>
      </c>
      <c r="E1934" t="s">
        <v>348</v>
      </c>
      <c r="F1934">
        <v>24</v>
      </c>
      <c r="G1934">
        <v>18</v>
      </c>
      <c r="H1934">
        <v>59.53</v>
      </c>
      <c r="I1934">
        <v>15.01</v>
      </c>
      <c r="J1934">
        <v>49.65</v>
      </c>
      <c r="K1934">
        <v>12</v>
      </c>
      <c r="T1934">
        <v>3</v>
      </c>
      <c r="U1934">
        <v>1</v>
      </c>
      <c r="V1934" t="s">
        <v>93</v>
      </c>
      <c r="W1934" t="s">
        <v>1431</v>
      </c>
      <c r="X1934">
        <v>4</v>
      </c>
      <c r="Y1934">
        <v>4</v>
      </c>
      <c r="Z1934" t="s">
        <v>2576</v>
      </c>
      <c r="AA1934" t="s">
        <v>2577</v>
      </c>
      <c r="AB1934" t="s">
        <v>96</v>
      </c>
      <c r="AC1934" t="s">
        <v>97</v>
      </c>
      <c r="AD1934" t="s">
        <v>1818</v>
      </c>
      <c r="AG1934" t="s">
        <v>2578</v>
      </c>
      <c r="AH1934">
        <v>0</v>
      </c>
      <c r="AI1934">
        <v>948</v>
      </c>
      <c r="AJ1934">
        <v>79</v>
      </c>
      <c r="AK1934">
        <v>17</v>
      </c>
      <c r="AL1934">
        <v>0.71</v>
      </c>
    </row>
    <row r="1935" spans="1:38" x14ac:dyDescent="0.3">
      <c r="A1935" t="s">
        <v>1813</v>
      </c>
      <c r="B1935">
        <v>114983</v>
      </c>
      <c r="C1935">
        <v>2</v>
      </c>
      <c r="D1935" t="s">
        <v>2575</v>
      </c>
      <c r="E1935" t="s">
        <v>348</v>
      </c>
      <c r="F1935">
        <v>24</v>
      </c>
      <c r="G1935">
        <v>18.29</v>
      </c>
      <c r="H1935">
        <v>60.47</v>
      </c>
      <c r="I1935">
        <v>15.29</v>
      </c>
      <c r="J1935">
        <v>50.56</v>
      </c>
      <c r="K1935">
        <v>6</v>
      </c>
      <c r="T1935">
        <v>3</v>
      </c>
      <c r="U1935">
        <v>1</v>
      </c>
      <c r="V1935" t="s">
        <v>93</v>
      </c>
      <c r="W1935" t="s">
        <v>179</v>
      </c>
      <c r="X1935">
        <v>4</v>
      </c>
      <c r="Y1935">
        <v>4</v>
      </c>
      <c r="Z1935" t="s">
        <v>2576</v>
      </c>
      <c r="AA1935" t="s">
        <v>2577</v>
      </c>
      <c r="AB1935" t="s">
        <v>96</v>
      </c>
      <c r="AC1935" t="s">
        <v>97</v>
      </c>
      <c r="AD1935" t="s">
        <v>1818</v>
      </c>
      <c r="AG1935" t="s">
        <v>2578</v>
      </c>
      <c r="AH1935">
        <v>0</v>
      </c>
      <c r="AI1935">
        <v>948</v>
      </c>
      <c r="AJ1935">
        <v>79</v>
      </c>
      <c r="AK1935">
        <v>17</v>
      </c>
      <c r="AL1935">
        <v>0.71</v>
      </c>
    </row>
    <row r="1936" spans="1:38" x14ac:dyDescent="0.3">
      <c r="A1936" t="s">
        <v>1813</v>
      </c>
      <c r="B1936">
        <v>114983</v>
      </c>
      <c r="C1936">
        <v>3</v>
      </c>
      <c r="D1936" t="s">
        <v>2575</v>
      </c>
      <c r="E1936" t="s">
        <v>348</v>
      </c>
      <c r="F1936">
        <v>24</v>
      </c>
      <c r="G1936">
        <v>18.5</v>
      </c>
      <c r="H1936">
        <v>61.18</v>
      </c>
      <c r="I1936">
        <v>15.44</v>
      </c>
      <c r="J1936">
        <v>51.07</v>
      </c>
      <c r="K1936">
        <v>6</v>
      </c>
      <c r="T1936">
        <v>3</v>
      </c>
      <c r="U1936">
        <v>1</v>
      </c>
      <c r="V1936" t="s">
        <v>93</v>
      </c>
      <c r="W1936">
        <v>61</v>
      </c>
      <c r="X1936">
        <v>4</v>
      </c>
      <c r="Y1936">
        <v>4</v>
      </c>
      <c r="Z1936" t="s">
        <v>2576</v>
      </c>
      <c r="AA1936" t="s">
        <v>2577</v>
      </c>
      <c r="AB1936" t="s">
        <v>96</v>
      </c>
      <c r="AC1936" t="s">
        <v>97</v>
      </c>
      <c r="AD1936" t="s">
        <v>1818</v>
      </c>
      <c r="AG1936" t="s">
        <v>2578</v>
      </c>
      <c r="AH1936">
        <v>0</v>
      </c>
      <c r="AI1936">
        <v>948</v>
      </c>
      <c r="AJ1936">
        <v>79</v>
      </c>
      <c r="AK1936">
        <v>17</v>
      </c>
      <c r="AL1936">
        <v>0.71</v>
      </c>
    </row>
    <row r="1937" spans="1:38" x14ac:dyDescent="0.3">
      <c r="A1937" t="s">
        <v>1813</v>
      </c>
      <c r="B1937">
        <v>101814</v>
      </c>
      <c r="C1937">
        <v>1</v>
      </c>
      <c r="D1937" t="s">
        <v>2579</v>
      </c>
      <c r="E1937" t="s">
        <v>238</v>
      </c>
      <c r="F1937">
        <v>19</v>
      </c>
      <c r="G1937">
        <v>25.69</v>
      </c>
      <c r="H1937">
        <v>84.93</v>
      </c>
      <c r="I1937">
        <v>21.58</v>
      </c>
      <c r="J1937">
        <v>71.36</v>
      </c>
      <c r="K1937">
        <v>5</v>
      </c>
      <c r="T1937">
        <v>3</v>
      </c>
      <c r="U1937">
        <v>1</v>
      </c>
      <c r="V1937" t="s">
        <v>93</v>
      </c>
      <c r="W1937" t="s">
        <v>383</v>
      </c>
      <c r="X1937">
        <v>10</v>
      </c>
      <c r="Y1937">
        <v>10</v>
      </c>
      <c r="Z1937" t="s">
        <v>2580</v>
      </c>
      <c r="AA1937" t="s">
        <v>2581</v>
      </c>
      <c r="AB1937" t="s">
        <v>96</v>
      </c>
      <c r="AC1937" t="s">
        <v>97</v>
      </c>
      <c r="AD1937" t="s">
        <v>1818</v>
      </c>
      <c r="AG1937" t="s">
        <v>2582</v>
      </c>
      <c r="AH1937">
        <v>0</v>
      </c>
      <c r="AI1937">
        <v>480</v>
      </c>
      <c r="AJ1937">
        <v>55</v>
      </c>
      <c r="AK1937">
        <v>21</v>
      </c>
      <c r="AL1937">
        <v>1.1100000000000001</v>
      </c>
    </row>
    <row r="1938" spans="1:38" x14ac:dyDescent="0.3">
      <c r="A1938" t="s">
        <v>1813</v>
      </c>
      <c r="B1938">
        <v>101814</v>
      </c>
      <c r="C1938">
        <v>2</v>
      </c>
      <c r="D1938" t="s">
        <v>2579</v>
      </c>
      <c r="E1938" t="s">
        <v>238</v>
      </c>
      <c r="F1938">
        <v>19</v>
      </c>
      <c r="G1938">
        <v>25.94</v>
      </c>
      <c r="H1938">
        <v>85.76</v>
      </c>
      <c r="I1938">
        <v>21.79</v>
      </c>
      <c r="J1938">
        <v>72.06</v>
      </c>
      <c r="K1938">
        <v>5</v>
      </c>
      <c r="T1938">
        <v>3</v>
      </c>
      <c r="U1938">
        <v>1</v>
      </c>
      <c r="V1938" t="s">
        <v>93</v>
      </c>
      <c r="W1938" t="s">
        <v>434</v>
      </c>
      <c r="X1938">
        <v>10</v>
      </c>
      <c r="Y1938">
        <v>10</v>
      </c>
      <c r="Z1938" t="s">
        <v>2580</v>
      </c>
      <c r="AA1938" t="s">
        <v>2581</v>
      </c>
      <c r="AB1938" t="s">
        <v>96</v>
      </c>
      <c r="AC1938" t="s">
        <v>97</v>
      </c>
      <c r="AD1938" t="s">
        <v>1818</v>
      </c>
      <c r="AG1938" t="s">
        <v>2582</v>
      </c>
      <c r="AH1938">
        <v>0</v>
      </c>
      <c r="AI1938">
        <v>480</v>
      </c>
      <c r="AJ1938">
        <v>55</v>
      </c>
      <c r="AK1938">
        <v>21</v>
      </c>
      <c r="AL1938">
        <v>1.1100000000000001</v>
      </c>
    </row>
    <row r="1939" spans="1:38" x14ac:dyDescent="0.3">
      <c r="A1939" t="s">
        <v>1813</v>
      </c>
      <c r="B1939">
        <v>101814</v>
      </c>
      <c r="C1939">
        <v>3</v>
      </c>
      <c r="D1939" t="s">
        <v>2579</v>
      </c>
      <c r="E1939" t="s">
        <v>238</v>
      </c>
      <c r="F1939">
        <v>19</v>
      </c>
      <c r="G1939">
        <v>30.6</v>
      </c>
      <c r="H1939">
        <v>101.17</v>
      </c>
      <c r="I1939">
        <v>25.7</v>
      </c>
      <c r="J1939">
        <v>84.99</v>
      </c>
      <c r="K1939">
        <v>7</v>
      </c>
      <c r="T1939">
        <v>3</v>
      </c>
      <c r="U1939">
        <v>1</v>
      </c>
      <c r="V1939" t="s">
        <v>93</v>
      </c>
      <c r="W1939">
        <v>101</v>
      </c>
      <c r="X1939">
        <v>10</v>
      </c>
      <c r="Y1939">
        <v>10</v>
      </c>
      <c r="Z1939" t="s">
        <v>2580</v>
      </c>
      <c r="AA1939" t="s">
        <v>2581</v>
      </c>
      <c r="AB1939" t="s">
        <v>96</v>
      </c>
      <c r="AC1939" t="s">
        <v>97</v>
      </c>
      <c r="AD1939" t="s">
        <v>1818</v>
      </c>
      <c r="AG1939" t="s">
        <v>2582</v>
      </c>
      <c r="AH1939">
        <v>0</v>
      </c>
      <c r="AI1939">
        <v>480</v>
      </c>
      <c r="AJ1939">
        <v>55</v>
      </c>
      <c r="AK1939">
        <v>21</v>
      </c>
      <c r="AL1939">
        <v>1.1100000000000001</v>
      </c>
    </row>
    <row r="1940" spans="1:38" x14ac:dyDescent="0.3">
      <c r="A1940" t="s">
        <v>1813</v>
      </c>
      <c r="B1940">
        <v>101814</v>
      </c>
      <c r="C1940">
        <v>4</v>
      </c>
      <c r="D1940" t="s">
        <v>2579</v>
      </c>
      <c r="E1940" t="s">
        <v>238</v>
      </c>
      <c r="F1940">
        <v>19</v>
      </c>
      <c r="G1940">
        <v>51.38</v>
      </c>
      <c r="H1940">
        <v>169.87</v>
      </c>
      <c r="I1940">
        <v>43.17</v>
      </c>
      <c r="J1940">
        <v>142.72</v>
      </c>
      <c r="K1940">
        <v>1</v>
      </c>
      <c r="T1940">
        <v>4</v>
      </c>
      <c r="U1940">
        <v>2</v>
      </c>
      <c r="V1940" t="s">
        <v>93</v>
      </c>
      <c r="W1940">
        <v>169</v>
      </c>
      <c r="X1940">
        <v>10</v>
      </c>
      <c r="Y1940">
        <v>10</v>
      </c>
      <c r="Z1940" t="s">
        <v>2580</v>
      </c>
      <c r="AA1940" t="s">
        <v>2581</v>
      </c>
      <c r="AB1940" t="s">
        <v>96</v>
      </c>
      <c r="AC1940" t="s">
        <v>97</v>
      </c>
      <c r="AD1940" t="s">
        <v>1818</v>
      </c>
      <c r="AG1940" t="s">
        <v>2582</v>
      </c>
      <c r="AH1940">
        <v>0</v>
      </c>
      <c r="AI1940">
        <v>480</v>
      </c>
      <c r="AJ1940">
        <v>55</v>
      </c>
      <c r="AK1940">
        <v>21</v>
      </c>
      <c r="AL1940">
        <v>1.1100000000000001</v>
      </c>
    </row>
    <row r="1941" spans="1:38" x14ac:dyDescent="0.3">
      <c r="A1941" t="s">
        <v>1813</v>
      </c>
      <c r="B1941">
        <v>101814</v>
      </c>
      <c r="C1941">
        <v>5</v>
      </c>
      <c r="D1941" t="s">
        <v>2579</v>
      </c>
      <c r="E1941" t="s">
        <v>238</v>
      </c>
      <c r="F1941">
        <v>19</v>
      </c>
      <c r="G1941">
        <v>52.57</v>
      </c>
      <c r="H1941">
        <v>173.79</v>
      </c>
      <c r="I1941">
        <v>44.16</v>
      </c>
      <c r="J1941">
        <v>146.01</v>
      </c>
      <c r="K1941">
        <v>1</v>
      </c>
      <c r="T1941">
        <v>4</v>
      </c>
      <c r="U1941">
        <v>2</v>
      </c>
      <c r="V1941" t="s">
        <v>93</v>
      </c>
      <c r="W1941">
        <v>173</v>
      </c>
      <c r="X1941">
        <v>10</v>
      </c>
      <c r="Y1941">
        <v>10</v>
      </c>
      <c r="Z1941" t="s">
        <v>2580</v>
      </c>
      <c r="AA1941" t="s">
        <v>2581</v>
      </c>
      <c r="AB1941" t="s">
        <v>96</v>
      </c>
      <c r="AC1941" t="s">
        <v>97</v>
      </c>
      <c r="AD1941" t="s">
        <v>1818</v>
      </c>
      <c r="AG1941" t="s">
        <v>2582</v>
      </c>
      <c r="AH1941">
        <v>0</v>
      </c>
      <c r="AI1941">
        <v>480</v>
      </c>
      <c r="AJ1941">
        <v>55</v>
      </c>
      <c r="AK1941">
        <v>21</v>
      </c>
      <c r="AL1941">
        <v>1.1100000000000001</v>
      </c>
    </row>
    <row r="1942" spans="1:38" x14ac:dyDescent="0.3">
      <c r="A1942" t="s">
        <v>1813</v>
      </c>
      <c r="B1942">
        <v>13557</v>
      </c>
      <c r="C1942">
        <v>1</v>
      </c>
      <c r="D1942" t="s">
        <v>2583</v>
      </c>
      <c r="E1942" t="s">
        <v>2584</v>
      </c>
      <c r="F1942">
        <v>18</v>
      </c>
      <c r="G1942">
        <v>7.79</v>
      </c>
      <c r="H1942">
        <v>25.76</v>
      </c>
      <c r="I1942">
        <v>6.96</v>
      </c>
      <c r="J1942">
        <v>23.04</v>
      </c>
      <c r="K1942">
        <v>1</v>
      </c>
      <c r="T1942">
        <v>1</v>
      </c>
      <c r="U1942">
        <v>1</v>
      </c>
      <c r="V1942" t="s">
        <v>211</v>
      </c>
      <c r="W1942">
        <v>25</v>
      </c>
      <c r="X1942">
        <v>5</v>
      </c>
      <c r="Y1942">
        <v>5</v>
      </c>
      <c r="Z1942" t="s">
        <v>2585</v>
      </c>
      <c r="AA1942" t="s">
        <v>2586</v>
      </c>
      <c r="AB1942" t="s">
        <v>96</v>
      </c>
      <c r="AC1942" t="s">
        <v>97</v>
      </c>
      <c r="AD1942" t="s">
        <v>1818</v>
      </c>
      <c r="AG1942" t="s">
        <v>2587</v>
      </c>
      <c r="AH1942">
        <v>0</v>
      </c>
      <c r="AI1942">
        <v>299</v>
      </c>
      <c r="AJ1942">
        <v>76</v>
      </c>
      <c r="AK1942">
        <v>6</v>
      </c>
      <c r="AL1942">
        <v>0.33</v>
      </c>
    </row>
    <row r="1943" spans="1:38" x14ac:dyDescent="0.3">
      <c r="A1943" t="s">
        <v>1813</v>
      </c>
      <c r="B1943">
        <v>13557</v>
      </c>
      <c r="C1943">
        <v>2</v>
      </c>
      <c r="D1943" t="s">
        <v>2583</v>
      </c>
      <c r="E1943" t="s">
        <v>2584</v>
      </c>
      <c r="F1943">
        <v>18</v>
      </c>
      <c r="G1943">
        <v>10.39</v>
      </c>
      <c r="H1943">
        <v>34.35</v>
      </c>
      <c r="I1943">
        <v>9.2899999999999991</v>
      </c>
      <c r="J1943">
        <v>30.72</v>
      </c>
      <c r="K1943">
        <v>4</v>
      </c>
      <c r="T1943">
        <v>1</v>
      </c>
      <c r="U1943">
        <v>1</v>
      </c>
      <c r="V1943" t="s">
        <v>211</v>
      </c>
      <c r="W1943">
        <v>34</v>
      </c>
      <c r="X1943">
        <v>5</v>
      </c>
      <c r="Y1943">
        <v>5</v>
      </c>
      <c r="Z1943" t="s">
        <v>2585</v>
      </c>
      <c r="AA1943" t="s">
        <v>2586</v>
      </c>
      <c r="AB1943" t="s">
        <v>96</v>
      </c>
      <c r="AC1943" t="s">
        <v>97</v>
      </c>
      <c r="AD1943" t="s">
        <v>1818</v>
      </c>
      <c r="AG1943" t="s">
        <v>2587</v>
      </c>
      <c r="AH1943">
        <v>0</v>
      </c>
      <c r="AI1943">
        <v>299</v>
      </c>
      <c r="AJ1943">
        <v>76</v>
      </c>
      <c r="AK1943">
        <v>6</v>
      </c>
      <c r="AL1943">
        <v>0.33</v>
      </c>
    </row>
    <row r="1944" spans="1:38" x14ac:dyDescent="0.3">
      <c r="A1944" t="s">
        <v>1813</v>
      </c>
      <c r="B1944">
        <v>13557</v>
      </c>
      <c r="C1944">
        <v>3</v>
      </c>
      <c r="D1944" t="s">
        <v>2583</v>
      </c>
      <c r="E1944" t="s">
        <v>2584</v>
      </c>
      <c r="F1944">
        <v>18</v>
      </c>
      <c r="G1944">
        <v>12.22</v>
      </c>
      <c r="H1944">
        <v>40.4</v>
      </c>
      <c r="I1944">
        <v>10.93</v>
      </c>
      <c r="J1944">
        <v>36.14</v>
      </c>
      <c r="K1944">
        <v>1</v>
      </c>
      <c r="T1944">
        <v>1</v>
      </c>
      <c r="U1944">
        <v>1</v>
      </c>
      <c r="V1944" t="s">
        <v>211</v>
      </c>
      <c r="W1944">
        <v>40</v>
      </c>
      <c r="X1944">
        <v>5</v>
      </c>
      <c r="Y1944">
        <v>5</v>
      </c>
      <c r="Z1944" t="s">
        <v>2585</v>
      </c>
      <c r="AA1944" t="s">
        <v>2586</v>
      </c>
      <c r="AB1944" t="s">
        <v>96</v>
      </c>
      <c r="AC1944" t="s">
        <v>97</v>
      </c>
      <c r="AD1944" t="s">
        <v>1818</v>
      </c>
      <c r="AG1944" t="s">
        <v>2587</v>
      </c>
      <c r="AH1944">
        <v>0</v>
      </c>
      <c r="AI1944">
        <v>299</v>
      </c>
      <c r="AJ1944">
        <v>76</v>
      </c>
      <c r="AK1944">
        <v>6</v>
      </c>
      <c r="AL1944">
        <v>0.33</v>
      </c>
    </row>
    <row r="1945" spans="1:38" x14ac:dyDescent="0.3">
      <c r="A1945" t="s">
        <v>1813</v>
      </c>
      <c r="B1945">
        <v>13557</v>
      </c>
      <c r="C1945">
        <v>4</v>
      </c>
      <c r="D1945" t="s">
        <v>2583</v>
      </c>
      <c r="E1945" t="s">
        <v>2584</v>
      </c>
      <c r="F1945">
        <v>18</v>
      </c>
      <c r="G1945">
        <v>12.96</v>
      </c>
      <c r="H1945">
        <v>42.87</v>
      </c>
      <c r="I1945">
        <v>11.6</v>
      </c>
      <c r="J1945">
        <v>38.35</v>
      </c>
      <c r="K1945">
        <v>4</v>
      </c>
      <c r="T1945">
        <v>1</v>
      </c>
      <c r="U1945">
        <v>1</v>
      </c>
      <c r="V1945" t="s">
        <v>211</v>
      </c>
      <c r="W1945" t="s">
        <v>1877</v>
      </c>
      <c r="X1945">
        <v>5</v>
      </c>
      <c r="Y1945">
        <v>5</v>
      </c>
      <c r="Z1945" t="s">
        <v>2585</v>
      </c>
      <c r="AA1945" t="s">
        <v>2586</v>
      </c>
      <c r="AB1945" t="s">
        <v>96</v>
      </c>
      <c r="AC1945" t="s">
        <v>97</v>
      </c>
      <c r="AD1945" t="s">
        <v>1818</v>
      </c>
      <c r="AG1945" t="s">
        <v>2587</v>
      </c>
      <c r="AH1945">
        <v>0</v>
      </c>
      <c r="AI1945">
        <v>299</v>
      </c>
      <c r="AJ1945">
        <v>76</v>
      </c>
      <c r="AK1945">
        <v>6</v>
      </c>
      <c r="AL1945">
        <v>0.33</v>
      </c>
    </row>
    <row r="1946" spans="1:38" x14ac:dyDescent="0.3">
      <c r="A1946" t="s">
        <v>1813</v>
      </c>
      <c r="B1946">
        <v>13557</v>
      </c>
      <c r="C1946">
        <v>5</v>
      </c>
      <c r="D1946" t="s">
        <v>2583</v>
      </c>
      <c r="E1946" t="s">
        <v>2584</v>
      </c>
      <c r="F1946">
        <v>18</v>
      </c>
      <c r="G1946">
        <v>13.51</v>
      </c>
      <c r="H1946">
        <v>44.68</v>
      </c>
      <c r="I1946">
        <v>12.08</v>
      </c>
      <c r="J1946">
        <v>39.96</v>
      </c>
      <c r="K1946">
        <v>3</v>
      </c>
      <c r="T1946">
        <v>1</v>
      </c>
      <c r="U1946">
        <v>1</v>
      </c>
      <c r="V1946" t="s">
        <v>93</v>
      </c>
      <c r="W1946" t="s">
        <v>2588</v>
      </c>
      <c r="X1946">
        <v>5</v>
      </c>
      <c r="Y1946">
        <v>5</v>
      </c>
      <c r="Z1946" t="s">
        <v>2585</v>
      </c>
      <c r="AA1946" t="s">
        <v>2586</v>
      </c>
      <c r="AB1946" t="s">
        <v>96</v>
      </c>
      <c r="AC1946" t="s">
        <v>97</v>
      </c>
      <c r="AD1946" t="s">
        <v>1818</v>
      </c>
      <c r="AG1946" t="s">
        <v>2587</v>
      </c>
      <c r="AH1946">
        <v>0</v>
      </c>
      <c r="AI1946">
        <v>299</v>
      </c>
      <c r="AJ1946">
        <v>76</v>
      </c>
      <c r="AK1946">
        <v>6</v>
      </c>
      <c r="AL1946">
        <v>0.33</v>
      </c>
    </row>
    <row r="1947" spans="1:38" x14ac:dyDescent="0.3">
      <c r="A1947" t="s">
        <v>1813</v>
      </c>
      <c r="B1947">
        <v>13557</v>
      </c>
      <c r="C1947">
        <v>6</v>
      </c>
      <c r="D1947" t="s">
        <v>2583</v>
      </c>
      <c r="E1947" t="s">
        <v>2584</v>
      </c>
      <c r="F1947">
        <v>18</v>
      </c>
      <c r="G1947">
        <v>13.48</v>
      </c>
      <c r="H1947">
        <v>44.59</v>
      </c>
      <c r="I1947">
        <v>12.06</v>
      </c>
      <c r="J1947">
        <v>39.880000000000003</v>
      </c>
      <c r="K1947">
        <v>1</v>
      </c>
      <c r="T1947">
        <v>1</v>
      </c>
      <c r="U1947">
        <v>1</v>
      </c>
      <c r="V1947" t="s">
        <v>211</v>
      </c>
      <c r="W1947" t="s">
        <v>2588</v>
      </c>
      <c r="X1947">
        <v>5</v>
      </c>
      <c r="Y1947">
        <v>5</v>
      </c>
      <c r="Z1947" t="s">
        <v>2585</v>
      </c>
      <c r="AA1947" t="s">
        <v>2586</v>
      </c>
      <c r="AB1947" t="s">
        <v>96</v>
      </c>
      <c r="AC1947" t="s">
        <v>97</v>
      </c>
      <c r="AD1947" t="s">
        <v>1818</v>
      </c>
      <c r="AG1947" t="s">
        <v>2587</v>
      </c>
      <c r="AH1947">
        <v>0</v>
      </c>
      <c r="AI1947">
        <v>299</v>
      </c>
      <c r="AJ1947">
        <v>76</v>
      </c>
      <c r="AK1947">
        <v>6</v>
      </c>
      <c r="AL1947">
        <v>0.33</v>
      </c>
    </row>
    <row r="1948" spans="1:38" x14ac:dyDescent="0.3">
      <c r="A1948" t="s">
        <v>1813</v>
      </c>
      <c r="B1948">
        <v>13557</v>
      </c>
      <c r="C1948">
        <v>7</v>
      </c>
      <c r="D1948" t="s">
        <v>2583</v>
      </c>
      <c r="E1948" t="s">
        <v>2584</v>
      </c>
      <c r="F1948">
        <v>18</v>
      </c>
      <c r="G1948">
        <v>13.51</v>
      </c>
      <c r="H1948">
        <v>44.68</v>
      </c>
      <c r="I1948">
        <v>12.08</v>
      </c>
      <c r="J1948">
        <v>39.96</v>
      </c>
      <c r="K1948">
        <v>1</v>
      </c>
      <c r="T1948">
        <v>1</v>
      </c>
      <c r="U1948">
        <v>1</v>
      </c>
      <c r="V1948" t="s">
        <v>93</v>
      </c>
      <c r="W1948" t="s">
        <v>2589</v>
      </c>
      <c r="X1948">
        <v>5</v>
      </c>
      <c r="Y1948">
        <v>5</v>
      </c>
      <c r="Z1948" t="s">
        <v>2585</v>
      </c>
      <c r="AA1948" t="s">
        <v>2586</v>
      </c>
      <c r="AB1948" t="s">
        <v>96</v>
      </c>
      <c r="AC1948" t="s">
        <v>97</v>
      </c>
      <c r="AD1948" t="s">
        <v>1818</v>
      </c>
      <c r="AG1948" t="s">
        <v>2587</v>
      </c>
      <c r="AH1948">
        <v>0</v>
      </c>
      <c r="AI1948">
        <v>299</v>
      </c>
      <c r="AJ1948">
        <v>76</v>
      </c>
      <c r="AK1948">
        <v>6</v>
      </c>
      <c r="AL1948">
        <v>0.33</v>
      </c>
    </row>
    <row r="1949" spans="1:38" x14ac:dyDescent="0.3">
      <c r="A1949" t="s">
        <v>1813</v>
      </c>
      <c r="B1949">
        <v>13557</v>
      </c>
      <c r="C1949">
        <v>8</v>
      </c>
      <c r="D1949" t="s">
        <v>2583</v>
      </c>
      <c r="E1949" t="s">
        <v>2584</v>
      </c>
      <c r="F1949">
        <v>18</v>
      </c>
      <c r="G1949">
        <v>14.22</v>
      </c>
      <c r="H1949">
        <v>47.03</v>
      </c>
      <c r="I1949">
        <v>12.72</v>
      </c>
      <c r="J1949">
        <v>42.07</v>
      </c>
      <c r="K1949">
        <v>3</v>
      </c>
      <c r="T1949">
        <v>1</v>
      </c>
      <c r="U1949">
        <v>1</v>
      </c>
      <c r="V1949" t="s">
        <v>93</v>
      </c>
      <c r="W1949" t="s">
        <v>2073</v>
      </c>
      <c r="X1949">
        <v>5</v>
      </c>
      <c r="Y1949">
        <v>5</v>
      </c>
      <c r="Z1949" t="s">
        <v>2585</v>
      </c>
      <c r="AA1949" t="s">
        <v>2586</v>
      </c>
      <c r="AB1949" t="s">
        <v>96</v>
      </c>
      <c r="AC1949" t="s">
        <v>97</v>
      </c>
      <c r="AD1949" t="s">
        <v>1818</v>
      </c>
      <c r="AG1949" t="s">
        <v>2587</v>
      </c>
      <c r="AH1949">
        <v>0</v>
      </c>
      <c r="AI1949">
        <v>299</v>
      </c>
      <c r="AJ1949">
        <v>76</v>
      </c>
      <c r="AK1949">
        <v>6</v>
      </c>
      <c r="AL1949">
        <v>0.33</v>
      </c>
    </row>
    <row r="1950" spans="1:38" x14ac:dyDescent="0.3">
      <c r="A1950" t="s">
        <v>1813</v>
      </c>
      <c r="B1950">
        <v>102291</v>
      </c>
      <c r="C1950">
        <v>1</v>
      </c>
      <c r="D1950" t="s">
        <v>2590</v>
      </c>
      <c r="E1950" t="s">
        <v>2591</v>
      </c>
      <c r="F1950">
        <v>48</v>
      </c>
      <c r="G1950">
        <v>26.23</v>
      </c>
      <c r="H1950">
        <v>86.74</v>
      </c>
      <c r="I1950">
        <v>20.350000000000001</v>
      </c>
      <c r="J1950">
        <v>67.3</v>
      </c>
      <c r="K1950">
        <v>48</v>
      </c>
      <c r="T1950">
        <v>3</v>
      </c>
      <c r="U1950">
        <v>2</v>
      </c>
      <c r="V1950" t="s">
        <v>93</v>
      </c>
      <c r="W1950">
        <v>86</v>
      </c>
      <c r="X1950">
        <v>11</v>
      </c>
      <c r="Y1950">
        <v>11</v>
      </c>
      <c r="Z1950" t="s">
        <v>2592</v>
      </c>
      <c r="AA1950" t="s">
        <v>2593</v>
      </c>
      <c r="AB1950" t="s">
        <v>96</v>
      </c>
      <c r="AC1950" t="s">
        <v>97</v>
      </c>
      <c r="AD1950" t="s">
        <v>1818</v>
      </c>
      <c r="AG1950" t="s">
        <v>2594</v>
      </c>
      <c r="AH1950">
        <v>0</v>
      </c>
      <c r="AI1950">
        <v>199</v>
      </c>
      <c r="AJ1950">
        <v>23</v>
      </c>
      <c r="AK1950">
        <v>48</v>
      </c>
      <c r="AL1950">
        <v>1</v>
      </c>
    </row>
    <row r="1951" spans="1:38" x14ac:dyDescent="0.3">
      <c r="A1951" t="s">
        <v>1813</v>
      </c>
      <c r="B1951">
        <v>108952</v>
      </c>
      <c r="C1951">
        <v>1</v>
      </c>
      <c r="D1951" t="s">
        <v>2595</v>
      </c>
      <c r="E1951" t="s">
        <v>2596</v>
      </c>
      <c r="F1951">
        <v>20</v>
      </c>
      <c r="G1951">
        <v>30.17</v>
      </c>
      <c r="H1951">
        <v>99.76</v>
      </c>
      <c r="I1951">
        <v>25.5</v>
      </c>
      <c r="J1951">
        <v>84.3</v>
      </c>
      <c r="K1951">
        <v>10</v>
      </c>
      <c r="T1951">
        <v>3</v>
      </c>
      <c r="U1951">
        <v>2</v>
      </c>
      <c r="V1951" t="s">
        <v>93</v>
      </c>
      <c r="W1951" t="s">
        <v>1049</v>
      </c>
      <c r="X1951">
        <v>15</v>
      </c>
      <c r="Y1951">
        <v>15</v>
      </c>
      <c r="Z1951" t="s">
        <v>2597</v>
      </c>
      <c r="AA1951" t="s">
        <v>2598</v>
      </c>
      <c r="AB1951" t="s">
        <v>96</v>
      </c>
      <c r="AC1951" t="s">
        <v>97</v>
      </c>
      <c r="AD1951" t="s">
        <v>1818</v>
      </c>
      <c r="AG1951" t="s">
        <v>2599</v>
      </c>
      <c r="AH1951">
        <v>0</v>
      </c>
      <c r="AI1951">
        <v>466</v>
      </c>
      <c r="AJ1951">
        <v>71</v>
      </c>
      <c r="AK1951">
        <v>20</v>
      </c>
      <c r="AL1951">
        <v>1</v>
      </c>
    </row>
    <row r="1952" spans="1:38" x14ac:dyDescent="0.3">
      <c r="A1952" t="s">
        <v>1813</v>
      </c>
      <c r="B1952">
        <v>108952</v>
      </c>
      <c r="C1952">
        <v>2</v>
      </c>
      <c r="D1952" t="s">
        <v>2595</v>
      </c>
      <c r="E1952" t="s">
        <v>2596</v>
      </c>
      <c r="F1952">
        <v>20</v>
      </c>
      <c r="G1952">
        <v>30.41</v>
      </c>
      <c r="H1952">
        <v>100.55</v>
      </c>
      <c r="I1952">
        <v>25.7</v>
      </c>
      <c r="J1952">
        <v>84.97</v>
      </c>
      <c r="K1952">
        <v>10</v>
      </c>
      <c r="T1952">
        <v>3</v>
      </c>
      <c r="U1952">
        <v>2</v>
      </c>
      <c r="V1952" t="s">
        <v>93</v>
      </c>
      <c r="W1952" t="s">
        <v>1640</v>
      </c>
      <c r="X1952">
        <v>15</v>
      </c>
      <c r="Y1952">
        <v>15</v>
      </c>
      <c r="Z1952" t="s">
        <v>2597</v>
      </c>
      <c r="AA1952" t="s">
        <v>2598</v>
      </c>
      <c r="AB1952" t="s">
        <v>96</v>
      </c>
      <c r="AC1952" t="s">
        <v>97</v>
      </c>
      <c r="AD1952" t="s">
        <v>1818</v>
      </c>
      <c r="AG1952" t="s">
        <v>2599</v>
      </c>
      <c r="AH1952">
        <v>0</v>
      </c>
      <c r="AI1952">
        <v>466</v>
      </c>
      <c r="AJ1952">
        <v>71</v>
      </c>
      <c r="AK1952">
        <v>20</v>
      </c>
      <c r="AL1952">
        <v>1</v>
      </c>
    </row>
    <row r="1953" spans="1:38" x14ac:dyDescent="0.3">
      <c r="A1953" t="s">
        <v>1813</v>
      </c>
      <c r="B1953">
        <v>16577</v>
      </c>
      <c r="C1953">
        <v>1</v>
      </c>
      <c r="D1953" t="s">
        <v>2600</v>
      </c>
      <c r="E1953" t="s">
        <v>2601</v>
      </c>
      <c r="F1953">
        <v>90</v>
      </c>
      <c r="G1953">
        <v>14.58</v>
      </c>
      <c r="H1953">
        <v>48.21</v>
      </c>
      <c r="I1953">
        <v>12.25</v>
      </c>
      <c r="J1953">
        <v>40.5</v>
      </c>
      <c r="K1953">
        <v>90</v>
      </c>
      <c r="T1953">
        <v>2</v>
      </c>
      <c r="U1953">
        <v>1</v>
      </c>
      <c r="V1953" t="s">
        <v>93</v>
      </c>
      <c r="W1953">
        <v>48</v>
      </c>
      <c r="X1953">
        <v>5</v>
      </c>
      <c r="Y1953">
        <v>5</v>
      </c>
      <c r="Z1953" t="s">
        <v>2602</v>
      </c>
      <c r="AA1953" t="s">
        <v>2603</v>
      </c>
      <c r="AB1953" t="s">
        <v>96</v>
      </c>
      <c r="AC1953" t="s">
        <v>97</v>
      </c>
      <c r="AD1953" t="s">
        <v>1818</v>
      </c>
      <c r="AG1953" t="s">
        <v>2604</v>
      </c>
      <c r="AH1953">
        <v>0</v>
      </c>
      <c r="AI1953">
        <v>0</v>
      </c>
      <c r="AJ1953">
        <v>0</v>
      </c>
      <c r="AK1953">
        <v>0</v>
      </c>
      <c r="AL1953">
        <v>0</v>
      </c>
    </row>
    <row r="1954" spans="1:38" x14ac:dyDescent="0.3">
      <c r="A1954" t="s">
        <v>1813</v>
      </c>
      <c r="B1954">
        <v>101886</v>
      </c>
      <c r="C1954">
        <v>1</v>
      </c>
      <c r="D1954" t="s">
        <v>2605</v>
      </c>
      <c r="E1954" t="s">
        <v>1944</v>
      </c>
      <c r="F1954">
        <v>14</v>
      </c>
      <c r="G1954">
        <v>26.45</v>
      </c>
      <c r="H1954">
        <v>87.44</v>
      </c>
      <c r="I1954">
        <v>22.1</v>
      </c>
      <c r="J1954">
        <v>73.08</v>
      </c>
      <c r="K1954">
        <v>6</v>
      </c>
      <c r="T1954">
        <v>3</v>
      </c>
      <c r="U1954">
        <v>2</v>
      </c>
      <c r="V1954" t="s">
        <v>93</v>
      </c>
      <c r="W1954">
        <v>87</v>
      </c>
      <c r="X1954">
        <v>10</v>
      </c>
      <c r="Y1954">
        <v>10</v>
      </c>
      <c r="Z1954" t="s">
        <v>2606</v>
      </c>
      <c r="AA1954" t="s">
        <v>2607</v>
      </c>
      <c r="AB1954" t="s">
        <v>96</v>
      </c>
      <c r="AC1954" t="s">
        <v>97</v>
      </c>
      <c r="AD1954" t="s">
        <v>1818</v>
      </c>
      <c r="AG1954" t="s">
        <v>2608</v>
      </c>
      <c r="AH1954">
        <v>0</v>
      </c>
      <c r="AI1954">
        <v>380</v>
      </c>
      <c r="AJ1954">
        <v>49</v>
      </c>
      <c r="AK1954">
        <v>18</v>
      </c>
      <c r="AL1954">
        <v>1.29</v>
      </c>
    </row>
    <row r="1955" spans="1:38" x14ac:dyDescent="0.3">
      <c r="A1955" t="s">
        <v>1813</v>
      </c>
      <c r="B1955">
        <v>101886</v>
      </c>
      <c r="C1955">
        <v>2</v>
      </c>
      <c r="D1955" t="s">
        <v>2605</v>
      </c>
      <c r="E1955" t="s">
        <v>1944</v>
      </c>
      <c r="F1955">
        <v>14</v>
      </c>
      <c r="G1955">
        <v>28.4</v>
      </c>
      <c r="H1955">
        <v>93.9</v>
      </c>
      <c r="I1955">
        <v>24.15</v>
      </c>
      <c r="J1955">
        <v>79.86</v>
      </c>
      <c r="K1955">
        <v>1</v>
      </c>
      <c r="T1955">
        <v>3</v>
      </c>
      <c r="U1955">
        <v>2</v>
      </c>
      <c r="V1955" t="s">
        <v>93</v>
      </c>
      <c r="W1955">
        <v>93</v>
      </c>
      <c r="X1955">
        <v>10</v>
      </c>
      <c r="Y1955">
        <v>10</v>
      </c>
      <c r="Z1955" t="s">
        <v>2606</v>
      </c>
      <c r="AA1955" t="s">
        <v>2607</v>
      </c>
      <c r="AB1955" t="s">
        <v>96</v>
      </c>
      <c r="AC1955" t="s">
        <v>97</v>
      </c>
      <c r="AD1955" t="s">
        <v>1818</v>
      </c>
      <c r="AG1955" t="s">
        <v>2608</v>
      </c>
      <c r="AH1955">
        <v>0</v>
      </c>
      <c r="AI1955">
        <v>380</v>
      </c>
      <c r="AJ1955">
        <v>49</v>
      </c>
      <c r="AK1955">
        <v>18</v>
      </c>
      <c r="AL1955">
        <v>1.29</v>
      </c>
    </row>
    <row r="1956" spans="1:38" x14ac:dyDescent="0.3">
      <c r="A1956" t="s">
        <v>1813</v>
      </c>
      <c r="B1956">
        <v>101886</v>
      </c>
      <c r="C1956">
        <v>3</v>
      </c>
      <c r="D1956" t="s">
        <v>2605</v>
      </c>
      <c r="E1956" t="s">
        <v>1944</v>
      </c>
      <c r="F1956">
        <v>14</v>
      </c>
      <c r="G1956">
        <v>28.71</v>
      </c>
      <c r="H1956">
        <v>94.91</v>
      </c>
      <c r="I1956">
        <v>23.99</v>
      </c>
      <c r="J1956">
        <v>79.319999999999993</v>
      </c>
      <c r="K1956">
        <v>6</v>
      </c>
      <c r="T1956">
        <v>3</v>
      </c>
      <c r="U1956">
        <v>2</v>
      </c>
      <c r="V1956" t="s">
        <v>93</v>
      </c>
      <c r="W1956">
        <v>94</v>
      </c>
      <c r="X1956">
        <v>10</v>
      </c>
      <c r="Y1956">
        <v>10</v>
      </c>
      <c r="Z1956" t="s">
        <v>2606</v>
      </c>
      <c r="AA1956" t="s">
        <v>2607</v>
      </c>
      <c r="AB1956" t="s">
        <v>96</v>
      </c>
      <c r="AC1956" t="s">
        <v>97</v>
      </c>
      <c r="AD1956" t="s">
        <v>1818</v>
      </c>
      <c r="AG1956" t="s">
        <v>2608</v>
      </c>
      <c r="AH1956">
        <v>0</v>
      </c>
      <c r="AI1956">
        <v>380</v>
      </c>
      <c r="AJ1956">
        <v>49</v>
      </c>
      <c r="AK1956">
        <v>18</v>
      </c>
      <c r="AL1956">
        <v>1.29</v>
      </c>
    </row>
    <row r="1957" spans="1:38" x14ac:dyDescent="0.3">
      <c r="A1957" t="s">
        <v>1813</v>
      </c>
      <c r="B1957">
        <v>101886</v>
      </c>
      <c r="C1957">
        <v>4</v>
      </c>
      <c r="D1957" t="s">
        <v>2605</v>
      </c>
      <c r="E1957" t="s">
        <v>1944</v>
      </c>
      <c r="F1957">
        <v>14</v>
      </c>
      <c r="G1957">
        <v>29.79</v>
      </c>
      <c r="H1957">
        <v>98.5</v>
      </c>
      <c r="I1957">
        <v>25.31</v>
      </c>
      <c r="J1957">
        <v>83.7</v>
      </c>
      <c r="K1957">
        <v>1</v>
      </c>
      <c r="T1957">
        <v>3</v>
      </c>
      <c r="U1957">
        <v>2</v>
      </c>
      <c r="V1957" t="s">
        <v>93</v>
      </c>
      <c r="W1957">
        <v>98</v>
      </c>
      <c r="X1957">
        <v>10</v>
      </c>
      <c r="Y1957">
        <v>10</v>
      </c>
      <c r="Z1957" t="s">
        <v>2606</v>
      </c>
      <c r="AA1957" t="s">
        <v>2607</v>
      </c>
      <c r="AB1957" t="s">
        <v>96</v>
      </c>
      <c r="AC1957" t="s">
        <v>97</v>
      </c>
      <c r="AD1957" t="s">
        <v>1818</v>
      </c>
      <c r="AG1957" t="s">
        <v>2608</v>
      </c>
      <c r="AH1957">
        <v>0</v>
      </c>
      <c r="AI1957">
        <v>380</v>
      </c>
      <c r="AJ1957">
        <v>49</v>
      </c>
      <c r="AK1957">
        <v>18</v>
      </c>
      <c r="AL1957">
        <v>1.29</v>
      </c>
    </row>
    <row r="1958" spans="1:38" x14ac:dyDescent="0.3">
      <c r="A1958" t="s">
        <v>1813</v>
      </c>
      <c r="B1958">
        <v>140809</v>
      </c>
      <c r="C1958">
        <v>1</v>
      </c>
      <c r="D1958" t="s">
        <v>2609</v>
      </c>
      <c r="E1958" t="s">
        <v>548</v>
      </c>
      <c r="F1958">
        <v>386</v>
      </c>
      <c r="G1958">
        <v>26.17</v>
      </c>
      <c r="H1958">
        <v>86.52</v>
      </c>
      <c r="I1958">
        <v>19.309999999999999</v>
      </c>
      <c r="J1958">
        <v>63.86</v>
      </c>
      <c r="K1958">
        <v>114</v>
      </c>
      <c r="T1958">
        <v>3</v>
      </c>
      <c r="U1958">
        <v>2</v>
      </c>
      <c r="V1958" t="s">
        <v>93</v>
      </c>
      <c r="W1958" t="s">
        <v>384</v>
      </c>
      <c r="X1958">
        <v>24</v>
      </c>
      <c r="Y1958">
        <v>16</v>
      </c>
      <c r="Z1958" t="s">
        <v>2610</v>
      </c>
      <c r="AA1958" t="s">
        <v>2611</v>
      </c>
      <c r="AB1958" t="s">
        <v>96</v>
      </c>
      <c r="AC1958" t="s">
        <v>97</v>
      </c>
      <c r="AD1958" t="s">
        <v>1818</v>
      </c>
      <c r="AG1958" t="s">
        <v>285</v>
      </c>
      <c r="AH1958">
        <v>0</v>
      </c>
      <c r="AI1958">
        <v>0</v>
      </c>
      <c r="AJ1958">
        <v>0</v>
      </c>
      <c r="AK1958">
        <v>394</v>
      </c>
      <c r="AL1958">
        <v>1.02</v>
      </c>
    </row>
    <row r="1959" spans="1:38" x14ac:dyDescent="0.3">
      <c r="A1959" t="s">
        <v>1813</v>
      </c>
      <c r="B1959">
        <v>140809</v>
      </c>
      <c r="C1959">
        <v>2</v>
      </c>
      <c r="D1959" t="s">
        <v>2609</v>
      </c>
      <c r="E1959" t="s">
        <v>548</v>
      </c>
      <c r="F1959">
        <v>386</v>
      </c>
      <c r="G1959">
        <v>26.34</v>
      </c>
      <c r="H1959">
        <v>87.09</v>
      </c>
      <c r="I1959">
        <v>19.32</v>
      </c>
      <c r="J1959">
        <v>63.88</v>
      </c>
      <c r="K1959">
        <v>108</v>
      </c>
      <c r="T1959">
        <v>3</v>
      </c>
      <c r="U1959">
        <v>2</v>
      </c>
      <c r="V1959" t="s">
        <v>93</v>
      </c>
      <c r="W1959" t="s">
        <v>725</v>
      </c>
      <c r="X1959">
        <v>24</v>
      </c>
      <c r="Y1959">
        <v>16</v>
      </c>
      <c r="Z1959" t="s">
        <v>2610</v>
      </c>
      <c r="AA1959" t="s">
        <v>2611</v>
      </c>
      <c r="AB1959" t="s">
        <v>96</v>
      </c>
      <c r="AC1959" t="s">
        <v>97</v>
      </c>
      <c r="AD1959" t="s">
        <v>1818</v>
      </c>
      <c r="AG1959" t="s">
        <v>285</v>
      </c>
      <c r="AH1959">
        <v>0</v>
      </c>
      <c r="AI1959">
        <v>0</v>
      </c>
      <c r="AJ1959">
        <v>0</v>
      </c>
      <c r="AK1959">
        <v>394</v>
      </c>
      <c r="AL1959">
        <v>1.02</v>
      </c>
    </row>
    <row r="1960" spans="1:38" x14ac:dyDescent="0.3">
      <c r="A1960" t="s">
        <v>1813</v>
      </c>
      <c r="B1960">
        <v>140809</v>
      </c>
      <c r="C1960">
        <v>3</v>
      </c>
      <c r="D1960" t="s">
        <v>2609</v>
      </c>
      <c r="E1960" t="s">
        <v>548</v>
      </c>
      <c r="F1960">
        <v>386</v>
      </c>
      <c r="G1960">
        <v>34.64</v>
      </c>
      <c r="H1960">
        <v>114.53</v>
      </c>
      <c r="I1960">
        <v>25.66</v>
      </c>
      <c r="J1960">
        <v>84.83</v>
      </c>
      <c r="K1960">
        <v>164</v>
      </c>
      <c r="T1960">
        <v>3</v>
      </c>
      <c r="U1960">
        <v>2</v>
      </c>
      <c r="V1960" t="s">
        <v>93</v>
      </c>
      <c r="W1960">
        <v>114</v>
      </c>
      <c r="X1960">
        <v>24</v>
      </c>
      <c r="Y1960">
        <v>16</v>
      </c>
      <c r="Z1960" t="s">
        <v>2610</v>
      </c>
      <c r="AA1960" t="s">
        <v>2611</v>
      </c>
      <c r="AB1960" t="s">
        <v>96</v>
      </c>
      <c r="AC1960" t="s">
        <v>97</v>
      </c>
      <c r="AD1960" t="s">
        <v>1818</v>
      </c>
      <c r="AG1960" t="s">
        <v>285</v>
      </c>
      <c r="AH1960">
        <v>0</v>
      </c>
      <c r="AI1960">
        <v>0</v>
      </c>
      <c r="AJ1960">
        <v>0</v>
      </c>
      <c r="AK1960">
        <v>394</v>
      </c>
      <c r="AL1960">
        <v>1.02</v>
      </c>
    </row>
    <row r="1961" spans="1:38" x14ac:dyDescent="0.3">
      <c r="A1961" t="s">
        <v>1813</v>
      </c>
      <c r="B1961">
        <v>11146</v>
      </c>
      <c r="C1961">
        <v>1</v>
      </c>
      <c r="D1961" t="s">
        <v>2612</v>
      </c>
      <c r="E1961" t="s">
        <v>1284</v>
      </c>
      <c r="F1961">
        <v>146</v>
      </c>
      <c r="G1961">
        <v>25.19</v>
      </c>
      <c r="H1961">
        <v>83.3</v>
      </c>
      <c r="I1961">
        <v>25.19</v>
      </c>
      <c r="J1961">
        <v>83.3</v>
      </c>
      <c r="K1961">
        <v>2</v>
      </c>
      <c r="T1961">
        <v>3</v>
      </c>
      <c r="U1961">
        <v>2</v>
      </c>
      <c r="V1961" t="s">
        <v>211</v>
      </c>
      <c r="W1961">
        <v>83</v>
      </c>
      <c r="X1961">
        <v>5</v>
      </c>
      <c r="Y1961">
        <v>5</v>
      </c>
      <c r="Z1961" t="s">
        <v>2613</v>
      </c>
      <c r="AA1961" t="s">
        <v>2614</v>
      </c>
      <c r="AB1961" t="s">
        <v>96</v>
      </c>
      <c r="AC1961" t="s">
        <v>97</v>
      </c>
      <c r="AD1961" t="s">
        <v>1818</v>
      </c>
      <c r="AG1961" t="s">
        <v>2615</v>
      </c>
      <c r="AH1961">
        <v>0</v>
      </c>
      <c r="AI1961">
        <v>212</v>
      </c>
      <c r="AJ1961">
        <v>44</v>
      </c>
      <c r="AK1961">
        <v>0</v>
      </c>
      <c r="AL1961">
        <v>0</v>
      </c>
    </row>
    <row r="1962" spans="1:38" x14ac:dyDescent="0.3">
      <c r="A1962" t="s">
        <v>1813</v>
      </c>
      <c r="B1962">
        <v>11146</v>
      </c>
      <c r="C1962">
        <v>2</v>
      </c>
      <c r="D1962" t="s">
        <v>2612</v>
      </c>
      <c r="E1962" t="s">
        <v>1284</v>
      </c>
      <c r="F1962">
        <v>146</v>
      </c>
      <c r="G1962">
        <v>25.61</v>
      </c>
      <c r="H1962">
        <v>84.69</v>
      </c>
      <c r="I1962">
        <v>25.61</v>
      </c>
      <c r="J1962">
        <v>84.69</v>
      </c>
      <c r="K1962">
        <v>75</v>
      </c>
      <c r="T1962">
        <v>3</v>
      </c>
      <c r="U1962">
        <v>1</v>
      </c>
      <c r="V1962" t="s">
        <v>132</v>
      </c>
      <c r="W1962">
        <v>84</v>
      </c>
      <c r="X1962">
        <v>5</v>
      </c>
      <c r="Y1962">
        <v>5</v>
      </c>
      <c r="Z1962" t="s">
        <v>2613</v>
      </c>
      <c r="AA1962" t="s">
        <v>2614</v>
      </c>
      <c r="AB1962" t="s">
        <v>96</v>
      </c>
      <c r="AC1962" t="s">
        <v>97</v>
      </c>
      <c r="AD1962" t="s">
        <v>1818</v>
      </c>
      <c r="AG1962" t="s">
        <v>2615</v>
      </c>
      <c r="AH1962">
        <v>0</v>
      </c>
      <c r="AI1962">
        <v>212</v>
      </c>
      <c r="AJ1962">
        <v>44</v>
      </c>
      <c r="AK1962">
        <v>0</v>
      </c>
      <c r="AL1962">
        <v>0</v>
      </c>
    </row>
    <row r="1963" spans="1:38" x14ac:dyDescent="0.3">
      <c r="A1963" t="s">
        <v>1813</v>
      </c>
      <c r="B1963">
        <v>11146</v>
      </c>
      <c r="C1963">
        <v>3</v>
      </c>
      <c r="D1963" t="s">
        <v>2612</v>
      </c>
      <c r="E1963" t="s">
        <v>1284</v>
      </c>
      <c r="F1963">
        <v>146</v>
      </c>
      <c r="G1963">
        <v>26.71</v>
      </c>
      <c r="H1963">
        <v>88.3</v>
      </c>
      <c r="I1963">
        <v>26.71</v>
      </c>
      <c r="J1963">
        <v>88.3</v>
      </c>
      <c r="K1963">
        <v>69</v>
      </c>
      <c r="T1963">
        <v>3</v>
      </c>
      <c r="U1963">
        <v>1</v>
      </c>
      <c r="V1963" t="s">
        <v>93</v>
      </c>
      <c r="W1963">
        <v>88</v>
      </c>
      <c r="X1963">
        <v>5</v>
      </c>
      <c r="Y1963">
        <v>5</v>
      </c>
      <c r="Z1963" t="s">
        <v>2613</v>
      </c>
      <c r="AA1963" t="s">
        <v>2614</v>
      </c>
      <c r="AB1963" t="s">
        <v>96</v>
      </c>
      <c r="AC1963" t="s">
        <v>97</v>
      </c>
      <c r="AD1963" t="s">
        <v>1818</v>
      </c>
      <c r="AG1963" t="s">
        <v>2615</v>
      </c>
      <c r="AH1963">
        <v>0</v>
      </c>
      <c r="AI1963">
        <v>212</v>
      </c>
      <c r="AJ1963">
        <v>44</v>
      </c>
      <c r="AK1963">
        <v>0</v>
      </c>
      <c r="AL1963">
        <v>0</v>
      </c>
    </row>
    <row r="1964" spans="1:38" x14ac:dyDescent="0.3">
      <c r="A1964" t="s">
        <v>1813</v>
      </c>
      <c r="B1964">
        <v>144363</v>
      </c>
      <c r="C1964">
        <v>1</v>
      </c>
      <c r="D1964" t="s">
        <v>2616</v>
      </c>
      <c r="E1964" t="s">
        <v>769</v>
      </c>
      <c r="F1964">
        <v>17</v>
      </c>
      <c r="G1964">
        <v>22.74</v>
      </c>
      <c r="H1964">
        <v>75.19</v>
      </c>
      <c r="I1964">
        <v>18.12</v>
      </c>
      <c r="J1964">
        <v>59.92</v>
      </c>
      <c r="K1964">
        <v>4</v>
      </c>
      <c r="T1964">
        <v>3</v>
      </c>
      <c r="U1964">
        <v>2</v>
      </c>
      <c r="V1964" t="s">
        <v>93</v>
      </c>
      <c r="W1964" t="s">
        <v>1212</v>
      </c>
      <c r="X1964">
        <v>10</v>
      </c>
      <c r="Y1964">
        <v>10</v>
      </c>
      <c r="Z1964" t="s">
        <v>2617</v>
      </c>
      <c r="AA1964" t="s">
        <v>2618</v>
      </c>
      <c r="AB1964" t="s">
        <v>96</v>
      </c>
      <c r="AC1964" t="s">
        <v>97</v>
      </c>
      <c r="AD1964" t="s">
        <v>1818</v>
      </c>
      <c r="AG1964" t="s">
        <v>2619</v>
      </c>
      <c r="AH1964">
        <v>0</v>
      </c>
      <c r="AI1964">
        <v>564</v>
      </c>
      <c r="AJ1964">
        <v>77</v>
      </c>
      <c r="AK1964">
        <v>19</v>
      </c>
      <c r="AL1964">
        <v>1.1200000000000001</v>
      </c>
    </row>
    <row r="1965" spans="1:38" x14ac:dyDescent="0.3">
      <c r="A1965" t="s">
        <v>1813</v>
      </c>
      <c r="B1965">
        <v>144363</v>
      </c>
      <c r="C1965">
        <v>2</v>
      </c>
      <c r="D1965" t="s">
        <v>2616</v>
      </c>
      <c r="E1965" t="s">
        <v>769</v>
      </c>
      <c r="F1965">
        <v>17</v>
      </c>
      <c r="G1965">
        <v>22.69</v>
      </c>
      <c r="H1965">
        <v>75.02</v>
      </c>
      <c r="I1965">
        <v>18.14</v>
      </c>
      <c r="J1965">
        <v>59.97</v>
      </c>
      <c r="K1965">
        <v>3</v>
      </c>
      <c r="T1965">
        <v>3</v>
      </c>
      <c r="U1965">
        <v>2</v>
      </c>
      <c r="V1965" t="s">
        <v>93</v>
      </c>
      <c r="W1965" t="s">
        <v>2620</v>
      </c>
      <c r="X1965">
        <v>10</v>
      </c>
      <c r="Y1965">
        <v>10</v>
      </c>
      <c r="Z1965" t="s">
        <v>2617</v>
      </c>
      <c r="AA1965" t="s">
        <v>2618</v>
      </c>
      <c r="AB1965" t="s">
        <v>96</v>
      </c>
      <c r="AC1965" t="s">
        <v>97</v>
      </c>
      <c r="AD1965" t="s">
        <v>1818</v>
      </c>
      <c r="AG1965" t="s">
        <v>2619</v>
      </c>
      <c r="AH1965">
        <v>0</v>
      </c>
      <c r="AI1965">
        <v>564</v>
      </c>
      <c r="AJ1965">
        <v>77</v>
      </c>
      <c r="AK1965">
        <v>19</v>
      </c>
      <c r="AL1965">
        <v>1.1200000000000001</v>
      </c>
    </row>
    <row r="1966" spans="1:38" x14ac:dyDescent="0.3">
      <c r="A1966" t="s">
        <v>1813</v>
      </c>
      <c r="B1966">
        <v>144363</v>
      </c>
      <c r="C1966">
        <v>3</v>
      </c>
      <c r="D1966" t="s">
        <v>2616</v>
      </c>
      <c r="E1966" t="s">
        <v>769</v>
      </c>
      <c r="F1966">
        <v>17</v>
      </c>
      <c r="G1966">
        <v>22.69</v>
      </c>
      <c r="H1966">
        <v>75.02</v>
      </c>
      <c r="I1966">
        <v>18.14</v>
      </c>
      <c r="J1966">
        <v>59.97</v>
      </c>
      <c r="K1966">
        <v>2</v>
      </c>
      <c r="T1966">
        <v>3</v>
      </c>
      <c r="U1966">
        <v>2</v>
      </c>
      <c r="V1966" t="s">
        <v>93</v>
      </c>
      <c r="W1966" t="s">
        <v>883</v>
      </c>
      <c r="X1966">
        <v>10</v>
      </c>
      <c r="Y1966">
        <v>10</v>
      </c>
      <c r="Z1966" t="s">
        <v>2617</v>
      </c>
      <c r="AA1966" t="s">
        <v>2618</v>
      </c>
      <c r="AB1966" t="s">
        <v>96</v>
      </c>
      <c r="AC1966" t="s">
        <v>97</v>
      </c>
      <c r="AD1966" t="s">
        <v>1818</v>
      </c>
      <c r="AG1966" t="s">
        <v>2619</v>
      </c>
      <c r="AH1966">
        <v>0</v>
      </c>
      <c r="AI1966">
        <v>564</v>
      </c>
      <c r="AJ1966">
        <v>77</v>
      </c>
      <c r="AK1966">
        <v>19</v>
      </c>
      <c r="AL1966">
        <v>1.1200000000000001</v>
      </c>
    </row>
    <row r="1967" spans="1:38" x14ac:dyDescent="0.3">
      <c r="A1967" t="s">
        <v>1813</v>
      </c>
      <c r="B1967">
        <v>144363</v>
      </c>
      <c r="C1967">
        <v>4</v>
      </c>
      <c r="D1967" t="s">
        <v>2616</v>
      </c>
      <c r="E1967" t="s">
        <v>769</v>
      </c>
      <c r="F1967">
        <v>17</v>
      </c>
      <c r="G1967">
        <v>22.79</v>
      </c>
      <c r="H1967">
        <v>75.34</v>
      </c>
      <c r="I1967">
        <v>18.11</v>
      </c>
      <c r="J1967">
        <v>59.89</v>
      </c>
      <c r="K1967">
        <v>1</v>
      </c>
      <c r="T1967">
        <v>3</v>
      </c>
      <c r="U1967">
        <v>2</v>
      </c>
      <c r="V1967" t="s">
        <v>93</v>
      </c>
      <c r="W1967" t="s">
        <v>882</v>
      </c>
      <c r="X1967">
        <v>10</v>
      </c>
      <c r="Y1967">
        <v>10</v>
      </c>
      <c r="Z1967" t="s">
        <v>2617</v>
      </c>
      <c r="AA1967" t="s">
        <v>2618</v>
      </c>
      <c r="AB1967" t="s">
        <v>96</v>
      </c>
      <c r="AC1967" t="s">
        <v>97</v>
      </c>
      <c r="AD1967" t="s">
        <v>1818</v>
      </c>
      <c r="AG1967" t="s">
        <v>2619</v>
      </c>
      <c r="AH1967">
        <v>0</v>
      </c>
      <c r="AI1967">
        <v>564</v>
      </c>
      <c r="AJ1967">
        <v>77</v>
      </c>
      <c r="AK1967">
        <v>19</v>
      </c>
      <c r="AL1967">
        <v>1.1200000000000001</v>
      </c>
    </row>
    <row r="1968" spans="1:38" x14ac:dyDescent="0.3">
      <c r="A1968" t="s">
        <v>1813</v>
      </c>
      <c r="B1968">
        <v>144363</v>
      </c>
      <c r="C1968">
        <v>5</v>
      </c>
      <c r="D1968" t="s">
        <v>2616</v>
      </c>
      <c r="E1968" t="s">
        <v>769</v>
      </c>
      <c r="F1968">
        <v>17</v>
      </c>
      <c r="G1968">
        <v>22.79</v>
      </c>
      <c r="H1968">
        <v>75.349999999999994</v>
      </c>
      <c r="I1968">
        <v>18.11</v>
      </c>
      <c r="J1968">
        <v>59.89</v>
      </c>
      <c r="K1968">
        <v>1</v>
      </c>
      <c r="T1968">
        <v>3</v>
      </c>
      <c r="U1968">
        <v>2</v>
      </c>
      <c r="V1968" t="s">
        <v>93</v>
      </c>
      <c r="W1968" t="s">
        <v>407</v>
      </c>
      <c r="X1968">
        <v>10</v>
      </c>
      <c r="Y1968">
        <v>10</v>
      </c>
      <c r="Z1968" t="s">
        <v>2617</v>
      </c>
      <c r="AA1968" t="s">
        <v>2618</v>
      </c>
      <c r="AB1968" t="s">
        <v>96</v>
      </c>
      <c r="AC1968" t="s">
        <v>97</v>
      </c>
      <c r="AD1968" t="s">
        <v>1818</v>
      </c>
      <c r="AG1968" t="s">
        <v>2619</v>
      </c>
      <c r="AH1968">
        <v>0</v>
      </c>
      <c r="AI1968">
        <v>564</v>
      </c>
      <c r="AJ1968">
        <v>77</v>
      </c>
      <c r="AK1968">
        <v>19</v>
      </c>
      <c r="AL1968">
        <v>1.1200000000000001</v>
      </c>
    </row>
    <row r="1969" spans="1:38" x14ac:dyDescent="0.3">
      <c r="A1969" t="s">
        <v>1813</v>
      </c>
      <c r="B1969">
        <v>144363</v>
      </c>
      <c r="C1969">
        <v>6</v>
      </c>
      <c r="D1969" t="s">
        <v>2616</v>
      </c>
      <c r="E1969" t="s">
        <v>769</v>
      </c>
      <c r="F1969">
        <v>17</v>
      </c>
      <c r="G1969">
        <v>22.74</v>
      </c>
      <c r="H1969">
        <v>75.180000000000007</v>
      </c>
      <c r="I1969">
        <v>18.12</v>
      </c>
      <c r="J1969">
        <v>59.92</v>
      </c>
      <c r="K1969">
        <v>1</v>
      </c>
      <c r="T1969">
        <v>3</v>
      </c>
      <c r="U1969">
        <v>2</v>
      </c>
      <c r="V1969" t="s">
        <v>93</v>
      </c>
      <c r="W1969" t="s">
        <v>881</v>
      </c>
      <c r="X1969">
        <v>10</v>
      </c>
      <c r="Y1969">
        <v>10</v>
      </c>
      <c r="Z1969" t="s">
        <v>2617</v>
      </c>
      <c r="AA1969" t="s">
        <v>2618</v>
      </c>
      <c r="AB1969" t="s">
        <v>96</v>
      </c>
      <c r="AC1969" t="s">
        <v>97</v>
      </c>
      <c r="AD1969" t="s">
        <v>1818</v>
      </c>
      <c r="AG1969" t="s">
        <v>2619</v>
      </c>
      <c r="AH1969">
        <v>0</v>
      </c>
      <c r="AI1969">
        <v>564</v>
      </c>
      <c r="AJ1969">
        <v>77</v>
      </c>
      <c r="AK1969">
        <v>19</v>
      </c>
      <c r="AL1969">
        <v>1.1200000000000001</v>
      </c>
    </row>
    <row r="1970" spans="1:38" x14ac:dyDescent="0.3">
      <c r="A1970" t="s">
        <v>1813</v>
      </c>
      <c r="B1970">
        <v>144363</v>
      </c>
      <c r="C1970">
        <v>7</v>
      </c>
      <c r="D1970" t="s">
        <v>2616</v>
      </c>
      <c r="E1970" t="s">
        <v>769</v>
      </c>
      <c r="F1970">
        <v>17</v>
      </c>
      <c r="G1970">
        <v>26.4</v>
      </c>
      <c r="H1970">
        <v>87.28</v>
      </c>
      <c r="I1970">
        <v>21.16</v>
      </c>
      <c r="J1970">
        <v>69.97</v>
      </c>
      <c r="K1970">
        <v>3</v>
      </c>
      <c r="T1970">
        <v>3</v>
      </c>
      <c r="U1970">
        <v>2</v>
      </c>
      <c r="V1970" t="s">
        <v>93</v>
      </c>
      <c r="W1970" t="s">
        <v>223</v>
      </c>
      <c r="X1970">
        <v>10</v>
      </c>
      <c r="Y1970">
        <v>10</v>
      </c>
      <c r="Z1970" t="s">
        <v>2617</v>
      </c>
      <c r="AA1970" t="s">
        <v>2618</v>
      </c>
      <c r="AB1970" t="s">
        <v>96</v>
      </c>
      <c r="AC1970" t="s">
        <v>97</v>
      </c>
      <c r="AD1970" t="s">
        <v>1818</v>
      </c>
      <c r="AG1970" t="s">
        <v>2619</v>
      </c>
      <c r="AH1970">
        <v>0</v>
      </c>
      <c r="AI1970">
        <v>564</v>
      </c>
      <c r="AJ1970">
        <v>77</v>
      </c>
      <c r="AK1970">
        <v>19</v>
      </c>
      <c r="AL1970">
        <v>1.1200000000000001</v>
      </c>
    </row>
    <row r="1971" spans="1:38" x14ac:dyDescent="0.3">
      <c r="A1971" t="s">
        <v>1813</v>
      </c>
      <c r="B1971">
        <v>144363</v>
      </c>
      <c r="C1971">
        <v>8</v>
      </c>
      <c r="D1971" t="s">
        <v>2616</v>
      </c>
      <c r="E1971" t="s">
        <v>769</v>
      </c>
      <c r="F1971">
        <v>17</v>
      </c>
      <c r="G1971">
        <v>26.48</v>
      </c>
      <c r="H1971">
        <v>87.57</v>
      </c>
      <c r="I1971">
        <v>21.15</v>
      </c>
      <c r="J1971">
        <v>69.930000000000007</v>
      </c>
      <c r="K1971">
        <v>2</v>
      </c>
      <c r="T1971">
        <v>3</v>
      </c>
      <c r="U1971">
        <v>2</v>
      </c>
      <c r="V1971" t="s">
        <v>93</v>
      </c>
      <c r="W1971" t="s">
        <v>725</v>
      </c>
      <c r="X1971">
        <v>10</v>
      </c>
      <c r="Y1971">
        <v>10</v>
      </c>
      <c r="Z1971" t="s">
        <v>2617</v>
      </c>
      <c r="AA1971" t="s">
        <v>2618</v>
      </c>
      <c r="AB1971" t="s">
        <v>96</v>
      </c>
      <c r="AC1971" t="s">
        <v>97</v>
      </c>
      <c r="AD1971" t="s">
        <v>1818</v>
      </c>
      <c r="AG1971" t="s">
        <v>2619</v>
      </c>
      <c r="AH1971">
        <v>0</v>
      </c>
      <c r="AI1971">
        <v>564</v>
      </c>
      <c r="AJ1971">
        <v>77</v>
      </c>
      <c r="AK1971">
        <v>19</v>
      </c>
      <c r="AL1971">
        <v>1.1200000000000001</v>
      </c>
    </row>
    <row r="1972" spans="1:38" x14ac:dyDescent="0.3">
      <c r="A1972" t="s">
        <v>1813</v>
      </c>
      <c r="B1972">
        <v>101260</v>
      </c>
      <c r="C1972">
        <v>1</v>
      </c>
      <c r="D1972" t="s">
        <v>2621</v>
      </c>
      <c r="E1972" t="s">
        <v>890</v>
      </c>
      <c r="F1972">
        <v>16</v>
      </c>
      <c r="G1972">
        <v>13.85</v>
      </c>
      <c r="H1972">
        <v>45.81</v>
      </c>
      <c r="I1972">
        <v>12.45</v>
      </c>
      <c r="J1972">
        <v>41.18</v>
      </c>
      <c r="K1972">
        <v>1</v>
      </c>
      <c r="T1972">
        <v>2</v>
      </c>
      <c r="U1972">
        <v>1</v>
      </c>
      <c r="V1972" t="s">
        <v>93</v>
      </c>
      <c r="W1972">
        <v>45</v>
      </c>
      <c r="X1972">
        <v>6</v>
      </c>
      <c r="Y1972">
        <v>6</v>
      </c>
      <c r="Z1972" t="s">
        <v>2622</v>
      </c>
      <c r="AA1972" t="s">
        <v>2623</v>
      </c>
      <c r="AB1972" t="s">
        <v>96</v>
      </c>
      <c r="AC1972" t="s">
        <v>97</v>
      </c>
      <c r="AD1972" t="s">
        <v>1818</v>
      </c>
      <c r="AG1972" t="s">
        <v>2624</v>
      </c>
      <c r="AH1972">
        <v>0</v>
      </c>
      <c r="AI1972">
        <v>339</v>
      </c>
      <c r="AJ1972">
        <v>79</v>
      </c>
      <c r="AK1972">
        <v>8</v>
      </c>
      <c r="AL1972">
        <v>0.5</v>
      </c>
    </row>
    <row r="1973" spans="1:38" x14ac:dyDescent="0.3">
      <c r="A1973" t="s">
        <v>1813</v>
      </c>
      <c r="B1973">
        <v>101260</v>
      </c>
      <c r="C1973">
        <v>2</v>
      </c>
      <c r="D1973" t="s">
        <v>2621</v>
      </c>
      <c r="E1973" t="s">
        <v>890</v>
      </c>
      <c r="F1973">
        <v>16</v>
      </c>
      <c r="G1973">
        <v>15.72</v>
      </c>
      <c r="H1973">
        <v>51.98</v>
      </c>
      <c r="I1973">
        <v>14.13</v>
      </c>
      <c r="J1973">
        <v>46.73</v>
      </c>
      <c r="K1973">
        <v>3</v>
      </c>
      <c r="T1973">
        <v>2</v>
      </c>
      <c r="U1973">
        <v>1</v>
      </c>
      <c r="V1973" t="s">
        <v>93</v>
      </c>
      <c r="W1973" t="s">
        <v>251</v>
      </c>
      <c r="X1973">
        <v>6</v>
      </c>
      <c r="Y1973">
        <v>6</v>
      </c>
      <c r="Z1973" t="s">
        <v>2622</v>
      </c>
      <c r="AA1973" t="s">
        <v>2623</v>
      </c>
      <c r="AB1973" t="s">
        <v>96</v>
      </c>
      <c r="AC1973" t="s">
        <v>97</v>
      </c>
      <c r="AD1973" t="s">
        <v>1818</v>
      </c>
      <c r="AG1973" t="s">
        <v>2624</v>
      </c>
      <c r="AH1973">
        <v>0</v>
      </c>
      <c r="AI1973">
        <v>339</v>
      </c>
      <c r="AJ1973">
        <v>79</v>
      </c>
      <c r="AK1973">
        <v>8</v>
      </c>
      <c r="AL1973">
        <v>0.5</v>
      </c>
    </row>
    <row r="1974" spans="1:38" x14ac:dyDescent="0.3">
      <c r="A1974" t="s">
        <v>1813</v>
      </c>
      <c r="B1974">
        <v>101260</v>
      </c>
      <c r="C1974">
        <v>3</v>
      </c>
      <c r="D1974" t="s">
        <v>2621</v>
      </c>
      <c r="E1974" t="s">
        <v>890</v>
      </c>
      <c r="F1974">
        <v>16</v>
      </c>
      <c r="G1974">
        <v>15.79</v>
      </c>
      <c r="H1974">
        <v>52.22</v>
      </c>
      <c r="I1974">
        <v>14.19</v>
      </c>
      <c r="J1974">
        <v>46.94</v>
      </c>
      <c r="K1974">
        <v>1</v>
      </c>
      <c r="T1974">
        <v>2</v>
      </c>
      <c r="U1974">
        <v>1</v>
      </c>
      <c r="V1974" t="s">
        <v>93</v>
      </c>
      <c r="W1974" t="s">
        <v>586</v>
      </c>
      <c r="X1974">
        <v>6</v>
      </c>
      <c r="Y1974">
        <v>6</v>
      </c>
      <c r="Z1974" t="s">
        <v>2622</v>
      </c>
      <c r="AA1974" t="s">
        <v>2623</v>
      </c>
      <c r="AB1974" t="s">
        <v>96</v>
      </c>
      <c r="AC1974" t="s">
        <v>97</v>
      </c>
      <c r="AD1974" t="s">
        <v>1818</v>
      </c>
      <c r="AG1974" t="s">
        <v>2624</v>
      </c>
      <c r="AH1974">
        <v>0</v>
      </c>
      <c r="AI1974">
        <v>339</v>
      </c>
      <c r="AJ1974">
        <v>79</v>
      </c>
      <c r="AK1974">
        <v>8</v>
      </c>
      <c r="AL1974">
        <v>0.5</v>
      </c>
    </row>
    <row r="1975" spans="1:38" x14ac:dyDescent="0.3">
      <c r="A1975" t="s">
        <v>1813</v>
      </c>
      <c r="B1975">
        <v>101260</v>
      </c>
      <c r="C1975">
        <v>4</v>
      </c>
      <c r="D1975" t="s">
        <v>2621</v>
      </c>
      <c r="E1975" t="s">
        <v>890</v>
      </c>
      <c r="F1975">
        <v>16</v>
      </c>
      <c r="G1975">
        <v>16.14</v>
      </c>
      <c r="H1975">
        <v>53.36</v>
      </c>
      <c r="I1975">
        <v>14.51</v>
      </c>
      <c r="J1975">
        <v>47.97</v>
      </c>
      <c r="K1975">
        <v>4</v>
      </c>
      <c r="T1975">
        <v>2</v>
      </c>
      <c r="U1975">
        <v>1</v>
      </c>
      <c r="V1975" t="s">
        <v>93</v>
      </c>
      <c r="W1975" t="s">
        <v>1269</v>
      </c>
      <c r="X1975">
        <v>6</v>
      </c>
      <c r="Y1975">
        <v>6</v>
      </c>
      <c r="Z1975" t="s">
        <v>2622</v>
      </c>
      <c r="AA1975" t="s">
        <v>2623</v>
      </c>
      <c r="AB1975" t="s">
        <v>96</v>
      </c>
      <c r="AC1975" t="s">
        <v>97</v>
      </c>
      <c r="AD1975" t="s">
        <v>1818</v>
      </c>
      <c r="AG1975" t="s">
        <v>2624</v>
      </c>
      <c r="AH1975">
        <v>0</v>
      </c>
      <c r="AI1975">
        <v>339</v>
      </c>
      <c r="AJ1975">
        <v>79</v>
      </c>
      <c r="AK1975">
        <v>8</v>
      </c>
      <c r="AL1975">
        <v>0.5</v>
      </c>
    </row>
    <row r="1976" spans="1:38" x14ac:dyDescent="0.3">
      <c r="A1976" t="s">
        <v>1813</v>
      </c>
      <c r="B1976">
        <v>101260</v>
      </c>
      <c r="C1976">
        <v>5</v>
      </c>
      <c r="D1976" t="s">
        <v>2621</v>
      </c>
      <c r="E1976" t="s">
        <v>890</v>
      </c>
      <c r="F1976">
        <v>16</v>
      </c>
      <c r="G1976">
        <v>16.559999999999999</v>
      </c>
      <c r="H1976">
        <v>54.77</v>
      </c>
      <c r="I1976">
        <v>14.89</v>
      </c>
      <c r="J1976">
        <v>49.24</v>
      </c>
      <c r="K1976">
        <v>3</v>
      </c>
      <c r="T1976">
        <v>2</v>
      </c>
      <c r="U1976">
        <v>1</v>
      </c>
      <c r="V1976" t="s">
        <v>93</v>
      </c>
      <c r="W1976" t="s">
        <v>2074</v>
      </c>
      <c r="X1976">
        <v>6</v>
      </c>
      <c r="Y1976">
        <v>6</v>
      </c>
      <c r="Z1976" t="s">
        <v>2622</v>
      </c>
      <c r="AA1976" t="s">
        <v>2623</v>
      </c>
      <c r="AB1976" t="s">
        <v>96</v>
      </c>
      <c r="AC1976" t="s">
        <v>97</v>
      </c>
      <c r="AD1976" t="s">
        <v>1818</v>
      </c>
      <c r="AG1976" t="s">
        <v>2624</v>
      </c>
      <c r="AH1976">
        <v>0</v>
      </c>
      <c r="AI1976">
        <v>339</v>
      </c>
      <c r="AJ1976">
        <v>79</v>
      </c>
      <c r="AK1976">
        <v>8</v>
      </c>
      <c r="AL1976">
        <v>0.5</v>
      </c>
    </row>
    <row r="1977" spans="1:38" x14ac:dyDescent="0.3">
      <c r="A1977" t="s">
        <v>1813</v>
      </c>
      <c r="B1977">
        <v>101260</v>
      </c>
      <c r="C1977">
        <v>6</v>
      </c>
      <c r="D1977" t="s">
        <v>2621</v>
      </c>
      <c r="E1977" t="s">
        <v>890</v>
      </c>
      <c r="F1977">
        <v>16</v>
      </c>
      <c r="G1977">
        <v>16.829999999999998</v>
      </c>
      <c r="H1977">
        <v>55.64</v>
      </c>
      <c r="I1977">
        <v>15.13</v>
      </c>
      <c r="J1977">
        <v>50.02</v>
      </c>
      <c r="K1977">
        <v>3</v>
      </c>
      <c r="T1977">
        <v>2</v>
      </c>
      <c r="U1977">
        <v>1</v>
      </c>
      <c r="V1977" t="s">
        <v>93</v>
      </c>
      <c r="W1977" t="s">
        <v>2625</v>
      </c>
      <c r="X1977">
        <v>6</v>
      </c>
      <c r="Y1977">
        <v>6</v>
      </c>
      <c r="Z1977" t="s">
        <v>2622</v>
      </c>
      <c r="AA1977" t="s">
        <v>2623</v>
      </c>
      <c r="AB1977" t="s">
        <v>96</v>
      </c>
      <c r="AC1977" t="s">
        <v>97</v>
      </c>
      <c r="AD1977" t="s">
        <v>1818</v>
      </c>
      <c r="AG1977" t="s">
        <v>2624</v>
      </c>
      <c r="AH1977">
        <v>0</v>
      </c>
      <c r="AI1977">
        <v>339</v>
      </c>
      <c r="AJ1977">
        <v>79</v>
      </c>
      <c r="AK1977">
        <v>8</v>
      </c>
      <c r="AL1977">
        <v>0.5</v>
      </c>
    </row>
    <row r="1978" spans="1:38" x14ac:dyDescent="0.3">
      <c r="A1978" t="s">
        <v>1813</v>
      </c>
      <c r="B1978">
        <v>101260</v>
      </c>
      <c r="C1978">
        <v>7</v>
      </c>
      <c r="D1978" t="s">
        <v>2621</v>
      </c>
      <c r="E1978" t="s">
        <v>890</v>
      </c>
      <c r="F1978">
        <v>16</v>
      </c>
      <c r="G1978">
        <v>17.260000000000002</v>
      </c>
      <c r="H1978">
        <v>57.06</v>
      </c>
      <c r="I1978">
        <v>15.51</v>
      </c>
      <c r="J1978">
        <v>51.3</v>
      </c>
      <c r="K1978">
        <v>1</v>
      </c>
      <c r="T1978">
        <v>2</v>
      </c>
      <c r="U1978">
        <v>1</v>
      </c>
      <c r="V1978" t="s">
        <v>93</v>
      </c>
      <c r="W1978">
        <v>57</v>
      </c>
      <c r="X1978">
        <v>6</v>
      </c>
      <c r="Y1978">
        <v>6</v>
      </c>
      <c r="Z1978" t="s">
        <v>2622</v>
      </c>
      <c r="AA1978" t="s">
        <v>2623</v>
      </c>
      <c r="AB1978" t="s">
        <v>96</v>
      </c>
      <c r="AC1978" t="s">
        <v>97</v>
      </c>
      <c r="AD1978" t="s">
        <v>1818</v>
      </c>
      <c r="AG1978" t="s">
        <v>2624</v>
      </c>
      <c r="AH1978">
        <v>0</v>
      </c>
      <c r="AI1978">
        <v>339</v>
      </c>
      <c r="AJ1978">
        <v>79</v>
      </c>
      <c r="AK1978">
        <v>8</v>
      </c>
      <c r="AL1978">
        <v>0.5</v>
      </c>
    </row>
    <row r="1979" spans="1:38" x14ac:dyDescent="0.3">
      <c r="A1979" t="s">
        <v>1813</v>
      </c>
      <c r="B1979">
        <v>109186</v>
      </c>
      <c r="C1979">
        <v>1</v>
      </c>
      <c r="D1979" t="s">
        <v>2626</v>
      </c>
      <c r="E1979" t="s">
        <v>2627</v>
      </c>
      <c r="F1979">
        <v>23</v>
      </c>
      <c r="G1979">
        <v>18.7</v>
      </c>
      <c r="H1979">
        <v>61.83</v>
      </c>
      <c r="I1979">
        <v>17.05</v>
      </c>
      <c r="J1979">
        <v>56.39</v>
      </c>
      <c r="K1979">
        <v>2</v>
      </c>
      <c r="T1979">
        <v>3</v>
      </c>
      <c r="U1979">
        <v>1</v>
      </c>
      <c r="V1979" t="s">
        <v>93</v>
      </c>
      <c r="W1979" t="s">
        <v>693</v>
      </c>
      <c r="X1979">
        <v>7</v>
      </c>
      <c r="Y1979">
        <v>5</v>
      </c>
      <c r="Z1979" t="s">
        <v>2628</v>
      </c>
      <c r="AA1979" t="s">
        <v>2629</v>
      </c>
      <c r="AB1979" t="s">
        <v>96</v>
      </c>
      <c r="AC1979" t="s">
        <v>97</v>
      </c>
      <c r="AD1979" t="s">
        <v>1818</v>
      </c>
      <c r="AG1979" t="s">
        <v>2630</v>
      </c>
      <c r="AH1979">
        <v>0</v>
      </c>
      <c r="AI1979">
        <v>0</v>
      </c>
      <c r="AJ1979">
        <v>0</v>
      </c>
      <c r="AK1979">
        <v>16</v>
      </c>
      <c r="AL1979">
        <v>0.7</v>
      </c>
    </row>
    <row r="1980" spans="1:38" x14ac:dyDescent="0.3">
      <c r="A1980" t="s">
        <v>1813</v>
      </c>
      <c r="B1980">
        <v>109186</v>
      </c>
      <c r="C1980">
        <v>2</v>
      </c>
      <c r="D1980" t="s">
        <v>2626</v>
      </c>
      <c r="E1980" t="s">
        <v>2627</v>
      </c>
      <c r="F1980">
        <v>23</v>
      </c>
      <c r="G1980">
        <v>19.46</v>
      </c>
      <c r="H1980">
        <v>64.349999999999994</v>
      </c>
      <c r="I1980">
        <v>17.75</v>
      </c>
      <c r="J1980">
        <v>58.69</v>
      </c>
      <c r="K1980">
        <v>2</v>
      </c>
      <c r="T1980">
        <v>3</v>
      </c>
      <c r="U1980">
        <v>1</v>
      </c>
      <c r="V1980" t="s">
        <v>93</v>
      </c>
      <c r="W1980" t="s">
        <v>275</v>
      </c>
      <c r="X1980">
        <v>7</v>
      </c>
      <c r="Y1980">
        <v>5</v>
      </c>
      <c r="Z1980" t="s">
        <v>2628</v>
      </c>
      <c r="AA1980" t="s">
        <v>2629</v>
      </c>
      <c r="AB1980" t="s">
        <v>96</v>
      </c>
      <c r="AC1980" t="s">
        <v>97</v>
      </c>
      <c r="AD1980" t="s">
        <v>1818</v>
      </c>
      <c r="AG1980" t="s">
        <v>2630</v>
      </c>
      <c r="AH1980">
        <v>0</v>
      </c>
      <c r="AI1980">
        <v>0</v>
      </c>
      <c r="AJ1980">
        <v>0</v>
      </c>
      <c r="AK1980">
        <v>16</v>
      </c>
      <c r="AL1980">
        <v>0.7</v>
      </c>
    </row>
    <row r="1981" spans="1:38" x14ac:dyDescent="0.3">
      <c r="A1981" t="s">
        <v>1813</v>
      </c>
      <c r="B1981">
        <v>109186</v>
      </c>
      <c r="C1981">
        <v>3</v>
      </c>
      <c r="D1981" t="s">
        <v>2626</v>
      </c>
      <c r="E1981" t="s">
        <v>2627</v>
      </c>
      <c r="F1981">
        <v>23</v>
      </c>
      <c r="G1981">
        <v>20.09</v>
      </c>
      <c r="H1981">
        <v>66.44</v>
      </c>
      <c r="I1981">
        <v>18.32</v>
      </c>
      <c r="J1981">
        <v>60.59</v>
      </c>
      <c r="K1981">
        <v>6</v>
      </c>
      <c r="T1981">
        <v>3</v>
      </c>
      <c r="U1981">
        <v>1</v>
      </c>
      <c r="V1981" t="s">
        <v>93</v>
      </c>
      <c r="W1981">
        <v>66</v>
      </c>
      <c r="X1981">
        <v>7</v>
      </c>
      <c r="Y1981">
        <v>5</v>
      </c>
      <c r="Z1981" t="s">
        <v>2628</v>
      </c>
      <c r="AA1981" t="s">
        <v>2629</v>
      </c>
      <c r="AB1981" t="s">
        <v>96</v>
      </c>
      <c r="AC1981" t="s">
        <v>97</v>
      </c>
      <c r="AD1981" t="s">
        <v>1818</v>
      </c>
      <c r="AG1981" t="s">
        <v>2630</v>
      </c>
      <c r="AH1981">
        <v>0</v>
      </c>
      <c r="AI1981">
        <v>0</v>
      </c>
      <c r="AJ1981">
        <v>0</v>
      </c>
      <c r="AK1981">
        <v>16</v>
      </c>
      <c r="AL1981">
        <v>0.7</v>
      </c>
    </row>
    <row r="1982" spans="1:38" x14ac:dyDescent="0.3">
      <c r="A1982" t="s">
        <v>1813</v>
      </c>
      <c r="B1982">
        <v>109186</v>
      </c>
      <c r="C1982">
        <v>4</v>
      </c>
      <c r="D1982" t="s">
        <v>2626</v>
      </c>
      <c r="E1982" t="s">
        <v>2627</v>
      </c>
      <c r="F1982">
        <v>23</v>
      </c>
      <c r="G1982">
        <v>20.91</v>
      </c>
      <c r="H1982">
        <v>69.150000000000006</v>
      </c>
      <c r="I1982">
        <v>19.07</v>
      </c>
      <c r="J1982">
        <v>63.07</v>
      </c>
      <c r="K1982">
        <v>6</v>
      </c>
      <c r="T1982">
        <v>3</v>
      </c>
      <c r="U1982">
        <v>2</v>
      </c>
      <c r="V1982" t="s">
        <v>93</v>
      </c>
      <c r="W1982">
        <v>69</v>
      </c>
      <c r="X1982">
        <v>7</v>
      </c>
      <c r="Y1982">
        <v>5</v>
      </c>
      <c r="Z1982" t="s">
        <v>2628</v>
      </c>
      <c r="AA1982" t="s">
        <v>2629</v>
      </c>
      <c r="AB1982" t="s">
        <v>96</v>
      </c>
      <c r="AC1982" t="s">
        <v>97</v>
      </c>
      <c r="AD1982" t="s">
        <v>1818</v>
      </c>
      <c r="AG1982" t="s">
        <v>2630</v>
      </c>
      <c r="AH1982">
        <v>0</v>
      </c>
      <c r="AI1982">
        <v>0</v>
      </c>
      <c r="AJ1982">
        <v>0</v>
      </c>
      <c r="AK1982">
        <v>16</v>
      </c>
      <c r="AL1982">
        <v>0.7</v>
      </c>
    </row>
    <row r="1983" spans="1:38" x14ac:dyDescent="0.3">
      <c r="A1983" t="s">
        <v>1813</v>
      </c>
      <c r="B1983">
        <v>109186</v>
      </c>
      <c r="C1983">
        <v>5</v>
      </c>
      <c r="D1983" t="s">
        <v>2626</v>
      </c>
      <c r="E1983" t="s">
        <v>2627</v>
      </c>
      <c r="F1983">
        <v>23</v>
      </c>
      <c r="G1983">
        <v>21.64</v>
      </c>
      <c r="H1983">
        <v>71.569999999999993</v>
      </c>
      <c r="I1983">
        <v>18.91</v>
      </c>
      <c r="J1983">
        <v>62.52</v>
      </c>
      <c r="K1983">
        <v>4</v>
      </c>
      <c r="T1983">
        <v>3</v>
      </c>
      <c r="U1983">
        <v>2</v>
      </c>
      <c r="V1983" t="s">
        <v>93</v>
      </c>
      <c r="W1983">
        <v>71</v>
      </c>
      <c r="X1983">
        <v>7</v>
      </c>
      <c r="Y1983">
        <v>5</v>
      </c>
      <c r="Z1983" t="s">
        <v>2628</v>
      </c>
      <c r="AA1983" t="s">
        <v>2629</v>
      </c>
      <c r="AB1983" t="s">
        <v>96</v>
      </c>
      <c r="AC1983" t="s">
        <v>97</v>
      </c>
      <c r="AD1983" t="s">
        <v>1818</v>
      </c>
      <c r="AG1983" t="s">
        <v>2630</v>
      </c>
      <c r="AH1983">
        <v>0</v>
      </c>
      <c r="AI1983">
        <v>0</v>
      </c>
      <c r="AJ1983">
        <v>0</v>
      </c>
      <c r="AK1983">
        <v>16</v>
      </c>
      <c r="AL1983">
        <v>0.7</v>
      </c>
    </row>
    <row r="1984" spans="1:38" x14ac:dyDescent="0.3">
      <c r="A1984" t="s">
        <v>1813</v>
      </c>
      <c r="B1984">
        <v>109186</v>
      </c>
      <c r="C1984">
        <v>6</v>
      </c>
      <c r="D1984" t="s">
        <v>2626</v>
      </c>
      <c r="E1984" t="s">
        <v>2627</v>
      </c>
      <c r="F1984">
        <v>23</v>
      </c>
      <c r="G1984">
        <v>23.78</v>
      </c>
      <c r="H1984">
        <v>78.62</v>
      </c>
      <c r="I1984">
        <v>20.77</v>
      </c>
      <c r="J1984">
        <v>68.680000000000007</v>
      </c>
      <c r="K1984">
        <v>3</v>
      </c>
      <c r="T1984">
        <v>3</v>
      </c>
      <c r="U1984">
        <v>2</v>
      </c>
      <c r="V1984" t="s">
        <v>93</v>
      </c>
      <c r="W1984">
        <v>78</v>
      </c>
      <c r="X1984">
        <v>7</v>
      </c>
      <c r="Y1984">
        <v>5</v>
      </c>
      <c r="Z1984" t="s">
        <v>2628</v>
      </c>
      <c r="AA1984" t="s">
        <v>2629</v>
      </c>
      <c r="AB1984" t="s">
        <v>96</v>
      </c>
      <c r="AC1984" t="s">
        <v>97</v>
      </c>
      <c r="AD1984" t="s">
        <v>1818</v>
      </c>
      <c r="AG1984" t="s">
        <v>2630</v>
      </c>
      <c r="AH1984">
        <v>0</v>
      </c>
      <c r="AI1984">
        <v>0</v>
      </c>
      <c r="AJ1984">
        <v>0</v>
      </c>
      <c r="AK1984">
        <v>16</v>
      </c>
      <c r="AL1984">
        <v>0.7</v>
      </c>
    </row>
    <row r="1985" spans="1:38" x14ac:dyDescent="0.3">
      <c r="A1985" t="s">
        <v>1813</v>
      </c>
      <c r="B1985">
        <v>113533</v>
      </c>
      <c r="C1985">
        <v>1</v>
      </c>
      <c r="D1985" t="s">
        <v>2631</v>
      </c>
      <c r="E1985" t="s">
        <v>534</v>
      </c>
      <c r="F1985">
        <v>45</v>
      </c>
      <c r="G1985">
        <v>17.04</v>
      </c>
      <c r="H1985">
        <v>56.36</v>
      </c>
      <c r="I1985">
        <v>13.37</v>
      </c>
      <c r="J1985">
        <v>44.2</v>
      </c>
      <c r="K1985">
        <v>3</v>
      </c>
      <c r="T1985">
        <v>2</v>
      </c>
      <c r="U1985">
        <v>1</v>
      </c>
      <c r="V1985" t="s">
        <v>132</v>
      </c>
      <c r="W1985">
        <v>56</v>
      </c>
      <c r="X1985">
        <v>14</v>
      </c>
      <c r="Y1985">
        <v>14</v>
      </c>
      <c r="Z1985" t="s">
        <v>2632</v>
      </c>
      <c r="AA1985" t="s">
        <v>2633</v>
      </c>
      <c r="AB1985" t="s">
        <v>96</v>
      </c>
      <c r="AC1985" t="s">
        <v>97</v>
      </c>
      <c r="AD1985" t="s">
        <v>1818</v>
      </c>
      <c r="AG1985" t="s">
        <v>2634</v>
      </c>
      <c r="AH1985">
        <v>0</v>
      </c>
      <c r="AI1985">
        <v>923</v>
      </c>
      <c r="AJ1985">
        <v>79</v>
      </c>
      <c r="AK1985">
        <v>37</v>
      </c>
      <c r="AL1985">
        <v>0.82</v>
      </c>
    </row>
    <row r="1986" spans="1:38" x14ac:dyDescent="0.3">
      <c r="A1986" t="s">
        <v>1813</v>
      </c>
      <c r="B1986">
        <v>113533</v>
      </c>
      <c r="C1986">
        <v>2</v>
      </c>
      <c r="D1986" t="s">
        <v>2631</v>
      </c>
      <c r="E1986" t="s">
        <v>534</v>
      </c>
      <c r="F1986">
        <v>45</v>
      </c>
      <c r="G1986">
        <v>17.55</v>
      </c>
      <c r="H1986">
        <v>58.03</v>
      </c>
      <c r="I1986">
        <v>13.73</v>
      </c>
      <c r="J1986">
        <v>45.39</v>
      </c>
      <c r="K1986">
        <v>3</v>
      </c>
      <c r="T1986">
        <v>2</v>
      </c>
      <c r="U1986">
        <v>1</v>
      </c>
      <c r="V1986" t="s">
        <v>132</v>
      </c>
      <c r="W1986">
        <v>58</v>
      </c>
      <c r="X1986">
        <v>14</v>
      </c>
      <c r="Y1986">
        <v>14</v>
      </c>
      <c r="Z1986" t="s">
        <v>2632</v>
      </c>
      <c r="AA1986" t="s">
        <v>2633</v>
      </c>
      <c r="AB1986" t="s">
        <v>96</v>
      </c>
      <c r="AC1986" t="s">
        <v>97</v>
      </c>
      <c r="AD1986" t="s">
        <v>1818</v>
      </c>
      <c r="AG1986" t="s">
        <v>2634</v>
      </c>
      <c r="AH1986">
        <v>0</v>
      </c>
      <c r="AI1986">
        <v>923</v>
      </c>
      <c r="AJ1986">
        <v>79</v>
      </c>
      <c r="AK1986">
        <v>37</v>
      </c>
      <c r="AL1986">
        <v>0.82</v>
      </c>
    </row>
    <row r="1987" spans="1:38" x14ac:dyDescent="0.3">
      <c r="A1987" t="s">
        <v>1813</v>
      </c>
      <c r="B1987">
        <v>113533</v>
      </c>
      <c r="C1987">
        <v>3</v>
      </c>
      <c r="D1987" t="s">
        <v>2631</v>
      </c>
      <c r="E1987" t="s">
        <v>534</v>
      </c>
      <c r="F1987">
        <v>45</v>
      </c>
      <c r="G1987">
        <v>19.93</v>
      </c>
      <c r="H1987">
        <v>65.89</v>
      </c>
      <c r="I1987">
        <v>15.61</v>
      </c>
      <c r="J1987">
        <v>51.61</v>
      </c>
      <c r="K1987">
        <v>3</v>
      </c>
      <c r="T1987">
        <v>3</v>
      </c>
      <c r="U1987">
        <v>1</v>
      </c>
      <c r="V1987" t="s">
        <v>132</v>
      </c>
      <c r="W1987" t="s">
        <v>197</v>
      </c>
      <c r="X1987">
        <v>14</v>
      </c>
      <c r="Y1987">
        <v>14</v>
      </c>
      <c r="Z1987" t="s">
        <v>2632</v>
      </c>
      <c r="AA1987" t="s">
        <v>2633</v>
      </c>
      <c r="AB1987" t="s">
        <v>96</v>
      </c>
      <c r="AC1987" t="s">
        <v>97</v>
      </c>
      <c r="AD1987" t="s">
        <v>1818</v>
      </c>
      <c r="AG1987" t="s">
        <v>2634</v>
      </c>
      <c r="AH1987">
        <v>0</v>
      </c>
      <c r="AI1987">
        <v>923</v>
      </c>
      <c r="AJ1987">
        <v>79</v>
      </c>
      <c r="AK1987">
        <v>37</v>
      </c>
      <c r="AL1987">
        <v>0.82</v>
      </c>
    </row>
    <row r="1988" spans="1:38" x14ac:dyDescent="0.3">
      <c r="A1988" t="s">
        <v>1813</v>
      </c>
      <c r="B1988">
        <v>113533</v>
      </c>
      <c r="C1988">
        <v>4</v>
      </c>
      <c r="D1988" t="s">
        <v>2631</v>
      </c>
      <c r="E1988" t="s">
        <v>534</v>
      </c>
      <c r="F1988">
        <v>45</v>
      </c>
      <c r="G1988">
        <v>20.100000000000001</v>
      </c>
      <c r="H1988">
        <v>66.459999999999994</v>
      </c>
      <c r="I1988">
        <v>15.63</v>
      </c>
      <c r="J1988">
        <v>51.68</v>
      </c>
      <c r="K1988">
        <v>3</v>
      </c>
      <c r="T1988">
        <v>3</v>
      </c>
      <c r="U1988">
        <v>1</v>
      </c>
      <c r="V1988" t="s">
        <v>132</v>
      </c>
      <c r="W1988" t="s">
        <v>256</v>
      </c>
      <c r="X1988">
        <v>14</v>
      </c>
      <c r="Y1988">
        <v>14</v>
      </c>
      <c r="Z1988" t="s">
        <v>2632</v>
      </c>
      <c r="AA1988" t="s">
        <v>2633</v>
      </c>
      <c r="AB1988" t="s">
        <v>96</v>
      </c>
      <c r="AC1988" t="s">
        <v>97</v>
      </c>
      <c r="AD1988" t="s">
        <v>1818</v>
      </c>
      <c r="AG1988" t="s">
        <v>2634</v>
      </c>
      <c r="AH1988">
        <v>0</v>
      </c>
      <c r="AI1988">
        <v>923</v>
      </c>
      <c r="AJ1988">
        <v>79</v>
      </c>
      <c r="AK1988">
        <v>37</v>
      </c>
      <c r="AL1988">
        <v>0.82</v>
      </c>
    </row>
    <row r="1989" spans="1:38" x14ac:dyDescent="0.3">
      <c r="A1989" t="s">
        <v>1813</v>
      </c>
      <c r="B1989">
        <v>113533</v>
      </c>
      <c r="C1989">
        <v>5</v>
      </c>
      <c r="D1989" t="s">
        <v>2631</v>
      </c>
      <c r="E1989" t="s">
        <v>534</v>
      </c>
      <c r="F1989">
        <v>45</v>
      </c>
      <c r="G1989">
        <v>20.51</v>
      </c>
      <c r="H1989">
        <v>67.81</v>
      </c>
      <c r="I1989">
        <v>15.98</v>
      </c>
      <c r="J1989">
        <v>52.85</v>
      </c>
      <c r="K1989">
        <v>3</v>
      </c>
      <c r="T1989">
        <v>3</v>
      </c>
      <c r="U1989">
        <v>1</v>
      </c>
      <c r="V1989" t="s">
        <v>132</v>
      </c>
      <c r="W1989" t="s">
        <v>395</v>
      </c>
      <c r="X1989">
        <v>14</v>
      </c>
      <c r="Y1989">
        <v>14</v>
      </c>
      <c r="Z1989" t="s">
        <v>2632</v>
      </c>
      <c r="AA1989" t="s">
        <v>2633</v>
      </c>
      <c r="AB1989" t="s">
        <v>96</v>
      </c>
      <c r="AC1989" t="s">
        <v>97</v>
      </c>
      <c r="AD1989" t="s">
        <v>1818</v>
      </c>
      <c r="AG1989" t="s">
        <v>2634</v>
      </c>
      <c r="AH1989">
        <v>0</v>
      </c>
      <c r="AI1989">
        <v>923</v>
      </c>
      <c r="AJ1989">
        <v>79</v>
      </c>
      <c r="AK1989">
        <v>37</v>
      </c>
      <c r="AL1989">
        <v>0.82</v>
      </c>
    </row>
    <row r="1990" spans="1:38" x14ac:dyDescent="0.3">
      <c r="A1990" t="s">
        <v>1813</v>
      </c>
      <c r="B1990">
        <v>113533</v>
      </c>
      <c r="C1990">
        <v>6</v>
      </c>
      <c r="D1990" t="s">
        <v>2631</v>
      </c>
      <c r="E1990" t="s">
        <v>534</v>
      </c>
      <c r="F1990">
        <v>45</v>
      </c>
      <c r="G1990">
        <v>20.5</v>
      </c>
      <c r="H1990">
        <v>67.8</v>
      </c>
      <c r="I1990">
        <v>16.059999999999999</v>
      </c>
      <c r="J1990">
        <v>53.1</v>
      </c>
      <c r="K1990">
        <v>3</v>
      </c>
      <c r="T1990">
        <v>3</v>
      </c>
      <c r="U1990">
        <v>1</v>
      </c>
      <c r="V1990" t="s">
        <v>132</v>
      </c>
      <c r="W1990" t="s">
        <v>858</v>
      </c>
      <c r="X1990">
        <v>14</v>
      </c>
      <c r="Y1990">
        <v>14</v>
      </c>
      <c r="Z1990" t="s">
        <v>2632</v>
      </c>
      <c r="AA1990" t="s">
        <v>2633</v>
      </c>
      <c r="AB1990" t="s">
        <v>96</v>
      </c>
      <c r="AC1990" t="s">
        <v>97</v>
      </c>
      <c r="AD1990" t="s">
        <v>1818</v>
      </c>
      <c r="AG1990" t="s">
        <v>2634</v>
      </c>
      <c r="AH1990">
        <v>0</v>
      </c>
      <c r="AI1990">
        <v>923</v>
      </c>
      <c r="AJ1990">
        <v>79</v>
      </c>
      <c r="AK1990">
        <v>37</v>
      </c>
      <c r="AL1990">
        <v>0.82</v>
      </c>
    </row>
    <row r="1991" spans="1:38" x14ac:dyDescent="0.3">
      <c r="A1991" t="s">
        <v>1813</v>
      </c>
      <c r="B1991">
        <v>113533</v>
      </c>
      <c r="C1991">
        <v>7</v>
      </c>
      <c r="D1991" t="s">
        <v>2631</v>
      </c>
      <c r="E1991" t="s">
        <v>534</v>
      </c>
      <c r="F1991">
        <v>45</v>
      </c>
      <c r="G1991">
        <v>20.79</v>
      </c>
      <c r="H1991">
        <v>68.760000000000005</v>
      </c>
      <c r="I1991">
        <v>16.29</v>
      </c>
      <c r="J1991">
        <v>53.87</v>
      </c>
      <c r="K1991">
        <v>3</v>
      </c>
      <c r="T1991">
        <v>3</v>
      </c>
      <c r="U1991">
        <v>1</v>
      </c>
      <c r="V1991" t="s">
        <v>132</v>
      </c>
      <c r="W1991" t="s">
        <v>380</v>
      </c>
      <c r="X1991">
        <v>14</v>
      </c>
      <c r="Y1991">
        <v>14</v>
      </c>
      <c r="Z1991" t="s">
        <v>2632</v>
      </c>
      <c r="AA1991" t="s">
        <v>2633</v>
      </c>
      <c r="AB1991" t="s">
        <v>96</v>
      </c>
      <c r="AC1991" t="s">
        <v>97</v>
      </c>
      <c r="AD1991" t="s">
        <v>1818</v>
      </c>
      <c r="AG1991" t="s">
        <v>2634</v>
      </c>
      <c r="AH1991">
        <v>0</v>
      </c>
      <c r="AI1991">
        <v>923</v>
      </c>
      <c r="AJ1991">
        <v>79</v>
      </c>
      <c r="AK1991">
        <v>37</v>
      </c>
      <c r="AL1991">
        <v>0.82</v>
      </c>
    </row>
    <row r="1992" spans="1:38" x14ac:dyDescent="0.3">
      <c r="A1992" t="s">
        <v>1813</v>
      </c>
      <c r="B1992">
        <v>113533</v>
      </c>
      <c r="C1992">
        <v>8</v>
      </c>
      <c r="D1992" t="s">
        <v>2631</v>
      </c>
      <c r="E1992" t="s">
        <v>534</v>
      </c>
      <c r="F1992">
        <v>45</v>
      </c>
      <c r="G1992">
        <v>20.84</v>
      </c>
      <c r="H1992">
        <v>68.91</v>
      </c>
      <c r="I1992">
        <v>16.39</v>
      </c>
      <c r="J1992">
        <v>54.21</v>
      </c>
      <c r="K1992">
        <v>3</v>
      </c>
      <c r="T1992">
        <v>3</v>
      </c>
      <c r="U1992">
        <v>1</v>
      </c>
      <c r="V1992" t="s">
        <v>132</v>
      </c>
      <c r="W1992" t="s">
        <v>452</v>
      </c>
      <c r="X1992">
        <v>14</v>
      </c>
      <c r="Y1992">
        <v>14</v>
      </c>
      <c r="Z1992" t="s">
        <v>2632</v>
      </c>
      <c r="AA1992" t="s">
        <v>2633</v>
      </c>
      <c r="AB1992" t="s">
        <v>96</v>
      </c>
      <c r="AC1992" t="s">
        <v>97</v>
      </c>
      <c r="AD1992" t="s">
        <v>1818</v>
      </c>
      <c r="AG1992" t="s">
        <v>2634</v>
      </c>
      <c r="AH1992">
        <v>0</v>
      </c>
      <c r="AI1992">
        <v>923</v>
      </c>
      <c r="AJ1992">
        <v>79</v>
      </c>
      <c r="AK1992">
        <v>37</v>
      </c>
      <c r="AL1992">
        <v>0.82</v>
      </c>
    </row>
    <row r="1993" spans="1:38" x14ac:dyDescent="0.3">
      <c r="A1993" t="s">
        <v>1813</v>
      </c>
      <c r="B1993">
        <v>113533</v>
      </c>
      <c r="C1993">
        <v>9</v>
      </c>
      <c r="D1993" t="s">
        <v>2631</v>
      </c>
      <c r="E1993" t="s">
        <v>534</v>
      </c>
      <c r="F1993">
        <v>45</v>
      </c>
      <c r="G1993">
        <v>20.91</v>
      </c>
      <c r="H1993">
        <v>69.14</v>
      </c>
      <c r="I1993">
        <v>16.39</v>
      </c>
      <c r="J1993">
        <v>54.2</v>
      </c>
      <c r="K1993">
        <v>3</v>
      </c>
      <c r="T1993">
        <v>3</v>
      </c>
      <c r="U1993">
        <v>1</v>
      </c>
      <c r="V1993" t="s">
        <v>132</v>
      </c>
      <c r="W1993" t="s">
        <v>1193</v>
      </c>
      <c r="X1993">
        <v>14</v>
      </c>
      <c r="Y1993">
        <v>14</v>
      </c>
      <c r="Z1993" t="s">
        <v>2632</v>
      </c>
      <c r="AA1993" t="s">
        <v>2633</v>
      </c>
      <c r="AB1993" t="s">
        <v>96</v>
      </c>
      <c r="AC1993" t="s">
        <v>97</v>
      </c>
      <c r="AD1993" t="s">
        <v>1818</v>
      </c>
      <c r="AG1993" t="s">
        <v>2634</v>
      </c>
      <c r="AH1993">
        <v>0</v>
      </c>
      <c r="AI1993">
        <v>923</v>
      </c>
      <c r="AJ1993">
        <v>79</v>
      </c>
      <c r="AK1993">
        <v>37</v>
      </c>
      <c r="AL1993">
        <v>0.82</v>
      </c>
    </row>
    <row r="1994" spans="1:38" x14ac:dyDescent="0.3">
      <c r="A1994" t="s">
        <v>1813</v>
      </c>
      <c r="B1994">
        <v>113533</v>
      </c>
      <c r="C1994">
        <v>10</v>
      </c>
      <c r="D1994" t="s">
        <v>2631</v>
      </c>
      <c r="E1994" t="s">
        <v>534</v>
      </c>
      <c r="F1994">
        <v>45</v>
      </c>
      <c r="G1994">
        <v>21</v>
      </c>
      <c r="H1994">
        <v>69.430000000000007</v>
      </c>
      <c r="I1994">
        <v>16.57</v>
      </c>
      <c r="J1994">
        <v>54.78</v>
      </c>
      <c r="K1994">
        <v>3</v>
      </c>
      <c r="T1994">
        <v>3</v>
      </c>
      <c r="U1994">
        <v>1</v>
      </c>
      <c r="V1994" t="s">
        <v>132</v>
      </c>
      <c r="W1994" t="s">
        <v>454</v>
      </c>
      <c r="X1994">
        <v>14</v>
      </c>
      <c r="Y1994">
        <v>14</v>
      </c>
      <c r="Z1994" t="s">
        <v>2632</v>
      </c>
      <c r="AA1994" t="s">
        <v>2633</v>
      </c>
      <c r="AB1994" t="s">
        <v>96</v>
      </c>
      <c r="AC1994" t="s">
        <v>97</v>
      </c>
      <c r="AD1994" t="s">
        <v>1818</v>
      </c>
      <c r="AG1994" t="s">
        <v>2634</v>
      </c>
      <c r="AH1994">
        <v>0</v>
      </c>
      <c r="AI1994">
        <v>923</v>
      </c>
      <c r="AJ1994">
        <v>79</v>
      </c>
      <c r="AK1994">
        <v>37</v>
      </c>
      <c r="AL1994">
        <v>0.82</v>
      </c>
    </row>
    <row r="1995" spans="1:38" x14ac:dyDescent="0.3">
      <c r="A1995" t="s">
        <v>1813</v>
      </c>
      <c r="B1995">
        <v>113533</v>
      </c>
      <c r="C1995">
        <v>11</v>
      </c>
      <c r="D1995" t="s">
        <v>2631</v>
      </c>
      <c r="E1995" t="s">
        <v>534</v>
      </c>
      <c r="F1995">
        <v>45</v>
      </c>
      <c r="G1995">
        <v>21.7</v>
      </c>
      <c r="H1995">
        <v>71.739999999999995</v>
      </c>
      <c r="I1995">
        <v>17.25</v>
      </c>
      <c r="J1995">
        <v>57.05</v>
      </c>
      <c r="K1995">
        <v>3</v>
      </c>
      <c r="T1995">
        <v>3</v>
      </c>
      <c r="U1995">
        <v>1</v>
      </c>
      <c r="V1995" t="s">
        <v>132</v>
      </c>
      <c r="W1995" t="s">
        <v>2127</v>
      </c>
      <c r="X1995">
        <v>14</v>
      </c>
      <c r="Y1995">
        <v>14</v>
      </c>
      <c r="Z1995" t="s">
        <v>2632</v>
      </c>
      <c r="AA1995" t="s">
        <v>2633</v>
      </c>
      <c r="AB1995" t="s">
        <v>96</v>
      </c>
      <c r="AC1995" t="s">
        <v>97</v>
      </c>
      <c r="AD1995" t="s">
        <v>1818</v>
      </c>
      <c r="AG1995" t="s">
        <v>2634</v>
      </c>
      <c r="AH1995">
        <v>0</v>
      </c>
      <c r="AI1995">
        <v>923</v>
      </c>
      <c r="AJ1995">
        <v>79</v>
      </c>
      <c r="AK1995">
        <v>37</v>
      </c>
      <c r="AL1995">
        <v>0.82</v>
      </c>
    </row>
    <row r="1996" spans="1:38" x14ac:dyDescent="0.3">
      <c r="A1996" t="s">
        <v>1813</v>
      </c>
      <c r="B1996">
        <v>113533</v>
      </c>
      <c r="C1996">
        <v>12</v>
      </c>
      <c r="D1996" t="s">
        <v>2631</v>
      </c>
      <c r="E1996" t="s">
        <v>534</v>
      </c>
      <c r="F1996">
        <v>45</v>
      </c>
      <c r="G1996">
        <v>22.01</v>
      </c>
      <c r="H1996">
        <v>72.78</v>
      </c>
      <c r="I1996">
        <v>17.239999999999998</v>
      </c>
      <c r="J1996">
        <v>57.01</v>
      </c>
      <c r="K1996">
        <v>3</v>
      </c>
      <c r="T1996">
        <v>3</v>
      </c>
      <c r="U1996">
        <v>1</v>
      </c>
      <c r="V1996" t="s">
        <v>132</v>
      </c>
      <c r="W1996" t="s">
        <v>282</v>
      </c>
      <c r="X1996">
        <v>14</v>
      </c>
      <c r="Y1996">
        <v>14</v>
      </c>
      <c r="Z1996" t="s">
        <v>2632</v>
      </c>
      <c r="AA1996" t="s">
        <v>2633</v>
      </c>
      <c r="AB1996" t="s">
        <v>96</v>
      </c>
      <c r="AC1996" t="s">
        <v>97</v>
      </c>
      <c r="AD1996" t="s">
        <v>1818</v>
      </c>
      <c r="AG1996" t="s">
        <v>2634</v>
      </c>
      <c r="AH1996">
        <v>0</v>
      </c>
      <c r="AI1996">
        <v>923</v>
      </c>
      <c r="AJ1996">
        <v>79</v>
      </c>
      <c r="AK1996">
        <v>37</v>
      </c>
      <c r="AL1996">
        <v>0.82</v>
      </c>
    </row>
    <row r="1997" spans="1:38" x14ac:dyDescent="0.3">
      <c r="A1997" t="s">
        <v>1813</v>
      </c>
      <c r="B1997">
        <v>113533</v>
      </c>
      <c r="C1997">
        <v>13</v>
      </c>
      <c r="D1997" t="s">
        <v>2631</v>
      </c>
      <c r="E1997" t="s">
        <v>534</v>
      </c>
      <c r="F1997">
        <v>45</v>
      </c>
      <c r="G1997">
        <v>22.56</v>
      </c>
      <c r="H1997">
        <v>74.58</v>
      </c>
      <c r="I1997">
        <v>17.8</v>
      </c>
      <c r="J1997">
        <v>58.87</v>
      </c>
      <c r="K1997">
        <v>3</v>
      </c>
      <c r="T1997">
        <v>3</v>
      </c>
      <c r="U1997">
        <v>1</v>
      </c>
      <c r="V1997" t="s">
        <v>132</v>
      </c>
      <c r="W1997" t="s">
        <v>406</v>
      </c>
      <c r="X1997">
        <v>14</v>
      </c>
      <c r="Y1997">
        <v>14</v>
      </c>
      <c r="Z1997" t="s">
        <v>2632</v>
      </c>
      <c r="AA1997" t="s">
        <v>2633</v>
      </c>
      <c r="AB1997" t="s">
        <v>96</v>
      </c>
      <c r="AC1997" t="s">
        <v>97</v>
      </c>
      <c r="AD1997" t="s">
        <v>1818</v>
      </c>
      <c r="AG1997" t="s">
        <v>2634</v>
      </c>
      <c r="AH1997">
        <v>0</v>
      </c>
      <c r="AI1997">
        <v>923</v>
      </c>
      <c r="AJ1997">
        <v>79</v>
      </c>
      <c r="AK1997">
        <v>37</v>
      </c>
      <c r="AL1997">
        <v>0.82</v>
      </c>
    </row>
    <row r="1998" spans="1:38" x14ac:dyDescent="0.3">
      <c r="A1998" t="s">
        <v>1813</v>
      </c>
      <c r="B1998">
        <v>113533</v>
      </c>
      <c r="C1998">
        <v>14</v>
      </c>
      <c r="D1998" t="s">
        <v>2631</v>
      </c>
      <c r="E1998" t="s">
        <v>534</v>
      </c>
      <c r="F1998">
        <v>45</v>
      </c>
      <c r="G1998">
        <v>23</v>
      </c>
      <c r="H1998">
        <v>76.040000000000006</v>
      </c>
      <c r="I1998">
        <v>18.04</v>
      </c>
      <c r="J1998">
        <v>59.66</v>
      </c>
      <c r="K1998">
        <v>3</v>
      </c>
      <c r="T1998">
        <v>3</v>
      </c>
      <c r="U1998">
        <v>1</v>
      </c>
      <c r="V1998" t="s">
        <v>132</v>
      </c>
      <c r="W1998" t="s">
        <v>1126</v>
      </c>
      <c r="X1998">
        <v>14</v>
      </c>
      <c r="Y1998">
        <v>14</v>
      </c>
      <c r="Z1998" t="s">
        <v>2632</v>
      </c>
      <c r="AA1998" t="s">
        <v>2633</v>
      </c>
      <c r="AB1998" t="s">
        <v>96</v>
      </c>
      <c r="AC1998" t="s">
        <v>97</v>
      </c>
      <c r="AD1998" t="s">
        <v>1818</v>
      </c>
      <c r="AG1998" t="s">
        <v>2634</v>
      </c>
      <c r="AH1998">
        <v>0</v>
      </c>
      <c r="AI1998">
        <v>923</v>
      </c>
      <c r="AJ1998">
        <v>79</v>
      </c>
      <c r="AK1998">
        <v>37</v>
      </c>
      <c r="AL1998">
        <v>0.82</v>
      </c>
    </row>
    <row r="1999" spans="1:38" x14ac:dyDescent="0.3">
      <c r="A1999" t="s">
        <v>1813</v>
      </c>
      <c r="B1999">
        <v>113533</v>
      </c>
      <c r="C1999">
        <v>15</v>
      </c>
      <c r="D1999" t="s">
        <v>2631</v>
      </c>
      <c r="E1999" t="s">
        <v>534</v>
      </c>
      <c r="F1999">
        <v>45</v>
      </c>
      <c r="G1999">
        <v>23.52</v>
      </c>
      <c r="H1999">
        <v>77.760000000000005</v>
      </c>
      <c r="I1999">
        <v>18.690000000000001</v>
      </c>
      <c r="J1999">
        <v>61.8</v>
      </c>
      <c r="K1999">
        <v>3</v>
      </c>
      <c r="T1999">
        <v>3</v>
      </c>
      <c r="U1999">
        <v>1</v>
      </c>
      <c r="V1999" t="s">
        <v>132</v>
      </c>
      <c r="W1999">
        <v>77</v>
      </c>
      <c r="X1999">
        <v>14</v>
      </c>
      <c r="Y1999">
        <v>14</v>
      </c>
      <c r="Z1999" t="s">
        <v>2632</v>
      </c>
      <c r="AA1999" t="s">
        <v>2633</v>
      </c>
      <c r="AB1999" t="s">
        <v>96</v>
      </c>
      <c r="AC1999" t="s">
        <v>97</v>
      </c>
      <c r="AD1999" t="s">
        <v>1818</v>
      </c>
      <c r="AG1999" t="s">
        <v>2634</v>
      </c>
      <c r="AH1999">
        <v>0</v>
      </c>
      <c r="AI1999">
        <v>923</v>
      </c>
      <c r="AJ1999">
        <v>79</v>
      </c>
      <c r="AK1999">
        <v>37</v>
      </c>
      <c r="AL1999">
        <v>0.82</v>
      </c>
    </row>
    <row r="2000" spans="1:38" x14ac:dyDescent="0.3">
      <c r="A2000" t="s">
        <v>1813</v>
      </c>
      <c r="B2000">
        <v>117520</v>
      </c>
      <c r="C2000">
        <v>1</v>
      </c>
      <c r="D2000" t="s">
        <v>2635</v>
      </c>
      <c r="E2000" t="s">
        <v>328</v>
      </c>
      <c r="F2000">
        <v>9</v>
      </c>
      <c r="G2000">
        <v>19.5</v>
      </c>
      <c r="H2000">
        <v>64.489999999999995</v>
      </c>
      <c r="I2000">
        <v>16.920000000000002</v>
      </c>
      <c r="J2000">
        <v>55.94</v>
      </c>
      <c r="K2000">
        <v>3</v>
      </c>
      <c r="T2000">
        <v>3</v>
      </c>
      <c r="U2000">
        <v>1</v>
      </c>
      <c r="V2000" t="s">
        <v>93</v>
      </c>
      <c r="W2000">
        <v>64</v>
      </c>
      <c r="X2000">
        <v>4</v>
      </c>
      <c r="Y2000">
        <v>4</v>
      </c>
      <c r="Z2000" t="s">
        <v>2636</v>
      </c>
      <c r="AA2000" t="s">
        <v>2637</v>
      </c>
      <c r="AB2000" t="s">
        <v>96</v>
      </c>
      <c r="AC2000" t="s">
        <v>97</v>
      </c>
      <c r="AD2000" t="s">
        <v>1818</v>
      </c>
      <c r="AG2000" t="s">
        <v>2638</v>
      </c>
      <c r="AH2000">
        <v>0</v>
      </c>
      <c r="AI2000">
        <v>478</v>
      </c>
      <c r="AJ2000">
        <v>52</v>
      </c>
      <c r="AK2000">
        <v>9</v>
      </c>
      <c r="AL2000">
        <v>1</v>
      </c>
    </row>
    <row r="2001" spans="1:38" x14ac:dyDescent="0.3">
      <c r="A2001" t="s">
        <v>1813</v>
      </c>
      <c r="B2001">
        <v>117520</v>
      </c>
      <c r="C2001">
        <v>2</v>
      </c>
      <c r="D2001" t="s">
        <v>2635</v>
      </c>
      <c r="E2001" t="s">
        <v>328</v>
      </c>
      <c r="F2001">
        <v>9</v>
      </c>
      <c r="G2001">
        <v>21.37</v>
      </c>
      <c r="H2001">
        <v>70.650000000000006</v>
      </c>
      <c r="I2001">
        <v>18.670000000000002</v>
      </c>
      <c r="J2001">
        <v>61.72</v>
      </c>
      <c r="K2001">
        <v>3</v>
      </c>
      <c r="T2001">
        <v>3</v>
      </c>
      <c r="U2001">
        <v>1</v>
      </c>
      <c r="V2001" t="s">
        <v>93</v>
      </c>
      <c r="W2001">
        <v>70</v>
      </c>
      <c r="X2001">
        <v>4</v>
      </c>
      <c r="Y2001">
        <v>4</v>
      </c>
      <c r="Z2001" t="s">
        <v>2636</v>
      </c>
      <c r="AA2001" t="s">
        <v>2637</v>
      </c>
      <c r="AB2001" t="s">
        <v>96</v>
      </c>
      <c r="AC2001" t="s">
        <v>97</v>
      </c>
      <c r="AD2001" t="s">
        <v>1818</v>
      </c>
      <c r="AG2001" t="s">
        <v>2638</v>
      </c>
      <c r="AH2001">
        <v>0</v>
      </c>
      <c r="AI2001">
        <v>478</v>
      </c>
      <c r="AJ2001">
        <v>52</v>
      </c>
      <c r="AK2001">
        <v>9</v>
      </c>
      <c r="AL2001">
        <v>1</v>
      </c>
    </row>
    <row r="2002" spans="1:38" x14ac:dyDescent="0.3">
      <c r="A2002" t="s">
        <v>1813</v>
      </c>
      <c r="B2002">
        <v>117520</v>
      </c>
      <c r="C2002">
        <v>3</v>
      </c>
      <c r="D2002" t="s">
        <v>2635</v>
      </c>
      <c r="E2002" t="s">
        <v>328</v>
      </c>
      <c r="F2002">
        <v>9</v>
      </c>
      <c r="G2002">
        <v>22.1</v>
      </c>
      <c r="H2002">
        <v>73.08</v>
      </c>
      <c r="I2002">
        <v>19.23</v>
      </c>
      <c r="J2002">
        <v>63.6</v>
      </c>
      <c r="K2002">
        <v>3</v>
      </c>
      <c r="T2002">
        <v>3</v>
      </c>
      <c r="U2002">
        <v>1</v>
      </c>
      <c r="V2002" t="s">
        <v>93</v>
      </c>
      <c r="W2002">
        <v>73</v>
      </c>
      <c r="X2002">
        <v>4</v>
      </c>
      <c r="Y2002">
        <v>4</v>
      </c>
      <c r="Z2002" t="s">
        <v>2636</v>
      </c>
      <c r="AA2002" t="s">
        <v>2637</v>
      </c>
      <c r="AB2002" t="s">
        <v>96</v>
      </c>
      <c r="AC2002" t="s">
        <v>97</v>
      </c>
      <c r="AD2002" t="s">
        <v>1818</v>
      </c>
      <c r="AG2002" t="s">
        <v>2638</v>
      </c>
      <c r="AH2002">
        <v>0</v>
      </c>
      <c r="AI2002">
        <v>478</v>
      </c>
      <c r="AJ2002">
        <v>52</v>
      </c>
      <c r="AK2002">
        <v>9</v>
      </c>
      <c r="AL2002">
        <v>1</v>
      </c>
    </row>
    <row r="2003" spans="1:38" x14ac:dyDescent="0.3">
      <c r="A2003" t="s">
        <v>1813</v>
      </c>
      <c r="B2003">
        <v>11935</v>
      </c>
      <c r="C2003">
        <v>1</v>
      </c>
      <c r="D2003" t="s">
        <v>613</v>
      </c>
      <c r="E2003" t="s">
        <v>1886</v>
      </c>
      <c r="F2003">
        <v>10</v>
      </c>
      <c r="G2003">
        <v>19.989999999999998</v>
      </c>
      <c r="H2003">
        <v>66.099999999999994</v>
      </c>
      <c r="I2003">
        <v>17.07</v>
      </c>
      <c r="J2003">
        <v>56.44</v>
      </c>
      <c r="K2003">
        <v>10</v>
      </c>
      <c r="T2003">
        <v>3</v>
      </c>
      <c r="U2003">
        <v>1</v>
      </c>
      <c r="V2003" t="s">
        <v>93</v>
      </c>
      <c r="W2003">
        <v>66</v>
      </c>
      <c r="X2003">
        <v>8</v>
      </c>
      <c r="Y2003">
        <v>8</v>
      </c>
      <c r="Z2003" t="s">
        <v>2639</v>
      </c>
      <c r="AA2003" t="s">
        <v>2640</v>
      </c>
      <c r="AB2003" t="s">
        <v>96</v>
      </c>
      <c r="AC2003" t="s">
        <v>97</v>
      </c>
      <c r="AD2003" t="s">
        <v>1818</v>
      </c>
      <c r="AG2003" t="s">
        <v>2641</v>
      </c>
      <c r="AH2003">
        <v>0</v>
      </c>
      <c r="AI2003">
        <v>354</v>
      </c>
      <c r="AJ2003">
        <v>60</v>
      </c>
      <c r="AK2003">
        <v>8</v>
      </c>
      <c r="AL2003">
        <v>0.8</v>
      </c>
    </row>
    <row r="2004" spans="1:38" x14ac:dyDescent="0.3">
      <c r="A2004" t="s">
        <v>1813</v>
      </c>
      <c r="B2004">
        <v>145723</v>
      </c>
      <c r="C2004">
        <v>1</v>
      </c>
      <c r="D2004" t="s">
        <v>2642</v>
      </c>
      <c r="E2004" t="s">
        <v>870</v>
      </c>
      <c r="F2004">
        <v>9</v>
      </c>
      <c r="G2004">
        <v>17.37</v>
      </c>
      <c r="H2004">
        <v>57.43</v>
      </c>
      <c r="I2004">
        <v>13.83</v>
      </c>
      <c r="J2004">
        <v>45.75</v>
      </c>
      <c r="K2004">
        <v>2</v>
      </c>
      <c r="T2004">
        <v>2</v>
      </c>
      <c r="U2004">
        <v>1</v>
      </c>
      <c r="V2004" t="s">
        <v>93</v>
      </c>
      <c r="W2004">
        <v>57</v>
      </c>
      <c r="X2004">
        <v>9</v>
      </c>
      <c r="Y2004">
        <v>9</v>
      </c>
      <c r="Z2004" t="s">
        <v>2643</v>
      </c>
      <c r="AA2004" t="s">
        <v>2644</v>
      </c>
      <c r="AB2004" t="s">
        <v>96</v>
      </c>
      <c r="AC2004" t="s">
        <v>97</v>
      </c>
      <c r="AD2004" t="s">
        <v>1818</v>
      </c>
      <c r="AG2004" t="s">
        <v>2645</v>
      </c>
      <c r="AH2004">
        <v>0</v>
      </c>
      <c r="AI2004">
        <v>598</v>
      </c>
      <c r="AJ2004">
        <v>76</v>
      </c>
      <c r="AK2004">
        <v>7</v>
      </c>
      <c r="AL2004">
        <v>0.78</v>
      </c>
    </row>
    <row r="2005" spans="1:38" x14ac:dyDescent="0.3">
      <c r="A2005" t="s">
        <v>1813</v>
      </c>
      <c r="B2005">
        <v>145723</v>
      </c>
      <c r="C2005">
        <v>2</v>
      </c>
      <c r="D2005" t="s">
        <v>2642</v>
      </c>
      <c r="E2005" t="s">
        <v>870</v>
      </c>
      <c r="F2005">
        <v>9</v>
      </c>
      <c r="G2005">
        <v>18.48</v>
      </c>
      <c r="H2005">
        <v>61.12</v>
      </c>
      <c r="I2005">
        <v>14.07</v>
      </c>
      <c r="J2005">
        <v>46.53</v>
      </c>
      <c r="K2005">
        <v>2</v>
      </c>
      <c r="T2005">
        <v>2</v>
      </c>
      <c r="U2005">
        <v>1</v>
      </c>
      <c r="V2005" t="s">
        <v>93</v>
      </c>
      <c r="W2005">
        <v>61</v>
      </c>
      <c r="X2005">
        <v>9</v>
      </c>
      <c r="Y2005">
        <v>9</v>
      </c>
      <c r="Z2005" t="s">
        <v>2643</v>
      </c>
      <c r="AA2005" t="s">
        <v>2644</v>
      </c>
      <c r="AB2005" t="s">
        <v>96</v>
      </c>
      <c r="AC2005" t="s">
        <v>97</v>
      </c>
      <c r="AD2005" t="s">
        <v>1818</v>
      </c>
      <c r="AG2005" t="s">
        <v>2645</v>
      </c>
      <c r="AH2005">
        <v>0</v>
      </c>
      <c r="AI2005">
        <v>598</v>
      </c>
      <c r="AJ2005">
        <v>76</v>
      </c>
      <c r="AK2005">
        <v>7</v>
      </c>
      <c r="AL2005">
        <v>0.78</v>
      </c>
    </row>
    <row r="2006" spans="1:38" x14ac:dyDescent="0.3">
      <c r="A2006" t="s">
        <v>1813</v>
      </c>
      <c r="B2006">
        <v>145723</v>
      </c>
      <c r="C2006">
        <v>3</v>
      </c>
      <c r="D2006" t="s">
        <v>2642</v>
      </c>
      <c r="E2006" t="s">
        <v>870</v>
      </c>
      <c r="F2006">
        <v>9</v>
      </c>
      <c r="G2006">
        <v>18.940000000000001</v>
      </c>
      <c r="H2006">
        <v>62.64</v>
      </c>
      <c r="I2006">
        <v>14.29</v>
      </c>
      <c r="J2006">
        <v>47.27</v>
      </c>
      <c r="K2006">
        <v>2</v>
      </c>
      <c r="T2006">
        <v>2</v>
      </c>
      <c r="U2006">
        <v>1</v>
      </c>
      <c r="V2006" t="s">
        <v>93</v>
      </c>
      <c r="W2006">
        <v>62</v>
      </c>
      <c r="X2006">
        <v>9</v>
      </c>
      <c r="Y2006">
        <v>9</v>
      </c>
      <c r="Z2006" t="s">
        <v>2643</v>
      </c>
      <c r="AA2006" t="s">
        <v>2644</v>
      </c>
      <c r="AB2006" t="s">
        <v>96</v>
      </c>
      <c r="AC2006" t="s">
        <v>97</v>
      </c>
      <c r="AD2006" t="s">
        <v>1818</v>
      </c>
      <c r="AG2006" t="s">
        <v>2645</v>
      </c>
      <c r="AH2006">
        <v>0</v>
      </c>
      <c r="AI2006">
        <v>598</v>
      </c>
      <c r="AJ2006">
        <v>76</v>
      </c>
      <c r="AK2006">
        <v>7</v>
      </c>
      <c r="AL2006">
        <v>0.78</v>
      </c>
    </row>
    <row r="2007" spans="1:38" x14ac:dyDescent="0.3">
      <c r="A2007" t="s">
        <v>1813</v>
      </c>
      <c r="B2007">
        <v>145723</v>
      </c>
      <c r="C2007">
        <v>4</v>
      </c>
      <c r="D2007" t="s">
        <v>2642</v>
      </c>
      <c r="E2007" t="s">
        <v>870</v>
      </c>
      <c r="F2007">
        <v>9</v>
      </c>
      <c r="G2007">
        <v>26.66</v>
      </c>
      <c r="H2007">
        <v>88.16</v>
      </c>
      <c r="I2007">
        <v>19.78</v>
      </c>
      <c r="J2007">
        <v>65.400000000000006</v>
      </c>
      <c r="K2007">
        <v>1</v>
      </c>
      <c r="T2007">
        <v>3</v>
      </c>
      <c r="U2007">
        <v>2</v>
      </c>
      <c r="V2007" t="s">
        <v>93</v>
      </c>
      <c r="W2007">
        <v>88</v>
      </c>
      <c r="X2007">
        <v>9</v>
      </c>
      <c r="Y2007">
        <v>9</v>
      </c>
      <c r="Z2007" t="s">
        <v>2643</v>
      </c>
      <c r="AA2007" t="s">
        <v>2644</v>
      </c>
      <c r="AB2007" t="s">
        <v>96</v>
      </c>
      <c r="AC2007" t="s">
        <v>97</v>
      </c>
      <c r="AD2007" t="s">
        <v>1818</v>
      </c>
      <c r="AG2007" t="s">
        <v>2645</v>
      </c>
      <c r="AH2007">
        <v>0</v>
      </c>
      <c r="AI2007">
        <v>598</v>
      </c>
      <c r="AJ2007">
        <v>76</v>
      </c>
      <c r="AK2007">
        <v>7</v>
      </c>
      <c r="AL2007">
        <v>0.78</v>
      </c>
    </row>
    <row r="2008" spans="1:38" x14ac:dyDescent="0.3">
      <c r="A2008" t="s">
        <v>1813</v>
      </c>
      <c r="B2008">
        <v>145723</v>
      </c>
      <c r="C2008">
        <v>5</v>
      </c>
      <c r="D2008" t="s">
        <v>2642</v>
      </c>
      <c r="E2008" t="s">
        <v>870</v>
      </c>
      <c r="F2008">
        <v>9</v>
      </c>
      <c r="G2008">
        <v>29.71</v>
      </c>
      <c r="H2008">
        <v>98.24</v>
      </c>
      <c r="I2008">
        <v>22.02</v>
      </c>
      <c r="J2008">
        <v>72.8</v>
      </c>
      <c r="K2008">
        <v>1</v>
      </c>
      <c r="T2008">
        <v>3</v>
      </c>
      <c r="U2008">
        <v>2</v>
      </c>
      <c r="V2008" t="s">
        <v>93</v>
      </c>
      <c r="W2008" t="s">
        <v>360</v>
      </c>
      <c r="X2008">
        <v>9</v>
      </c>
      <c r="Y2008">
        <v>9</v>
      </c>
      <c r="Z2008" t="s">
        <v>2643</v>
      </c>
      <c r="AA2008" t="s">
        <v>2644</v>
      </c>
      <c r="AB2008" t="s">
        <v>96</v>
      </c>
      <c r="AC2008" t="s">
        <v>97</v>
      </c>
      <c r="AD2008" t="s">
        <v>1818</v>
      </c>
      <c r="AG2008" t="s">
        <v>2645</v>
      </c>
      <c r="AH2008">
        <v>0</v>
      </c>
      <c r="AI2008">
        <v>598</v>
      </c>
      <c r="AJ2008">
        <v>76</v>
      </c>
      <c r="AK2008">
        <v>7</v>
      </c>
      <c r="AL2008">
        <v>0.78</v>
      </c>
    </row>
    <row r="2009" spans="1:38" x14ac:dyDescent="0.3">
      <c r="A2009" t="s">
        <v>1813</v>
      </c>
      <c r="B2009">
        <v>145723</v>
      </c>
      <c r="C2009">
        <v>6</v>
      </c>
      <c r="D2009" t="s">
        <v>2642</v>
      </c>
      <c r="E2009" t="s">
        <v>870</v>
      </c>
      <c r="F2009">
        <v>9</v>
      </c>
      <c r="G2009">
        <v>29.69</v>
      </c>
      <c r="H2009">
        <v>98.17</v>
      </c>
      <c r="I2009">
        <v>21.93</v>
      </c>
      <c r="J2009">
        <v>72.5</v>
      </c>
      <c r="K2009">
        <v>1</v>
      </c>
      <c r="T2009">
        <v>3</v>
      </c>
      <c r="U2009">
        <v>2</v>
      </c>
      <c r="V2009" t="s">
        <v>93</v>
      </c>
      <c r="W2009" t="s">
        <v>356</v>
      </c>
      <c r="X2009">
        <v>9</v>
      </c>
      <c r="Y2009">
        <v>9</v>
      </c>
      <c r="Z2009" t="s">
        <v>2643</v>
      </c>
      <c r="AA2009" t="s">
        <v>2644</v>
      </c>
      <c r="AB2009" t="s">
        <v>96</v>
      </c>
      <c r="AC2009" t="s">
        <v>97</v>
      </c>
      <c r="AD2009" t="s">
        <v>1818</v>
      </c>
      <c r="AG2009" t="s">
        <v>2645</v>
      </c>
      <c r="AH2009">
        <v>0</v>
      </c>
      <c r="AI2009">
        <v>598</v>
      </c>
      <c r="AJ2009">
        <v>76</v>
      </c>
      <c r="AK2009">
        <v>7</v>
      </c>
      <c r="AL2009">
        <v>0.78</v>
      </c>
    </row>
    <row r="2010" spans="1:38" x14ac:dyDescent="0.3">
      <c r="A2010" t="s">
        <v>1813</v>
      </c>
      <c r="B2010">
        <v>108143</v>
      </c>
      <c r="C2010">
        <v>1</v>
      </c>
      <c r="D2010" t="s">
        <v>2646</v>
      </c>
      <c r="E2010" t="s">
        <v>1881</v>
      </c>
      <c r="F2010">
        <v>31</v>
      </c>
      <c r="G2010">
        <v>14.25</v>
      </c>
      <c r="H2010">
        <v>47.11</v>
      </c>
      <c r="I2010">
        <v>10.67</v>
      </c>
      <c r="J2010">
        <v>35.28</v>
      </c>
      <c r="K2010">
        <v>1</v>
      </c>
      <c r="T2010">
        <v>2</v>
      </c>
      <c r="U2010">
        <v>1</v>
      </c>
      <c r="V2010" t="s">
        <v>211</v>
      </c>
      <c r="W2010">
        <v>47</v>
      </c>
      <c r="X2010">
        <v>15</v>
      </c>
      <c r="Y2010">
        <v>14</v>
      </c>
      <c r="Z2010" t="s">
        <v>2647</v>
      </c>
      <c r="AA2010" t="s">
        <v>2648</v>
      </c>
      <c r="AB2010" t="s">
        <v>96</v>
      </c>
      <c r="AC2010" t="s">
        <v>97</v>
      </c>
      <c r="AD2010" t="s">
        <v>1818</v>
      </c>
      <c r="AG2010" t="s">
        <v>2649</v>
      </c>
      <c r="AH2010">
        <v>0</v>
      </c>
      <c r="AI2010">
        <v>799</v>
      </c>
      <c r="AJ2010">
        <v>75</v>
      </c>
      <c r="AK2010">
        <v>31</v>
      </c>
      <c r="AL2010">
        <v>1</v>
      </c>
    </row>
    <row r="2011" spans="1:38" x14ac:dyDescent="0.3">
      <c r="A2011" t="s">
        <v>1813</v>
      </c>
      <c r="B2011">
        <v>108143</v>
      </c>
      <c r="C2011">
        <v>2</v>
      </c>
      <c r="D2011" t="s">
        <v>2646</v>
      </c>
      <c r="E2011" t="s">
        <v>1881</v>
      </c>
      <c r="F2011">
        <v>31</v>
      </c>
      <c r="G2011">
        <v>18.66</v>
      </c>
      <c r="H2011">
        <v>61.71</v>
      </c>
      <c r="I2011">
        <v>14.19</v>
      </c>
      <c r="J2011">
        <v>46.93</v>
      </c>
      <c r="K2011">
        <v>1</v>
      </c>
      <c r="T2011">
        <v>2</v>
      </c>
      <c r="U2011">
        <v>1</v>
      </c>
      <c r="V2011" t="s">
        <v>211</v>
      </c>
      <c r="W2011">
        <v>61</v>
      </c>
      <c r="X2011">
        <v>15</v>
      </c>
      <c r="Y2011">
        <v>14</v>
      </c>
      <c r="Z2011" t="s">
        <v>2647</v>
      </c>
      <c r="AA2011" t="s">
        <v>2648</v>
      </c>
      <c r="AB2011" t="s">
        <v>96</v>
      </c>
      <c r="AC2011" t="s">
        <v>97</v>
      </c>
      <c r="AD2011" t="s">
        <v>1818</v>
      </c>
      <c r="AG2011" t="s">
        <v>2649</v>
      </c>
      <c r="AH2011">
        <v>0</v>
      </c>
      <c r="AI2011">
        <v>799</v>
      </c>
      <c r="AJ2011">
        <v>75</v>
      </c>
      <c r="AK2011">
        <v>31</v>
      </c>
      <c r="AL2011">
        <v>1</v>
      </c>
    </row>
    <row r="2012" spans="1:38" x14ac:dyDescent="0.3">
      <c r="A2012" t="s">
        <v>1813</v>
      </c>
      <c r="B2012">
        <v>108143</v>
      </c>
      <c r="C2012">
        <v>3</v>
      </c>
      <c r="D2012" t="s">
        <v>2646</v>
      </c>
      <c r="E2012" t="s">
        <v>1881</v>
      </c>
      <c r="F2012">
        <v>31</v>
      </c>
      <c r="G2012">
        <v>20.61</v>
      </c>
      <c r="H2012">
        <v>68.150000000000006</v>
      </c>
      <c r="I2012">
        <v>15.8</v>
      </c>
      <c r="J2012">
        <v>52.25</v>
      </c>
      <c r="K2012">
        <v>1</v>
      </c>
      <c r="T2012">
        <v>2</v>
      </c>
      <c r="U2012">
        <v>1</v>
      </c>
      <c r="V2012" t="s">
        <v>211</v>
      </c>
      <c r="W2012">
        <v>68</v>
      </c>
      <c r="X2012">
        <v>15</v>
      </c>
      <c r="Y2012">
        <v>14</v>
      </c>
      <c r="Z2012" t="s">
        <v>2647</v>
      </c>
      <c r="AA2012" t="s">
        <v>2648</v>
      </c>
      <c r="AB2012" t="s">
        <v>96</v>
      </c>
      <c r="AC2012" t="s">
        <v>97</v>
      </c>
      <c r="AD2012" t="s">
        <v>1818</v>
      </c>
      <c r="AG2012" t="s">
        <v>2649</v>
      </c>
      <c r="AH2012">
        <v>0</v>
      </c>
      <c r="AI2012">
        <v>799</v>
      </c>
      <c r="AJ2012">
        <v>75</v>
      </c>
      <c r="AK2012">
        <v>31</v>
      </c>
      <c r="AL2012">
        <v>1</v>
      </c>
    </row>
    <row r="2013" spans="1:38" x14ac:dyDescent="0.3">
      <c r="A2013" t="s">
        <v>1813</v>
      </c>
      <c r="B2013">
        <v>108143</v>
      </c>
      <c r="C2013">
        <v>4</v>
      </c>
      <c r="D2013" t="s">
        <v>2646</v>
      </c>
      <c r="E2013" t="s">
        <v>1881</v>
      </c>
      <c r="F2013">
        <v>31</v>
      </c>
      <c r="G2013">
        <v>21.98</v>
      </c>
      <c r="H2013">
        <v>72.69</v>
      </c>
      <c r="I2013">
        <v>16.38</v>
      </c>
      <c r="J2013">
        <v>54.16</v>
      </c>
      <c r="K2013">
        <v>1</v>
      </c>
      <c r="T2013">
        <v>2</v>
      </c>
      <c r="U2013">
        <v>1</v>
      </c>
      <c r="V2013" t="s">
        <v>211</v>
      </c>
      <c r="W2013">
        <v>72</v>
      </c>
      <c r="X2013">
        <v>15</v>
      </c>
      <c r="Y2013">
        <v>14</v>
      </c>
      <c r="Z2013" t="s">
        <v>2647</v>
      </c>
      <c r="AA2013" t="s">
        <v>2648</v>
      </c>
      <c r="AB2013" t="s">
        <v>96</v>
      </c>
      <c r="AC2013" t="s">
        <v>97</v>
      </c>
      <c r="AD2013" t="s">
        <v>1818</v>
      </c>
      <c r="AG2013" t="s">
        <v>2649</v>
      </c>
      <c r="AH2013">
        <v>0</v>
      </c>
      <c r="AI2013">
        <v>799</v>
      </c>
      <c r="AJ2013">
        <v>75</v>
      </c>
      <c r="AK2013">
        <v>31</v>
      </c>
      <c r="AL2013">
        <v>1</v>
      </c>
    </row>
    <row r="2014" spans="1:38" x14ac:dyDescent="0.3">
      <c r="A2014" t="s">
        <v>1813</v>
      </c>
      <c r="B2014">
        <v>108143</v>
      </c>
      <c r="C2014">
        <v>5</v>
      </c>
      <c r="D2014" t="s">
        <v>2646</v>
      </c>
      <c r="E2014" t="s">
        <v>1881</v>
      </c>
      <c r="F2014">
        <v>31</v>
      </c>
      <c r="G2014">
        <v>22.54</v>
      </c>
      <c r="H2014">
        <v>74.52</v>
      </c>
      <c r="I2014">
        <v>17.13</v>
      </c>
      <c r="J2014">
        <v>56.66</v>
      </c>
      <c r="K2014">
        <v>5</v>
      </c>
      <c r="T2014">
        <v>3</v>
      </c>
      <c r="U2014">
        <v>2</v>
      </c>
      <c r="V2014" t="s">
        <v>211</v>
      </c>
      <c r="W2014" t="s">
        <v>876</v>
      </c>
      <c r="X2014">
        <v>15</v>
      </c>
      <c r="Y2014">
        <v>14</v>
      </c>
      <c r="Z2014" t="s">
        <v>2647</v>
      </c>
      <c r="AA2014" t="s">
        <v>2648</v>
      </c>
      <c r="AB2014" t="s">
        <v>96</v>
      </c>
      <c r="AC2014" t="s">
        <v>97</v>
      </c>
      <c r="AD2014" t="s">
        <v>1818</v>
      </c>
      <c r="AG2014" t="s">
        <v>2649</v>
      </c>
      <c r="AH2014">
        <v>0</v>
      </c>
      <c r="AI2014">
        <v>799</v>
      </c>
      <c r="AJ2014">
        <v>75</v>
      </c>
      <c r="AK2014">
        <v>31</v>
      </c>
      <c r="AL2014">
        <v>1</v>
      </c>
    </row>
    <row r="2015" spans="1:38" x14ac:dyDescent="0.3">
      <c r="A2015" t="s">
        <v>1813</v>
      </c>
      <c r="B2015">
        <v>108143</v>
      </c>
      <c r="C2015">
        <v>6</v>
      </c>
      <c r="D2015" t="s">
        <v>2646</v>
      </c>
      <c r="E2015" t="s">
        <v>1881</v>
      </c>
      <c r="F2015">
        <v>31</v>
      </c>
      <c r="G2015">
        <v>22.51</v>
      </c>
      <c r="H2015">
        <v>74.44</v>
      </c>
      <c r="I2015">
        <v>17.11</v>
      </c>
      <c r="J2015">
        <v>56.57</v>
      </c>
      <c r="K2015">
        <v>1</v>
      </c>
      <c r="T2015">
        <v>3</v>
      </c>
      <c r="U2015">
        <v>2</v>
      </c>
      <c r="V2015" t="s">
        <v>211</v>
      </c>
      <c r="W2015" t="s">
        <v>406</v>
      </c>
      <c r="X2015">
        <v>15</v>
      </c>
      <c r="Y2015">
        <v>14</v>
      </c>
      <c r="Z2015" t="s">
        <v>2647</v>
      </c>
      <c r="AA2015" t="s">
        <v>2648</v>
      </c>
      <c r="AB2015" t="s">
        <v>96</v>
      </c>
      <c r="AC2015" t="s">
        <v>97</v>
      </c>
      <c r="AD2015" t="s">
        <v>1818</v>
      </c>
      <c r="AG2015" t="s">
        <v>2649</v>
      </c>
      <c r="AH2015">
        <v>0</v>
      </c>
      <c r="AI2015">
        <v>799</v>
      </c>
      <c r="AJ2015">
        <v>75</v>
      </c>
      <c r="AK2015">
        <v>31</v>
      </c>
      <c r="AL2015">
        <v>1</v>
      </c>
    </row>
    <row r="2016" spans="1:38" x14ac:dyDescent="0.3">
      <c r="A2016" t="s">
        <v>1813</v>
      </c>
      <c r="B2016">
        <v>108143</v>
      </c>
      <c r="C2016">
        <v>7</v>
      </c>
      <c r="D2016" t="s">
        <v>2646</v>
      </c>
      <c r="E2016" t="s">
        <v>1881</v>
      </c>
      <c r="F2016">
        <v>31</v>
      </c>
      <c r="G2016">
        <v>22.64</v>
      </c>
      <c r="H2016">
        <v>74.86</v>
      </c>
      <c r="I2016">
        <v>17.350000000000001</v>
      </c>
      <c r="J2016">
        <v>57.36</v>
      </c>
      <c r="K2016">
        <v>1</v>
      </c>
      <c r="T2016">
        <v>3</v>
      </c>
      <c r="U2016">
        <v>2</v>
      </c>
      <c r="V2016" t="s">
        <v>211</v>
      </c>
      <c r="W2016" t="s">
        <v>1444</v>
      </c>
      <c r="X2016">
        <v>15</v>
      </c>
      <c r="Y2016">
        <v>14</v>
      </c>
      <c r="Z2016" t="s">
        <v>2647</v>
      </c>
      <c r="AA2016" t="s">
        <v>2648</v>
      </c>
      <c r="AB2016" t="s">
        <v>96</v>
      </c>
      <c r="AC2016" t="s">
        <v>97</v>
      </c>
      <c r="AD2016" t="s">
        <v>1818</v>
      </c>
      <c r="AG2016" t="s">
        <v>2649</v>
      </c>
      <c r="AH2016">
        <v>0</v>
      </c>
      <c r="AI2016">
        <v>799</v>
      </c>
      <c r="AJ2016">
        <v>75</v>
      </c>
      <c r="AK2016">
        <v>31</v>
      </c>
      <c r="AL2016">
        <v>1</v>
      </c>
    </row>
    <row r="2017" spans="1:38" x14ac:dyDescent="0.3">
      <c r="A2017" t="s">
        <v>1813</v>
      </c>
      <c r="B2017">
        <v>108143</v>
      </c>
      <c r="C2017">
        <v>8</v>
      </c>
      <c r="D2017" t="s">
        <v>2646</v>
      </c>
      <c r="E2017" t="s">
        <v>1881</v>
      </c>
      <c r="F2017">
        <v>31</v>
      </c>
      <c r="G2017">
        <v>23.11</v>
      </c>
      <c r="H2017">
        <v>76.42</v>
      </c>
      <c r="I2017">
        <v>17.68</v>
      </c>
      <c r="J2017">
        <v>58.47</v>
      </c>
      <c r="K2017">
        <v>5</v>
      </c>
      <c r="T2017">
        <v>3</v>
      </c>
      <c r="U2017">
        <v>2</v>
      </c>
      <c r="V2017" t="s">
        <v>211</v>
      </c>
      <c r="W2017" t="s">
        <v>1213</v>
      </c>
      <c r="X2017">
        <v>15</v>
      </c>
      <c r="Y2017">
        <v>14</v>
      </c>
      <c r="Z2017" t="s">
        <v>2647</v>
      </c>
      <c r="AA2017" t="s">
        <v>2648</v>
      </c>
      <c r="AB2017" t="s">
        <v>96</v>
      </c>
      <c r="AC2017" t="s">
        <v>97</v>
      </c>
      <c r="AD2017" t="s">
        <v>1818</v>
      </c>
      <c r="AG2017" t="s">
        <v>2649</v>
      </c>
      <c r="AH2017">
        <v>0</v>
      </c>
      <c r="AI2017">
        <v>799</v>
      </c>
      <c r="AJ2017">
        <v>75</v>
      </c>
      <c r="AK2017">
        <v>31</v>
      </c>
      <c r="AL2017">
        <v>1</v>
      </c>
    </row>
    <row r="2018" spans="1:38" x14ac:dyDescent="0.3">
      <c r="A2018" t="s">
        <v>1813</v>
      </c>
      <c r="B2018">
        <v>108143</v>
      </c>
      <c r="C2018">
        <v>9</v>
      </c>
      <c r="D2018" t="s">
        <v>2646</v>
      </c>
      <c r="E2018" t="s">
        <v>1881</v>
      </c>
      <c r="F2018">
        <v>31</v>
      </c>
      <c r="G2018">
        <v>23.09</v>
      </c>
      <c r="H2018">
        <v>76.349999999999994</v>
      </c>
      <c r="I2018">
        <v>17.649999999999999</v>
      </c>
      <c r="J2018">
        <v>58.35</v>
      </c>
      <c r="K2018">
        <v>1</v>
      </c>
      <c r="T2018">
        <v>3</v>
      </c>
      <c r="U2018">
        <v>2</v>
      </c>
      <c r="V2018" t="s">
        <v>211</v>
      </c>
      <c r="W2018" t="s">
        <v>2650</v>
      </c>
      <c r="X2018">
        <v>15</v>
      </c>
      <c r="Y2018">
        <v>14</v>
      </c>
      <c r="Z2018" t="s">
        <v>2647</v>
      </c>
      <c r="AA2018" t="s">
        <v>2648</v>
      </c>
      <c r="AB2018" t="s">
        <v>96</v>
      </c>
      <c r="AC2018" t="s">
        <v>97</v>
      </c>
      <c r="AD2018" t="s">
        <v>1818</v>
      </c>
      <c r="AG2018" t="s">
        <v>2649</v>
      </c>
      <c r="AH2018">
        <v>0</v>
      </c>
      <c r="AI2018">
        <v>799</v>
      </c>
      <c r="AJ2018">
        <v>75</v>
      </c>
      <c r="AK2018">
        <v>31</v>
      </c>
      <c r="AL2018">
        <v>1</v>
      </c>
    </row>
    <row r="2019" spans="1:38" x14ac:dyDescent="0.3">
      <c r="A2019" t="s">
        <v>1813</v>
      </c>
      <c r="B2019">
        <v>108143</v>
      </c>
      <c r="C2019">
        <v>10</v>
      </c>
      <c r="D2019" t="s">
        <v>2646</v>
      </c>
      <c r="E2019" t="s">
        <v>1881</v>
      </c>
      <c r="F2019">
        <v>31</v>
      </c>
      <c r="G2019">
        <v>23.21</v>
      </c>
      <c r="H2019">
        <v>76.75</v>
      </c>
      <c r="I2019">
        <v>17.77</v>
      </c>
      <c r="J2019">
        <v>58.75</v>
      </c>
      <c r="K2019">
        <v>1</v>
      </c>
      <c r="T2019">
        <v>3</v>
      </c>
      <c r="U2019">
        <v>2</v>
      </c>
      <c r="V2019" t="s">
        <v>211</v>
      </c>
      <c r="W2019" t="s">
        <v>2651</v>
      </c>
      <c r="X2019">
        <v>15</v>
      </c>
      <c r="Y2019">
        <v>14</v>
      </c>
      <c r="Z2019" t="s">
        <v>2647</v>
      </c>
      <c r="AA2019" t="s">
        <v>2648</v>
      </c>
      <c r="AB2019" t="s">
        <v>96</v>
      </c>
      <c r="AC2019" t="s">
        <v>97</v>
      </c>
      <c r="AD2019" t="s">
        <v>1818</v>
      </c>
      <c r="AG2019" t="s">
        <v>2649</v>
      </c>
      <c r="AH2019">
        <v>0</v>
      </c>
      <c r="AI2019">
        <v>799</v>
      </c>
      <c r="AJ2019">
        <v>75</v>
      </c>
      <c r="AK2019">
        <v>31</v>
      </c>
      <c r="AL2019">
        <v>1</v>
      </c>
    </row>
    <row r="2020" spans="1:38" x14ac:dyDescent="0.3">
      <c r="A2020" t="s">
        <v>1813</v>
      </c>
      <c r="B2020">
        <v>108143</v>
      </c>
      <c r="C2020">
        <v>11</v>
      </c>
      <c r="D2020" t="s">
        <v>2646</v>
      </c>
      <c r="E2020" t="s">
        <v>1881</v>
      </c>
      <c r="F2020">
        <v>31</v>
      </c>
      <c r="G2020">
        <v>24.91</v>
      </c>
      <c r="H2020">
        <v>82.35</v>
      </c>
      <c r="I2020">
        <v>19.16</v>
      </c>
      <c r="J2020">
        <v>63.35</v>
      </c>
      <c r="K2020">
        <v>1</v>
      </c>
      <c r="T2020">
        <v>3</v>
      </c>
      <c r="U2020">
        <v>2</v>
      </c>
      <c r="V2020" t="s">
        <v>211</v>
      </c>
      <c r="W2020">
        <v>82</v>
      </c>
      <c r="X2020">
        <v>15</v>
      </c>
      <c r="Y2020">
        <v>14</v>
      </c>
      <c r="Z2020" t="s">
        <v>2647</v>
      </c>
      <c r="AA2020" t="s">
        <v>2648</v>
      </c>
      <c r="AB2020" t="s">
        <v>96</v>
      </c>
      <c r="AC2020" t="s">
        <v>97</v>
      </c>
      <c r="AD2020" t="s">
        <v>1818</v>
      </c>
      <c r="AG2020" t="s">
        <v>2649</v>
      </c>
      <c r="AH2020">
        <v>0</v>
      </c>
      <c r="AI2020">
        <v>799</v>
      </c>
      <c r="AJ2020">
        <v>75</v>
      </c>
      <c r="AK2020">
        <v>31</v>
      </c>
      <c r="AL2020">
        <v>1</v>
      </c>
    </row>
    <row r="2021" spans="1:38" x14ac:dyDescent="0.3">
      <c r="A2021" t="s">
        <v>1813</v>
      </c>
      <c r="B2021">
        <v>108143</v>
      </c>
      <c r="C2021">
        <v>12</v>
      </c>
      <c r="D2021" t="s">
        <v>2646</v>
      </c>
      <c r="E2021" t="s">
        <v>1881</v>
      </c>
      <c r="F2021">
        <v>31</v>
      </c>
      <c r="G2021">
        <v>26.85</v>
      </c>
      <c r="H2021">
        <v>88.78</v>
      </c>
      <c r="I2021">
        <v>20.57</v>
      </c>
      <c r="J2021">
        <v>68.02</v>
      </c>
      <c r="K2021">
        <v>5</v>
      </c>
      <c r="T2021">
        <v>3</v>
      </c>
      <c r="U2021">
        <v>2</v>
      </c>
      <c r="V2021" t="s">
        <v>211</v>
      </c>
      <c r="W2021" t="s">
        <v>297</v>
      </c>
      <c r="X2021">
        <v>15</v>
      </c>
      <c r="Y2021">
        <v>14</v>
      </c>
      <c r="Z2021" t="s">
        <v>2647</v>
      </c>
      <c r="AA2021" t="s">
        <v>2648</v>
      </c>
      <c r="AB2021" t="s">
        <v>96</v>
      </c>
      <c r="AC2021" t="s">
        <v>97</v>
      </c>
      <c r="AD2021" t="s">
        <v>1818</v>
      </c>
      <c r="AG2021" t="s">
        <v>2649</v>
      </c>
      <c r="AH2021">
        <v>0</v>
      </c>
      <c r="AI2021">
        <v>799</v>
      </c>
      <c r="AJ2021">
        <v>75</v>
      </c>
      <c r="AK2021">
        <v>31</v>
      </c>
      <c r="AL2021">
        <v>1</v>
      </c>
    </row>
    <row r="2022" spans="1:38" x14ac:dyDescent="0.3">
      <c r="A2022" t="s">
        <v>1813</v>
      </c>
      <c r="B2022">
        <v>108143</v>
      </c>
      <c r="C2022">
        <v>13</v>
      </c>
      <c r="D2022" t="s">
        <v>2646</v>
      </c>
      <c r="E2022" t="s">
        <v>1881</v>
      </c>
      <c r="F2022">
        <v>31</v>
      </c>
      <c r="G2022">
        <v>27.32</v>
      </c>
      <c r="H2022">
        <v>90.33</v>
      </c>
      <c r="I2022">
        <v>21.03</v>
      </c>
      <c r="J2022">
        <v>69.540000000000006</v>
      </c>
      <c r="K2022">
        <v>5</v>
      </c>
      <c r="T2022">
        <v>4</v>
      </c>
      <c r="U2022">
        <v>2</v>
      </c>
      <c r="V2022" t="s">
        <v>93</v>
      </c>
      <c r="W2022" t="s">
        <v>144</v>
      </c>
      <c r="X2022">
        <v>15</v>
      </c>
      <c r="Y2022">
        <v>14</v>
      </c>
      <c r="Z2022" t="s">
        <v>2647</v>
      </c>
      <c r="AA2022" t="s">
        <v>2648</v>
      </c>
      <c r="AB2022" t="s">
        <v>96</v>
      </c>
      <c r="AC2022" t="s">
        <v>97</v>
      </c>
      <c r="AD2022" t="s">
        <v>1818</v>
      </c>
      <c r="AG2022" t="s">
        <v>2649</v>
      </c>
      <c r="AH2022">
        <v>0</v>
      </c>
      <c r="AI2022">
        <v>799</v>
      </c>
      <c r="AJ2022">
        <v>75</v>
      </c>
      <c r="AK2022">
        <v>31</v>
      </c>
      <c r="AL2022">
        <v>1</v>
      </c>
    </row>
    <row r="2023" spans="1:38" x14ac:dyDescent="0.3">
      <c r="A2023" t="s">
        <v>1813</v>
      </c>
      <c r="B2023">
        <v>108143</v>
      </c>
      <c r="C2023">
        <v>14</v>
      </c>
      <c r="D2023" t="s">
        <v>2646</v>
      </c>
      <c r="E2023" t="s">
        <v>1881</v>
      </c>
      <c r="F2023">
        <v>31</v>
      </c>
      <c r="G2023">
        <v>27.37</v>
      </c>
      <c r="H2023">
        <v>90.5</v>
      </c>
      <c r="I2023">
        <v>21.07</v>
      </c>
      <c r="J2023">
        <v>69.680000000000007</v>
      </c>
      <c r="K2023">
        <v>1</v>
      </c>
      <c r="T2023">
        <v>3</v>
      </c>
      <c r="U2023">
        <v>2</v>
      </c>
      <c r="V2023" t="s">
        <v>211</v>
      </c>
      <c r="W2023" t="s">
        <v>1029</v>
      </c>
      <c r="X2023">
        <v>15</v>
      </c>
      <c r="Y2023">
        <v>14</v>
      </c>
      <c r="Z2023" t="s">
        <v>2647</v>
      </c>
      <c r="AA2023" t="s">
        <v>2648</v>
      </c>
      <c r="AB2023" t="s">
        <v>96</v>
      </c>
      <c r="AC2023" t="s">
        <v>97</v>
      </c>
      <c r="AD2023" t="s">
        <v>1818</v>
      </c>
      <c r="AG2023" t="s">
        <v>2649</v>
      </c>
      <c r="AH2023">
        <v>0</v>
      </c>
      <c r="AI2023">
        <v>799</v>
      </c>
      <c r="AJ2023">
        <v>75</v>
      </c>
      <c r="AK2023">
        <v>31</v>
      </c>
      <c r="AL2023">
        <v>1</v>
      </c>
    </row>
    <row r="2024" spans="1:38" x14ac:dyDescent="0.3">
      <c r="A2024" t="s">
        <v>1813</v>
      </c>
      <c r="B2024">
        <v>108143</v>
      </c>
      <c r="C2024">
        <v>15</v>
      </c>
      <c r="D2024" t="s">
        <v>2646</v>
      </c>
      <c r="E2024" t="s">
        <v>1881</v>
      </c>
      <c r="F2024">
        <v>31</v>
      </c>
      <c r="G2024">
        <v>27.38</v>
      </c>
      <c r="H2024">
        <v>90.53</v>
      </c>
      <c r="I2024">
        <v>21.08</v>
      </c>
      <c r="J2024">
        <v>69.7</v>
      </c>
      <c r="K2024">
        <v>1</v>
      </c>
      <c r="T2024">
        <v>3</v>
      </c>
      <c r="U2024">
        <v>2</v>
      </c>
      <c r="V2024" t="s">
        <v>211</v>
      </c>
      <c r="W2024" t="s">
        <v>2652</v>
      </c>
      <c r="X2024">
        <v>15</v>
      </c>
      <c r="Y2024">
        <v>14</v>
      </c>
      <c r="Z2024" t="s">
        <v>2647</v>
      </c>
      <c r="AA2024" t="s">
        <v>2648</v>
      </c>
      <c r="AB2024" t="s">
        <v>96</v>
      </c>
      <c r="AC2024" t="s">
        <v>97</v>
      </c>
      <c r="AD2024" t="s">
        <v>1818</v>
      </c>
      <c r="AG2024" t="s">
        <v>2649</v>
      </c>
      <c r="AH2024">
        <v>0</v>
      </c>
      <c r="AI2024">
        <v>799</v>
      </c>
      <c r="AJ2024">
        <v>75</v>
      </c>
      <c r="AK2024">
        <v>31</v>
      </c>
      <c r="AL2024">
        <v>1</v>
      </c>
    </row>
    <row r="2025" spans="1:38" x14ac:dyDescent="0.3">
      <c r="A2025" t="s">
        <v>1813</v>
      </c>
      <c r="B2025">
        <v>103660</v>
      </c>
      <c r="C2025">
        <v>1</v>
      </c>
      <c r="D2025" t="s">
        <v>2653</v>
      </c>
      <c r="E2025" t="s">
        <v>822</v>
      </c>
      <c r="F2025">
        <v>40</v>
      </c>
      <c r="G2025">
        <v>19.940000000000001</v>
      </c>
      <c r="H2025">
        <v>65.930000000000007</v>
      </c>
      <c r="I2025">
        <v>18.14</v>
      </c>
      <c r="J2025">
        <v>59.99</v>
      </c>
      <c r="K2025">
        <v>10</v>
      </c>
      <c r="T2025">
        <v>3</v>
      </c>
      <c r="U2025">
        <v>2</v>
      </c>
      <c r="V2025" t="s">
        <v>132</v>
      </c>
      <c r="W2025" t="s">
        <v>198</v>
      </c>
      <c r="X2025">
        <v>6</v>
      </c>
      <c r="Y2025">
        <v>6</v>
      </c>
      <c r="Z2025" t="s">
        <v>2654</v>
      </c>
      <c r="AA2025" t="s">
        <v>2655</v>
      </c>
      <c r="AB2025" t="s">
        <v>96</v>
      </c>
      <c r="AC2025" t="s">
        <v>97</v>
      </c>
      <c r="AD2025" t="s">
        <v>1818</v>
      </c>
      <c r="AG2025" t="s">
        <v>2656</v>
      </c>
      <c r="AH2025">
        <v>0</v>
      </c>
      <c r="AI2025">
        <v>267</v>
      </c>
      <c r="AJ2025">
        <v>57</v>
      </c>
      <c r="AK2025">
        <v>32</v>
      </c>
      <c r="AL2025">
        <v>0.8</v>
      </c>
    </row>
    <row r="2026" spans="1:38" x14ac:dyDescent="0.3">
      <c r="A2026" t="s">
        <v>1813</v>
      </c>
      <c r="B2026">
        <v>103660</v>
      </c>
      <c r="C2026">
        <v>2</v>
      </c>
      <c r="D2026" t="s">
        <v>2653</v>
      </c>
      <c r="E2026" t="s">
        <v>822</v>
      </c>
      <c r="F2026">
        <v>40</v>
      </c>
      <c r="G2026">
        <v>19.940000000000001</v>
      </c>
      <c r="H2026">
        <v>65.930000000000007</v>
      </c>
      <c r="I2026">
        <v>18.14</v>
      </c>
      <c r="J2026">
        <v>59.99</v>
      </c>
      <c r="K2026">
        <v>10</v>
      </c>
      <c r="T2026">
        <v>3</v>
      </c>
      <c r="U2026">
        <v>2</v>
      </c>
      <c r="V2026" t="s">
        <v>132</v>
      </c>
      <c r="W2026" t="s">
        <v>2657</v>
      </c>
      <c r="X2026">
        <v>6</v>
      </c>
      <c r="Y2026">
        <v>6</v>
      </c>
      <c r="Z2026" t="s">
        <v>2654</v>
      </c>
      <c r="AA2026" t="s">
        <v>2655</v>
      </c>
      <c r="AB2026" t="s">
        <v>96</v>
      </c>
      <c r="AC2026" t="s">
        <v>97</v>
      </c>
      <c r="AD2026" t="s">
        <v>1818</v>
      </c>
      <c r="AG2026" t="s">
        <v>2656</v>
      </c>
      <c r="AH2026">
        <v>0</v>
      </c>
      <c r="AI2026">
        <v>267</v>
      </c>
      <c r="AJ2026">
        <v>57</v>
      </c>
      <c r="AK2026">
        <v>32</v>
      </c>
      <c r="AL2026">
        <v>0.8</v>
      </c>
    </row>
    <row r="2027" spans="1:38" x14ac:dyDescent="0.3">
      <c r="A2027" t="s">
        <v>1813</v>
      </c>
      <c r="B2027">
        <v>103660</v>
      </c>
      <c r="C2027">
        <v>3</v>
      </c>
      <c r="D2027" t="s">
        <v>2653</v>
      </c>
      <c r="E2027" t="s">
        <v>822</v>
      </c>
      <c r="F2027">
        <v>40</v>
      </c>
      <c r="G2027">
        <v>19.98</v>
      </c>
      <c r="H2027">
        <v>66.05</v>
      </c>
      <c r="I2027">
        <v>18.14</v>
      </c>
      <c r="J2027">
        <v>59.99</v>
      </c>
      <c r="K2027">
        <v>10</v>
      </c>
      <c r="T2027">
        <v>3</v>
      </c>
      <c r="U2027">
        <v>2</v>
      </c>
      <c r="V2027" t="s">
        <v>132</v>
      </c>
      <c r="W2027" t="s">
        <v>257</v>
      </c>
      <c r="X2027">
        <v>6</v>
      </c>
      <c r="Y2027">
        <v>6</v>
      </c>
      <c r="Z2027" t="s">
        <v>2654</v>
      </c>
      <c r="AA2027" t="s">
        <v>2655</v>
      </c>
      <c r="AB2027" t="s">
        <v>96</v>
      </c>
      <c r="AC2027" t="s">
        <v>97</v>
      </c>
      <c r="AD2027" t="s">
        <v>1818</v>
      </c>
      <c r="AG2027" t="s">
        <v>2656</v>
      </c>
      <c r="AH2027">
        <v>0</v>
      </c>
      <c r="AI2027">
        <v>267</v>
      </c>
      <c r="AJ2027">
        <v>57</v>
      </c>
      <c r="AK2027">
        <v>32</v>
      </c>
      <c r="AL2027">
        <v>0.8</v>
      </c>
    </row>
    <row r="2028" spans="1:38" x14ac:dyDescent="0.3">
      <c r="A2028" t="s">
        <v>1813</v>
      </c>
      <c r="B2028">
        <v>103660</v>
      </c>
      <c r="C2028">
        <v>4</v>
      </c>
      <c r="D2028" t="s">
        <v>2653</v>
      </c>
      <c r="E2028" t="s">
        <v>822</v>
      </c>
      <c r="F2028">
        <v>40</v>
      </c>
      <c r="G2028">
        <v>19.98</v>
      </c>
      <c r="H2028">
        <v>66.05</v>
      </c>
      <c r="I2028">
        <v>18.14</v>
      </c>
      <c r="J2028">
        <v>59.99</v>
      </c>
      <c r="K2028">
        <v>10</v>
      </c>
      <c r="T2028">
        <v>3</v>
      </c>
      <c r="U2028">
        <v>2</v>
      </c>
      <c r="V2028" t="s">
        <v>132</v>
      </c>
      <c r="W2028" t="s">
        <v>256</v>
      </c>
      <c r="X2028">
        <v>6</v>
      </c>
      <c r="Y2028">
        <v>6</v>
      </c>
      <c r="Z2028" t="s">
        <v>2654</v>
      </c>
      <c r="AA2028" t="s">
        <v>2655</v>
      </c>
      <c r="AB2028" t="s">
        <v>96</v>
      </c>
      <c r="AC2028" t="s">
        <v>97</v>
      </c>
      <c r="AD2028" t="s">
        <v>1818</v>
      </c>
      <c r="AG2028" t="s">
        <v>2656</v>
      </c>
      <c r="AH2028">
        <v>0</v>
      </c>
      <c r="AI2028">
        <v>267</v>
      </c>
      <c r="AJ2028">
        <v>57</v>
      </c>
      <c r="AK2028">
        <v>32</v>
      </c>
      <c r="AL2028">
        <v>0.8</v>
      </c>
    </row>
    <row r="2029" spans="1:38" x14ac:dyDescent="0.3">
      <c r="A2029" t="s">
        <v>1813</v>
      </c>
      <c r="B2029">
        <v>124592</v>
      </c>
      <c r="C2029">
        <v>1</v>
      </c>
      <c r="D2029" t="s">
        <v>2658</v>
      </c>
      <c r="E2029" t="s">
        <v>1606</v>
      </c>
      <c r="F2029">
        <v>20</v>
      </c>
      <c r="G2029">
        <v>21.24</v>
      </c>
      <c r="H2029">
        <v>70.239999999999995</v>
      </c>
      <c r="I2029">
        <v>18.079999999999998</v>
      </c>
      <c r="J2029">
        <v>59.79</v>
      </c>
      <c r="K2029">
        <v>4</v>
      </c>
      <c r="T2029">
        <v>3</v>
      </c>
      <c r="U2029">
        <v>1</v>
      </c>
      <c r="V2029" t="s">
        <v>93</v>
      </c>
      <c r="W2029">
        <v>70</v>
      </c>
      <c r="X2029">
        <v>14</v>
      </c>
      <c r="Y2029">
        <v>14</v>
      </c>
      <c r="Z2029" t="s">
        <v>2659</v>
      </c>
      <c r="AA2029" t="s">
        <v>2660</v>
      </c>
      <c r="AB2029" t="s">
        <v>96</v>
      </c>
      <c r="AC2029" t="s">
        <v>97</v>
      </c>
      <c r="AD2029" t="s">
        <v>1818</v>
      </c>
      <c r="AG2029" t="s">
        <v>2661</v>
      </c>
      <c r="AH2029">
        <v>0</v>
      </c>
      <c r="AI2029">
        <v>876</v>
      </c>
      <c r="AJ2029">
        <v>71</v>
      </c>
      <c r="AK2029">
        <v>17</v>
      </c>
      <c r="AL2029">
        <v>0.85</v>
      </c>
    </row>
    <row r="2030" spans="1:38" x14ac:dyDescent="0.3">
      <c r="A2030" t="s">
        <v>1813</v>
      </c>
      <c r="B2030">
        <v>124592</v>
      </c>
      <c r="C2030">
        <v>2</v>
      </c>
      <c r="D2030" t="s">
        <v>2658</v>
      </c>
      <c r="E2030" t="s">
        <v>1606</v>
      </c>
      <c r="F2030">
        <v>20</v>
      </c>
      <c r="G2030">
        <v>21.64</v>
      </c>
      <c r="H2030">
        <v>71.56</v>
      </c>
      <c r="I2030">
        <v>16.920000000000002</v>
      </c>
      <c r="J2030">
        <v>55.95</v>
      </c>
      <c r="K2030">
        <v>4</v>
      </c>
      <c r="T2030">
        <v>3</v>
      </c>
      <c r="U2030">
        <v>1</v>
      </c>
      <c r="V2030" t="s">
        <v>93</v>
      </c>
      <c r="W2030">
        <v>71</v>
      </c>
      <c r="X2030">
        <v>14</v>
      </c>
      <c r="Y2030">
        <v>14</v>
      </c>
      <c r="Z2030" t="s">
        <v>2659</v>
      </c>
      <c r="AA2030" t="s">
        <v>2660</v>
      </c>
      <c r="AB2030" t="s">
        <v>96</v>
      </c>
      <c r="AC2030" t="s">
        <v>97</v>
      </c>
      <c r="AD2030" t="s">
        <v>1818</v>
      </c>
      <c r="AG2030" t="s">
        <v>2661</v>
      </c>
      <c r="AH2030">
        <v>0</v>
      </c>
      <c r="AI2030">
        <v>876</v>
      </c>
      <c r="AJ2030">
        <v>71</v>
      </c>
      <c r="AK2030">
        <v>17</v>
      </c>
      <c r="AL2030">
        <v>0.85</v>
      </c>
    </row>
    <row r="2031" spans="1:38" x14ac:dyDescent="0.3">
      <c r="A2031" t="s">
        <v>1813</v>
      </c>
      <c r="B2031">
        <v>124592</v>
      </c>
      <c r="C2031">
        <v>3</v>
      </c>
      <c r="D2031" t="s">
        <v>2658</v>
      </c>
      <c r="E2031" t="s">
        <v>1606</v>
      </c>
      <c r="F2031">
        <v>20</v>
      </c>
      <c r="G2031">
        <v>22.95</v>
      </c>
      <c r="H2031">
        <v>75.89</v>
      </c>
      <c r="I2031">
        <v>18.13</v>
      </c>
      <c r="J2031">
        <v>59.95</v>
      </c>
      <c r="K2031">
        <v>4</v>
      </c>
      <c r="T2031">
        <v>3</v>
      </c>
      <c r="U2031">
        <v>1</v>
      </c>
      <c r="V2031" t="s">
        <v>93</v>
      </c>
      <c r="W2031" t="s">
        <v>881</v>
      </c>
      <c r="X2031">
        <v>14</v>
      </c>
      <c r="Y2031">
        <v>14</v>
      </c>
      <c r="Z2031" t="s">
        <v>2659</v>
      </c>
      <c r="AA2031" t="s">
        <v>2660</v>
      </c>
      <c r="AB2031" t="s">
        <v>96</v>
      </c>
      <c r="AC2031" t="s">
        <v>97</v>
      </c>
      <c r="AD2031" t="s">
        <v>1818</v>
      </c>
      <c r="AG2031" t="s">
        <v>2661</v>
      </c>
      <c r="AH2031">
        <v>0</v>
      </c>
      <c r="AI2031">
        <v>876</v>
      </c>
      <c r="AJ2031">
        <v>71</v>
      </c>
      <c r="AK2031">
        <v>17</v>
      </c>
      <c r="AL2031">
        <v>0.85</v>
      </c>
    </row>
    <row r="2032" spans="1:38" x14ac:dyDescent="0.3">
      <c r="A2032" t="s">
        <v>1813</v>
      </c>
      <c r="B2032">
        <v>124592</v>
      </c>
      <c r="C2032">
        <v>4</v>
      </c>
      <c r="D2032" t="s">
        <v>2658</v>
      </c>
      <c r="E2032" t="s">
        <v>1606</v>
      </c>
      <c r="F2032">
        <v>20</v>
      </c>
      <c r="G2032">
        <v>23.02</v>
      </c>
      <c r="H2032">
        <v>76.12</v>
      </c>
      <c r="I2032">
        <v>17.93</v>
      </c>
      <c r="J2032">
        <v>59.29</v>
      </c>
      <c r="K2032">
        <v>4</v>
      </c>
      <c r="T2032">
        <v>3</v>
      </c>
      <c r="U2032">
        <v>1</v>
      </c>
      <c r="V2032" t="s">
        <v>93</v>
      </c>
      <c r="W2032" t="s">
        <v>1413</v>
      </c>
      <c r="X2032">
        <v>14</v>
      </c>
      <c r="Y2032">
        <v>14</v>
      </c>
      <c r="Z2032" t="s">
        <v>2659</v>
      </c>
      <c r="AA2032" t="s">
        <v>2660</v>
      </c>
      <c r="AB2032" t="s">
        <v>96</v>
      </c>
      <c r="AC2032" t="s">
        <v>97</v>
      </c>
      <c r="AD2032" t="s">
        <v>1818</v>
      </c>
      <c r="AG2032" t="s">
        <v>2661</v>
      </c>
      <c r="AH2032">
        <v>0</v>
      </c>
      <c r="AI2032">
        <v>876</v>
      </c>
      <c r="AJ2032">
        <v>71</v>
      </c>
      <c r="AK2032">
        <v>17</v>
      </c>
      <c r="AL2032">
        <v>0.85</v>
      </c>
    </row>
    <row r="2033" spans="1:38" x14ac:dyDescent="0.3">
      <c r="A2033" t="s">
        <v>1813</v>
      </c>
      <c r="B2033">
        <v>124592</v>
      </c>
      <c r="C2033">
        <v>5</v>
      </c>
      <c r="D2033" t="s">
        <v>2658</v>
      </c>
      <c r="E2033" t="s">
        <v>1606</v>
      </c>
      <c r="F2033">
        <v>20</v>
      </c>
      <c r="G2033">
        <v>23.02</v>
      </c>
      <c r="H2033">
        <v>76.11</v>
      </c>
      <c r="I2033">
        <v>18.13</v>
      </c>
      <c r="J2033">
        <v>59.94</v>
      </c>
      <c r="K2033">
        <v>4</v>
      </c>
      <c r="T2033">
        <v>3</v>
      </c>
      <c r="U2033">
        <v>1</v>
      </c>
      <c r="V2033" t="s">
        <v>93</v>
      </c>
      <c r="W2033" t="s">
        <v>1126</v>
      </c>
      <c r="X2033">
        <v>14</v>
      </c>
      <c r="Y2033">
        <v>14</v>
      </c>
      <c r="Z2033" t="s">
        <v>2659</v>
      </c>
      <c r="AA2033" t="s">
        <v>2660</v>
      </c>
      <c r="AB2033" t="s">
        <v>96</v>
      </c>
      <c r="AC2033" t="s">
        <v>97</v>
      </c>
      <c r="AD2033" t="s">
        <v>1818</v>
      </c>
      <c r="AG2033" t="s">
        <v>2661</v>
      </c>
      <c r="AH2033">
        <v>0</v>
      </c>
      <c r="AI2033">
        <v>876</v>
      </c>
      <c r="AJ2033">
        <v>71</v>
      </c>
      <c r="AK2033">
        <v>17</v>
      </c>
      <c r="AL2033">
        <v>0.85</v>
      </c>
    </row>
    <row r="2034" spans="1:38" x14ac:dyDescent="0.3">
      <c r="A2034" t="s">
        <v>1813</v>
      </c>
      <c r="B2034">
        <v>115921</v>
      </c>
      <c r="C2034">
        <v>1</v>
      </c>
      <c r="D2034" t="s">
        <v>2662</v>
      </c>
      <c r="E2034" t="s">
        <v>414</v>
      </c>
      <c r="F2034">
        <v>26</v>
      </c>
      <c r="G2034">
        <v>21.15</v>
      </c>
      <c r="H2034">
        <v>69.92</v>
      </c>
      <c r="I2034">
        <v>16.48</v>
      </c>
      <c r="J2034">
        <v>54.5</v>
      </c>
      <c r="K2034">
        <v>2</v>
      </c>
      <c r="T2034">
        <v>3</v>
      </c>
      <c r="U2034">
        <v>1</v>
      </c>
      <c r="V2034" t="s">
        <v>93</v>
      </c>
      <c r="W2034">
        <v>69</v>
      </c>
      <c r="X2034">
        <v>14</v>
      </c>
      <c r="Y2034">
        <v>10</v>
      </c>
      <c r="Z2034" t="s">
        <v>2663</v>
      </c>
      <c r="AA2034" t="s">
        <v>2664</v>
      </c>
      <c r="AB2034" t="s">
        <v>96</v>
      </c>
      <c r="AC2034" t="s">
        <v>97</v>
      </c>
      <c r="AD2034" t="s">
        <v>1818</v>
      </c>
      <c r="AG2034" t="s">
        <v>2665</v>
      </c>
      <c r="AH2034">
        <v>0</v>
      </c>
      <c r="AI2034">
        <v>637</v>
      </c>
      <c r="AJ2034">
        <v>75</v>
      </c>
      <c r="AK2034">
        <v>27</v>
      </c>
      <c r="AL2034">
        <v>1.04</v>
      </c>
    </row>
    <row r="2035" spans="1:38" x14ac:dyDescent="0.3">
      <c r="A2035" t="s">
        <v>1813</v>
      </c>
      <c r="B2035">
        <v>115921</v>
      </c>
      <c r="C2035">
        <v>2</v>
      </c>
      <c r="D2035" t="s">
        <v>2662</v>
      </c>
      <c r="E2035" t="s">
        <v>414</v>
      </c>
      <c r="F2035">
        <v>26</v>
      </c>
      <c r="G2035">
        <v>21.5</v>
      </c>
      <c r="H2035">
        <v>71.099999999999994</v>
      </c>
      <c r="I2035">
        <v>16.760000000000002</v>
      </c>
      <c r="J2035">
        <v>55.42</v>
      </c>
      <c r="K2035">
        <v>2</v>
      </c>
      <c r="T2035">
        <v>3</v>
      </c>
      <c r="U2035">
        <v>1</v>
      </c>
      <c r="V2035" t="s">
        <v>93</v>
      </c>
      <c r="W2035" t="s">
        <v>2127</v>
      </c>
      <c r="X2035">
        <v>14</v>
      </c>
      <c r="Y2035">
        <v>10</v>
      </c>
      <c r="Z2035" t="s">
        <v>2663</v>
      </c>
      <c r="AA2035" t="s">
        <v>2664</v>
      </c>
      <c r="AB2035" t="s">
        <v>96</v>
      </c>
      <c r="AC2035" t="s">
        <v>97</v>
      </c>
      <c r="AD2035" t="s">
        <v>1818</v>
      </c>
      <c r="AG2035" t="s">
        <v>2665</v>
      </c>
      <c r="AH2035">
        <v>0</v>
      </c>
      <c r="AI2035">
        <v>637</v>
      </c>
      <c r="AJ2035">
        <v>75</v>
      </c>
      <c r="AK2035">
        <v>27</v>
      </c>
      <c r="AL2035">
        <v>1.04</v>
      </c>
    </row>
    <row r="2036" spans="1:38" x14ac:dyDescent="0.3">
      <c r="A2036" t="s">
        <v>1813</v>
      </c>
      <c r="B2036">
        <v>115921</v>
      </c>
      <c r="C2036">
        <v>3</v>
      </c>
      <c r="D2036" t="s">
        <v>2662</v>
      </c>
      <c r="E2036" t="s">
        <v>414</v>
      </c>
      <c r="F2036">
        <v>26</v>
      </c>
      <c r="G2036">
        <v>22.16</v>
      </c>
      <c r="H2036">
        <v>73.260000000000005</v>
      </c>
      <c r="I2036">
        <v>17.27</v>
      </c>
      <c r="J2036">
        <v>57.11</v>
      </c>
      <c r="K2036">
        <v>4</v>
      </c>
      <c r="T2036">
        <v>3</v>
      </c>
      <c r="U2036">
        <v>1</v>
      </c>
      <c r="V2036" t="s">
        <v>93</v>
      </c>
      <c r="W2036" t="s">
        <v>1243</v>
      </c>
      <c r="X2036">
        <v>14</v>
      </c>
      <c r="Y2036">
        <v>10</v>
      </c>
      <c r="Z2036" t="s">
        <v>2663</v>
      </c>
      <c r="AA2036" t="s">
        <v>2664</v>
      </c>
      <c r="AB2036" t="s">
        <v>96</v>
      </c>
      <c r="AC2036" t="s">
        <v>97</v>
      </c>
      <c r="AD2036" t="s">
        <v>1818</v>
      </c>
      <c r="AG2036" t="s">
        <v>2665</v>
      </c>
      <c r="AH2036">
        <v>0</v>
      </c>
      <c r="AI2036">
        <v>637</v>
      </c>
      <c r="AJ2036">
        <v>75</v>
      </c>
      <c r="AK2036">
        <v>27</v>
      </c>
      <c r="AL2036">
        <v>1.04</v>
      </c>
    </row>
    <row r="2037" spans="1:38" x14ac:dyDescent="0.3">
      <c r="A2037" t="s">
        <v>1813</v>
      </c>
      <c r="B2037">
        <v>115921</v>
      </c>
      <c r="C2037">
        <v>4</v>
      </c>
      <c r="D2037" t="s">
        <v>2662</v>
      </c>
      <c r="E2037" t="s">
        <v>414</v>
      </c>
      <c r="F2037">
        <v>26</v>
      </c>
      <c r="G2037">
        <v>24.34</v>
      </c>
      <c r="H2037">
        <v>80.48</v>
      </c>
      <c r="I2037">
        <v>18.97</v>
      </c>
      <c r="J2037">
        <v>62.73</v>
      </c>
      <c r="K2037">
        <v>1</v>
      </c>
      <c r="T2037">
        <v>3</v>
      </c>
      <c r="U2037">
        <v>1</v>
      </c>
      <c r="V2037" t="s">
        <v>93</v>
      </c>
      <c r="W2037">
        <v>80</v>
      </c>
      <c r="X2037">
        <v>14</v>
      </c>
      <c r="Y2037">
        <v>10</v>
      </c>
      <c r="Z2037" t="s">
        <v>2663</v>
      </c>
      <c r="AA2037" t="s">
        <v>2664</v>
      </c>
      <c r="AB2037" t="s">
        <v>96</v>
      </c>
      <c r="AC2037" t="s">
        <v>97</v>
      </c>
      <c r="AD2037" t="s">
        <v>1818</v>
      </c>
      <c r="AG2037" t="s">
        <v>2665</v>
      </c>
      <c r="AH2037">
        <v>0</v>
      </c>
      <c r="AI2037">
        <v>637</v>
      </c>
      <c r="AJ2037">
        <v>75</v>
      </c>
      <c r="AK2037">
        <v>27</v>
      </c>
      <c r="AL2037">
        <v>1.04</v>
      </c>
    </row>
    <row r="2038" spans="1:38" x14ac:dyDescent="0.3">
      <c r="A2038" t="s">
        <v>1813</v>
      </c>
      <c r="B2038">
        <v>115921</v>
      </c>
      <c r="C2038">
        <v>5</v>
      </c>
      <c r="D2038" t="s">
        <v>2662</v>
      </c>
      <c r="E2038" t="s">
        <v>414</v>
      </c>
      <c r="F2038">
        <v>26</v>
      </c>
      <c r="G2038">
        <v>25.74</v>
      </c>
      <c r="H2038">
        <v>85.12</v>
      </c>
      <c r="I2038">
        <v>20.07</v>
      </c>
      <c r="J2038">
        <v>66.349999999999994</v>
      </c>
      <c r="K2038">
        <v>6</v>
      </c>
      <c r="T2038">
        <v>3</v>
      </c>
      <c r="U2038">
        <v>2</v>
      </c>
      <c r="V2038" t="s">
        <v>93</v>
      </c>
      <c r="W2038">
        <v>85</v>
      </c>
      <c r="X2038">
        <v>14</v>
      </c>
      <c r="Y2038">
        <v>10</v>
      </c>
      <c r="Z2038" t="s">
        <v>2663</v>
      </c>
      <c r="AA2038" t="s">
        <v>2664</v>
      </c>
      <c r="AB2038" t="s">
        <v>96</v>
      </c>
      <c r="AC2038" t="s">
        <v>97</v>
      </c>
      <c r="AD2038" t="s">
        <v>1818</v>
      </c>
      <c r="AG2038" t="s">
        <v>2665</v>
      </c>
      <c r="AH2038">
        <v>0</v>
      </c>
      <c r="AI2038">
        <v>637</v>
      </c>
      <c r="AJ2038">
        <v>75</v>
      </c>
      <c r="AK2038">
        <v>27</v>
      </c>
      <c r="AL2038">
        <v>1.04</v>
      </c>
    </row>
    <row r="2039" spans="1:38" x14ac:dyDescent="0.3">
      <c r="A2039" t="s">
        <v>1813</v>
      </c>
      <c r="B2039">
        <v>115921</v>
      </c>
      <c r="C2039">
        <v>6</v>
      </c>
      <c r="D2039" t="s">
        <v>2662</v>
      </c>
      <c r="E2039" t="s">
        <v>414</v>
      </c>
      <c r="F2039">
        <v>26</v>
      </c>
      <c r="G2039">
        <v>30.21</v>
      </c>
      <c r="H2039">
        <v>99.87</v>
      </c>
      <c r="I2039">
        <v>23.54</v>
      </c>
      <c r="J2039">
        <v>77.849999999999994</v>
      </c>
      <c r="K2039">
        <v>4</v>
      </c>
      <c r="T2039">
        <v>3</v>
      </c>
      <c r="U2039">
        <v>2</v>
      </c>
      <c r="V2039" t="s">
        <v>93</v>
      </c>
      <c r="W2039">
        <v>99</v>
      </c>
      <c r="X2039">
        <v>14</v>
      </c>
      <c r="Y2039">
        <v>10</v>
      </c>
      <c r="Z2039" t="s">
        <v>2663</v>
      </c>
      <c r="AA2039" t="s">
        <v>2664</v>
      </c>
      <c r="AB2039" t="s">
        <v>96</v>
      </c>
      <c r="AC2039" t="s">
        <v>97</v>
      </c>
      <c r="AD2039" t="s">
        <v>1818</v>
      </c>
      <c r="AG2039" t="s">
        <v>2665</v>
      </c>
      <c r="AH2039">
        <v>0</v>
      </c>
      <c r="AI2039">
        <v>637</v>
      </c>
      <c r="AJ2039">
        <v>75</v>
      </c>
      <c r="AK2039">
        <v>27</v>
      </c>
      <c r="AL2039">
        <v>1.04</v>
      </c>
    </row>
    <row r="2040" spans="1:38" x14ac:dyDescent="0.3">
      <c r="A2040" t="s">
        <v>1813</v>
      </c>
      <c r="B2040">
        <v>115921</v>
      </c>
      <c r="C2040">
        <v>7</v>
      </c>
      <c r="D2040" t="s">
        <v>2662</v>
      </c>
      <c r="E2040" t="s">
        <v>414</v>
      </c>
      <c r="F2040">
        <v>26</v>
      </c>
      <c r="G2040">
        <v>31.11</v>
      </c>
      <c r="H2040">
        <v>102.85</v>
      </c>
      <c r="I2040">
        <v>24.25</v>
      </c>
      <c r="J2040">
        <v>80.17</v>
      </c>
      <c r="K2040">
        <v>3</v>
      </c>
      <c r="T2040">
        <v>3</v>
      </c>
      <c r="U2040">
        <v>2</v>
      </c>
      <c r="V2040" t="s">
        <v>93</v>
      </c>
      <c r="W2040">
        <v>102</v>
      </c>
      <c r="X2040">
        <v>14</v>
      </c>
      <c r="Y2040">
        <v>10</v>
      </c>
      <c r="Z2040" t="s">
        <v>2663</v>
      </c>
      <c r="AA2040" t="s">
        <v>2664</v>
      </c>
      <c r="AB2040" t="s">
        <v>96</v>
      </c>
      <c r="AC2040" t="s">
        <v>97</v>
      </c>
      <c r="AD2040" t="s">
        <v>1818</v>
      </c>
      <c r="AG2040" t="s">
        <v>2665</v>
      </c>
      <c r="AH2040">
        <v>0</v>
      </c>
      <c r="AI2040">
        <v>637</v>
      </c>
      <c r="AJ2040">
        <v>75</v>
      </c>
      <c r="AK2040">
        <v>27</v>
      </c>
      <c r="AL2040">
        <v>1.04</v>
      </c>
    </row>
    <row r="2041" spans="1:38" x14ac:dyDescent="0.3">
      <c r="A2041" t="s">
        <v>1813</v>
      </c>
      <c r="B2041">
        <v>115921</v>
      </c>
      <c r="C2041">
        <v>8</v>
      </c>
      <c r="D2041" t="s">
        <v>2662</v>
      </c>
      <c r="E2041" t="s">
        <v>414</v>
      </c>
      <c r="F2041">
        <v>26</v>
      </c>
      <c r="G2041">
        <v>31.69</v>
      </c>
      <c r="H2041">
        <v>104.77</v>
      </c>
      <c r="I2041">
        <v>24.7</v>
      </c>
      <c r="J2041">
        <v>81.67</v>
      </c>
      <c r="K2041">
        <v>3</v>
      </c>
      <c r="T2041">
        <v>3</v>
      </c>
      <c r="U2041">
        <v>2</v>
      </c>
      <c r="V2041" t="s">
        <v>93</v>
      </c>
      <c r="W2041">
        <v>104</v>
      </c>
      <c r="X2041">
        <v>14</v>
      </c>
      <c r="Y2041">
        <v>10</v>
      </c>
      <c r="Z2041" t="s">
        <v>2663</v>
      </c>
      <c r="AA2041" t="s">
        <v>2664</v>
      </c>
      <c r="AB2041" t="s">
        <v>96</v>
      </c>
      <c r="AC2041" t="s">
        <v>97</v>
      </c>
      <c r="AD2041" t="s">
        <v>1818</v>
      </c>
      <c r="AG2041" t="s">
        <v>2665</v>
      </c>
      <c r="AH2041">
        <v>0</v>
      </c>
      <c r="AI2041">
        <v>637</v>
      </c>
      <c r="AJ2041">
        <v>75</v>
      </c>
      <c r="AK2041">
        <v>27</v>
      </c>
      <c r="AL2041">
        <v>1.04</v>
      </c>
    </row>
    <row r="2042" spans="1:38" x14ac:dyDescent="0.3">
      <c r="A2042" t="s">
        <v>1813</v>
      </c>
      <c r="B2042">
        <v>115921</v>
      </c>
      <c r="C2042">
        <v>9</v>
      </c>
      <c r="D2042" t="s">
        <v>2662</v>
      </c>
      <c r="E2042" t="s">
        <v>414</v>
      </c>
      <c r="F2042">
        <v>26</v>
      </c>
      <c r="G2042">
        <v>32.74</v>
      </c>
      <c r="H2042">
        <v>108.26</v>
      </c>
      <c r="I2042">
        <v>25.52</v>
      </c>
      <c r="J2042">
        <v>84.39</v>
      </c>
      <c r="K2042">
        <v>1</v>
      </c>
      <c r="T2042">
        <v>3</v>
      </c>
      <c r="U2042">
        <v>2</v>
      </c>
      <c r="V2042" t="s">
        <v>93</v>
      </c>
      <c r="W2042">
        <v>108</v>
      </c>
      <c r="X2042">
        <v>14</v>
      </c>
      <c r="Y2042">
        <v>10</v>
      </c>
      <c r="Z2042" t="s">
        <v>2663</v>
      </c>
      <c r="AA2042" t="s">
        <v>2664</v>
      </c>
      <c r="AB2042" t="s">
        <v>96</v>
      </c>
      <c r="AC2042" t="s">
        <v>97</v>
      </c>
      <c r="AD2042" t="s">
        <v>1818</v>
      </c>
      <c r="AG2042" t="s">
        <v>2665</v>
      </c>
      <c r="AH2042">
        <v>0</v>
      </c>
      <c r="AI2042">
        <v>637</v>
      </c>
      <c r="AJ2042">
        <v>75</v>
      </c>
      <c r="AK2042">
        <v>27</v>
      </c>
      <c r="AL2042">
        <v>1.04</v>
      </c>
    </row>
    <row r="2043" spans="1:38" x14ac:dyDescent="0.3">
      <c r="A2043" t="s">
        <v>1813</v>
      </c>
      <c r="B2043">
        <v>10561</v>
      </c>
      <c r="C2043">
        <v>1</v>
      </c>
      <c r="D2043" t="s">
        <v>2666</v>
      </c>
      <c r="E2043" t="s">
        <v>2667</v>
      </c>
      <c r="F2043">
        <v>160</v>
      </c>
      <c r="G2043">
        <v>20.38</v>
      </c>
      <c r="H2043">
        <v>67.38</v>
      </c>
      <c r="I2043">
        <v>17.39</v>
      </c>
      <c r="J2043">
        <v>57.51</v>
      </c>
      <c r="K2043">
        <v>10</v>
      </c>
      <c r="T2043">
        <v>3</v>
      </c>
      <c r="U2043">
        <v>1</v>
      </c>
      <c r="V2043" t="s">
        <v>93</v>
      </c>
      <c r="W2043">
        <v>67</v>
      </c>
      <c r="X2043">
        <v>5</v>
      </c>
      <c r="Y2043">
        <v>5</v>
      </c>
      <c r="Z2043" t="s">
        <v>2668</v>
      </c>
      <c r="AA2043" t="s">
        <v>2669</v>
      </c>
      <c r="AB2043" t="s">
        <v>96</v>
      </c>
      <c r="AC2043" t="s">
        <v>97</v>
      </c>
      <c r="AD2043" t="s">
        <v>1818</v>
      </c>
      <c r="AG2043" t="s">
        <v>2670</v>
      </c>
      <c r="AH2043">
        <v>0</v>
      </c>
      <c r="AI2043">
        <v>298</v>
      </c>
      <c r="AJ2043">
        <v>59</v>
      </c>
      <c r="AK2043">
        <v>0</v>
      </c>
      <c r="AL2043">
        <v>0</v>
      </c>
    </row>
    <row r="2044" spans="1:38" x14ac:dyDescent="0.3">
      <c r="A2044" t="s">
        <v>1813</v>
      </c>
      <c r="B2044">
        <v>10561</v>
      </c>
      <c r="C2044">
        <v>2</v>
      </c>
      <c r="D2044" t="s">
        <v>2666</v>
      </c>
      <c r="E2044" t="s">
        <v>2667</v>
      </c>
      <c r="F2044">
        <v>160</v>
      </c>
      <c r="G2044">
        <v>23.82</v>
      </c>
      <c r="H2044">
        <v>78.760000000000005</v>
      </c>
      <c r="I2044">
        <v>20.14</v>
      </c>
      <c r="J2044">
        <v>66.599999999999994</v>
      </c>
      <c r="K2044">
        <v>50</v>
      </c>
      <c r="T2044">
        <v>3</v>
      </c>
      <c r="U2044">
        <v>1</v>
      </c>
      <c r="V2044" t="s">
        <v>93</v>
      </c>
      <c r="W2044" t="s">
        <v>318</v>
      </c>
      <c r="X2044">
        <v>5</v>
      </c>
      <c r="Y2044">
        <v>5</v>
      </c>
      <c r="Z2044" t="s">
        <v>2668</v>
      </c>
      <c r="AA2044" t="s">
        <v>2669</v>
      </c>
      <c r="AB2044" t="s">
        <v>96</v>
      </c>
      <c r="AC2044" t="s">
        <v>97</v>
      </c>
      <c r="AD2044" t="s">
        <v>1818</v>
      </c>
      <c r="AG2044" t="s">
        <v>2670</v>
      </c>
      <c r="AH2044">
        <v>0</v>
      </c>
      <c r="AI2044">
        <v>298</v>
      </c>
      <c r="AJ2044">
        <v>59</v>
      </c>
      <c r="AK2044">
        <v>0</v>
      </c>
      <c r="AL2044">
        <v>0</v>
      </c>
    </row>
    <row r="2045" spans="1:38" x14ac:dyDescent="0.3">
      <c r="A2045" t="s">
        <v>1813</v>
      </c>
      <c r="B2045">
        <v>10561</v>
      </c>
      <c r="C2045">
        <v>3</v>
      </c>
      <c r="D2045" t="s">
        <v>2666</v>
      </c>
      <c r="E2045" t="s">
        <v>2667</v>
      </c>
      <c r="F2045">
        <v>160</v>
      </c>
      <c r="G2045">
        <v>24.18</v>
      </c>
      <c r="H2045">
        <v>79.95</v>
      </c>
      <c r="I2045">
        <v>20.36</v>
      </c>
      <c r="J2045">
        <v>67.319999999999993</v>
      </c>
      <c r="K2045">
        <v>40</v>
      </c>
      <c r="T2045">
        <v>3</v>
      </c>
      <c r="U2045">
        <v>1</v>
      </c>
      <c r="V2045" t="s">
        <v>93</v>
      </c>
      <c r="W2045" t="s">
        <v>475</v>
      </c>
      <c r="X2045">
        <v>5</v>
      </c>
      <c r="Y2045">
        <v>5</v>
      </c>
      <c r="Z2045" t="s">
        <v>2668</v>
      </c>
      <c r="AA2045" t="s">
        <v>2669</v>
      </c>
      <c r="AB2045" t="s">
        <v>96</v>
      </c>
      <c r="AC2045" t="s">
        <v>97</v>
      </c>
      <c r="AD2045" t="s">
        <v>1818</v>
      </c>
      <c r="AG2045" t="s">
        <v>2670</v>
      </c>
      <c r="AH2045">
        <v>0</v>
      </c>
      <c r="AI2045">
        <v>298</v>
      </c>
      <c r="AJ2045">
        <v>59</v>
      </c>
      <c r="AK2045">
        <v>0</v>
      </c>
      <c r="AL2045">
        <v>0</v>
      </c>
    </row>
    <row r="2046" spans="1:38" x14ac:dyDescent="0.3">
      <c r="A2046" t="s">
        <v>1813</v>
      </c>
      <c r="B2046">
        <v>10561</v>
      </c>
      <c r="C2046">
        <v>4</v>
      </c>
      <c r="D2046" t="s">
        <v>2666</v>
      </c>
      <c r="E2046" t="s">
        <v>2667</v>
      </c>
      <c r="F2046">
        <v>160</v>
      </c>
      <c r="G2046">
        <v>24.24</v>
      </c>
      <c r="H2046">
        <v>80.14</v>
      </c>
      <c r="I2046">
        <v>20.69</v>
      </c>
      <c r="J2046">
        <v>68.400000000000006</v>
      </c>
      <c r="K2046">
        <v>10</v>
      </c>
      <c r="T2046">
        <v>3</v>
      </c>
      <c r="U2046">
        <v>1</v>
      </c>
      <c r="V2046" t="s">
        <v>93</v>
      </c>
      <c r="W2046" t="s">
        <v>633</v>
      </c>
      <c r="X2046">
        <v>5</v>
      </c>
      <c r="Y2046">
        <v>5</v>
      </c>
      <c r="Z2046" t="s">
        <v>2668</v>
      </c>
      <c r="AA2046" t="s">
        <v>2669</v>
      </c>
      <c r="AB2046" t="s">
        <v>96</v>
      </c>
      <c r="AC2046" t="s">
        <v>97</v>
      </c>
      <c r="AD2046" t="s">
        <v>1818</v>
      </c>
      <c r="AG2046" t="s">
        <v>2670</v>
      </c>
      <c r="AH2046">
        <v>0</v>
      </c>
      <c r="AI2046">
        <v>298</v>
      </c>
      <c r="AJ2046">
        <v>59</v>
      </c>
      <c r="AK2046">
        <v>0</v>
      </c>
      <c r="AL2046">
        <v>0</v>
      </c>
    </row>
    <row r="2047" spans="1:38" x14ac:dyDescent="0.3">
      <c r="A2047" t="s">
        <v>1813</v>
      </c>
      <c r="B2047">
        <v>10561</v>
      </c>
      <c r="C2047">
        <v>5</v>
      </c>
      <c r="D2047" t="s">
        <v>2666</v>
      </c>
      <c r="E2047" t="s">
        <v>2667</v>
      </c>
      <c r="F2047">
        <v>160</v>
      </c>
      <c r="G2047">
        <v>25.27</v>
      </c>
      <c r="H2047">
        <v>83.54</v>
      </c>
      <c r="I2047">
        <v>21.31</v>
      </c>
      <c r="J2047">
        <v>70.47</v>
      </c>
      <c r="K2047">
        <v>50</v>
      </c>
      <c r="T2047">
        <v>3</v>
      </c>
      <c r="U2047">
        <v>1</v>
      </c>
      <c r="V2047" t="s">
        <v>93</v>
      </c>
      <c r="W2047">
        <v>83</v>
      </c>
      <c r="X2047">
        <v>5</v>
      </c>
      <c r="Y2047">
        <v>5</v>
      </c>
      <c r="Z2047" t="s">
        <v>2668</v>
      </c>
      <c r="AA2047" t="s">
        <v>2669</v>
      </c>
      <c r="AB2047" t="s">
        <v>96</v>
      </c>
      <c r="AC2047" t="s">
        <v>97</v>
      </c>
      <c r="AD2047" t="s">
        <v>1818</v>
      </c>
      <c r="AG2047" t="s">
        <v>2670</v>
      </c>
      <c r="AH2047">
        <v>0</v>
      </c>
      <c r="AI2047">
        <v>298</v>
      </c>
      <c r="AJ2047">
        <v>59</v>
      </c>
      <c r="AK2047">
        <v>0</v>
      </c>
      <c r="AL2047">
        <v>0</v>
      </c>
    </row>
    <row r="2048" spans="1:38" x14ac:dyDescent="0.3">
      <c r="A2048" t="s">
        <v>1813</v>
      </c>
      <c r="B2048">
        <v>119347</v>
      </c>
      <c r="C2048">
        <v>1</v>
      </c>
      <c r="D2048" t="s">
        <v>2671</v>
      </c>
      <c r="E2048" t="s">
        <v>2672</v>
      </c>
      <c r="F2048">
        <v>12</v>
      </c>
      <c r="G2048">
        <v>20.7</v>
      </c>
      <c r="H2048">
        <v>68.430000000000007</v>
      </c>
      <c r="I2048">
        <v>17.100000000000001</v>
      </c>
      <c r="J2048">
        <v>56.53</v>
      </c>
      <c r="K2048">
        <v>4</v>
      </c>
      <c r="T2048">
        <v>3</v>
      </c>
      <c r="U2048">
        <v>1</v>
      </c>
      <c r="V2048" t="s">
        <v>93</v>
      </c>
      <c r="W2048">
        <v>68</v>
      </c>
      <c r="X2048">
        <v>5</v>
      </c>
      <c r="Y2048">
        <v>5</v>
      </c>
      <c r="Z2048" t="s">
        <v>2673</v>
      </c>
      <c r="AA2048" t="s">
        <v>2674</v>
      </c>
      <c r="AB2048" t="s">
        <v>96</v>
      </c>
      <c r="AC2048" t="s">
        <v>97</v>
      </c>
      <c r="AD2048" t="s">
        <v>1818</v>
      </c>
      <c r="AG2048" t="s">
        <v>2675</v>
      </c>
      <c r="AH2048">
        <v>0</v>
      </c>
      <c r="AI2048">
        <v>696</v>
      </c>
      <c r="AJ2048">
        <v>77</v>
      </c>
      <c r="AK2048">
        <v>12</v>
      </c>
      <c r="AL2048">
        <v>1</v>
      </c>
    </row>
    <row r="2049" spans="1:38" x14ac:dyDescent="0.3">
      <c r="A2049" t="s">
        <v>1813</v>
      </c>
      <c r="B2049">
        <v>119347</v>
      </c>
      <c r="C2049">
        <v>2</v>
      </c>
      <c r="D2049" t="s">
        <v>2671</v>
      </c>
      <c r="E2049" t="s">
        <v>2672</v>
      </c>
      <c r="F2049">
        <v>12</v>
      </c>
      <c r="G2049">
        <v>25.58</v>
      </c>
      <c r="H2049">
        <v>84.58</v>
      </c>
      <c r="I2049">
        <v>21.13</v>
      </c>
      <c r="J2049">
        <v>69.88</v>
      </c>
      <c r="K2049">
        <v>4</v>
      </c>
      <c r="T2049">
        <v>3</v>
      </c>
      <c r="U2049">
        <v>2</v>
      </c>
      <c r="V2049" t="s">
        <v>93</v>
      </c>
      <c r="W2049" t="s">
        <v>383</v>
      </c>
      <c r="X2049">
        <v>5</v>
      </c>
      <c r="Y2049">
        <v>5</v>
      </c>
      <c r="Z2049" t="s">
        <v>2673</v>
      </c>
      <c r="AA2049" t="s">
        <v>2674</v>
      </c>
      <c r="AB2049" t="s">
        <v>96</v>
      </c>
      <c r="AC2049" t="s">
        <v>97</v>
      </c>
      <c r="AD2049" t="s">
        <v>1818</v>
      </c>
      <c r="AG2049" t="s">
        <v>2675</v>
      </c>
      <c r="AH2049">
        <v>0</v>
      </c>
      <c r="AI2049">
        <v>696</v>
      </c>
      <c r="AJ2049">
        <v>77</v>
      </c>
      <c r="AK2049">
        <v>12</v>
      </c>
      <c r="AL2049">
        <v>1</v>
      </c>
    </row>
    <row r="2050" spans="1:38" x14ac:dyDescent="0.3">
      <c r="A2050" t="s">
        <v>1813</v>
      </c>
      <c r="B2050">
        <v>119347</v>
      </c>
      <c r="C2050">
        <v>3</v>
      </c>
      <c r="D2050" t="s">
        <v>2671</v>
      </c>
      <c r="E2050" t="s">
        <v>2672</v>
      </c>
      <c r="F2050">
        <v>12</v>
      </c>
      <c r="G2050">
        <v>25.61</v>
      </c>
      <c r="H2050">
        <v>84.68</v>
      </c>
      <c r="I2050">
        <v>21.16</v>
      </c>
      <c r="J2050">
        <v>69.959999999999994</v>
      </c>
      <c r="K2050">
        <v>4</v>
      </c>
      <c r="T2050">
        <v>3</v>
      </c>
      <c r="U2050">
        <v>2</v>
      </c>
      <c r="V2050" t="s">
        <v>93</v>
      </c>
      <c r="W2050" t="s">
        <v>221</v>
      </c>
      <c r="X2050">
        <v>5</v>
      </c>
      <c r="Y2050">
        <v>5</v>
      </c>
      <c r="Z2050" t="s">
        <v>2673</v>
      </c>
      <c r="AA2050" t="s">
        <v>2674</v>
      </c>
      <c r="AB2050" t="s">
        <v>96</v>
      </c>
      <c r="AC2050" t="s">
        <v>97</v>
      </c>
      <c r="AD2050" t="s">
        <v>1818</v>
      </c>
      <c r="AG2050" t="s">
        <v>2675</v>
      </c>
      <c r="AH2050">
        <v>0</v>
      </c>
      <c r="AI2050">
        <v>696</v>
      </c>
      <c r="AJ2050">
        <v>77</v>
      </c>
      <c r="AK2050">
        <v>12</v>
      </c>
      <c r="AL2050">
        <v>1</v>
      </c>
    </row>
    <row r="2051" spans="1:38" x14ac:dyDescent="0.3">
      <c r="A2051" t="s">
        <v>1813</v>
      </c>
      <c r="B2051">
        <v>124091</v>
      </c>
      <c r="C2051">
        <v>1</v>
      </c>
      <c r="D2051" t="s">
        <v>2676</v>
      </c>
      <c r="E2051" t="s">
        <v>534</v>
      </c>
      <c r="F2051">
        <v>22</v>
      </c>
      <c r="G2051">
        <v>26.72</v>
      </c>
      <c r="H2051">
        <v>88.36</v>
      </c>
      <c r="I2051">
        <v>20.93</v>
      </c>
      <c r="J2051">
        <v>69.2</v>
      </c>
      <c r="K2051">
        <v>11</v>
      </c>
      <c r="T2051">
        <v>3</v>
      </c>
      <c r="U2051">
        <v>2</v>
      </c>
      <c r="V2051" t="s">
        <v>93</v>
      </c>
      <c r="W2051">
        <v>88</v>
      </c>
      <c r="X2051">
        <v>13</v>
      </c>
      <c r="Y2051">
        <v>13</v>
      </c>
      <c r="Z2051" t="s">
        <v>2677</v>
      </c>
      <c r="AA2051" t="s">
        <v>2678</v>
      </c>
      <c r="AB2051" t="s">
        <v>96</v>
      </c>
      <c r="AC2051" t="s">
        <v>97</v>
      </c>
      <c r="AD2051" t="s">
        <v>1818</v>
      </c>
      <c r="AG2051" t="s">
        <v>2679</v>
      </c>
      <c r="AH2051">
        <v>0</v>
      </c>
      <c r="AI2051">
        <v>782</v>
      </c>
      <c r="AJ2051">
        <v>78</v>
      </c>
      <c r="AK2051">
        <v>21</v>
      </c>
      <c r="AL2051">
        <v>0.95</v>
      </c>
    </row>
    <row r="2052" spans="1:38" x14ac:dyDescent="0.3">
      <c r="A2052" t="s">
        <v>1813</v>
      </c>
      <c r="B2052">
        <v>124091</v>
      </c>
      <c r="C2052">
        <v>2</v>
      </c>
      <c r="D2052" t="s">
        <v>2676</v>
      </c>
      <c r="E2052" t="s">
        <v>534</v>
      </c>
      <c r="F2052">
        <v>22</v>
      </c>
      <c r="G2052">
        <v>27.84</v>
      </c>
      <c r="H2052">
        <v>92.06</v>
      </c>
      <c r="I2052">
        <v>22.21</v>
      </c>
      <c r="J2052">
        <v>73.430000000000007</v>
      </c>
      <c r="K2052">
        <v>11</v>
      </c>
      <c r="T2052">
        <v>3</v>
      </c>
      <c r="U2052">
        <v>2</v>
      </c>
      <c r="V2052" t="s">
        <v>93</v>
      </c>
      <c r="W2052">
        <v>92</v>
      </c>
      <c r="X2052">
        <v>13</v>
      </c>
      <c r="Y2052">
        <v>13</v>
      </c>
      <c r="Z2052" t="s">
        <v>2677</v>
      </c>
      <c r="AA2052" t="s">
        <v>2678</v>
      </c>
      <c r="AB2052" t="s">
        <v>96</v>
      </c>
      <c r="AC2052" t="s">
        <v>97</v>
      </c>
      <c r="AD2052" t="s">
        <v>1818</v>
      </c>
      <c r="AG2052" t="s">
        <v>2679</v>
      </c>
      <c r="AH2052">
        <v>0</v>
      </c>
      <c r="AI2052">
        <v>782</v>
      </c>
      <c r="AJ2052">
        <v>78</v>
      </c>
      <c r="AK2052">
        <v>21</v>
      </c>
      <c r="AL2052">
        <v>0.95</v>
      </c>
    </row>
    <row r="2053" spans="1:38" x14ac:dyDescent="0.3">
      <c r="A2053" t="s">
        <v>1813</v>
      </c>
      <c r="B2053">
        <v>12903</v>
      </c>
      <c r="C2053">
        <v>1</v>
      </c>
      <c r="D2053" t="s">
        <v>2680</v>
      </c>
      <c r="E2053" t="s">
        <v>2681</v>
      </c>
      <c r="F2053">
        <v>24</v>
      </c>
      <c r="G2053">
        <v>13.34</v>
      </c>
      <c r="H2053">
        <v>44.13</v>
      </c>
      <c r="I2053">
        <v>9.4499999999999993</v>
      </c>
      <c r="J2053">
        <v>31.26</v>
      </c>
      <c r="K2053">
        <v>3</v>
      </c>
      <c r="T2053">
        <v>1</v>
      </c>
      <c r="U2053">
        <v>1</v>
      </c>
      <c r="V2053" t="s">
        <v>211</v>
      </c>
      <c r="W2053">
        <v>44</v>
      </c>
      <c r="X2053">
        <v>5</v>
      </c>
      <c r="Y2053">
        <v>5</v>
      </c>
      <c r="Z2053" t="s">
        <v>2682</v>
      </c>
      <c r="AA2053" t="s">
        <v>2683</v>
      </c>
      <c r="AB2053" t="s">
        <v>96</v>
      </c>
      <c r="AC2053" t="s">
        <v>97</v>
      </c>
      <c r="AD2053" t="s">
        <v>1818</v>
      </c>
      <c r="AG2053" t="s">
        <v>2684</v>
      </c>
      <c r="AH2053">
        <v>0</v>
      </c>
      <c r="AI2053">
        <v>0</v>
      </c>
      <c r="AJ2053">
        <v>0</v>
      </c>
      <c r="AK2053">
        <v>8</v>
      </c>
      <c r="AL2053">
        <v>0.33</v>
      </c>
    </row>
    <row r="2054" spans="1:38" x14ac:dyDescent="0.3">
      <c r="A2054" t="s">
        <v>1813</v>
      </c>
      <c r="B2054">
        <v>12903</v>
      </c>
      <c r="C2054">
        <v>2</v>
      </c>
      <c r="D2054" t="s">
        <v>2680</v>
      </c>
      <c r="E2054" t="s">
        <v>2681</v>
      </c>
      <c r="F2054">
        <v>24</v>
      </c>
      <c r="G2054">
        <v>14.1</v>
      </c>
      <c r="H2054">
        <v>46.64</v>
      </c>
      <c r="I2054">
        <v>12.09</v>
      </c>
      <c r="J2054">
        <v>39.979999999999997</v>
      </c>
      <c r="K2054">
        <v>9</v>
      </c>
      <c r="T2054">
        <v>1</v>
      </c>
      <c r="U2054">
        <v>1</v>
      </c>
      <c r="V2054" t="s">
        <v>211</v>
      </c>
      <c r="W2054" t="s">
        <v>2685</v>
      </c>
      <c r="X2054">
        <v>5</v>
      </c>
      <c r="Y2054">
        <v>5</v>
      </c>
      <c r="Z2054" t="s">
        <v>2682</v>
      </c>
      <c r="AA2054" t="s">
        <v>2683</v>
      </c>
      <c r="AB2054" t="s">
        <v>96</v>
      </c>
      <c r="AC2054" t="s">
        <v>97</v>
      </c>
      <c r="AD2054" t="s">
        <v>1818</v>
      </c>
      <c r="AG2054" t="s">
        <v>2684</v>
      </c>
      <c r="AH2054">
        <v>0</v>
      </c>
      <c r="AI2054">
        <v>0</v>
      </c>
      <c r="AJ2054">
        <v>0</v>
      </c>
      <c r="AK2054">
        <v>8</v>
      </c>
      <c r="AL2054">
        <v>0.33</v>
      </c>
    </row>
    <row r="2055" spans="1:38" x14ac:dyDescent="0.3">
      <c r="A2055" t="s">
        <v>1813</v>
      </c>
      <c r="B2055">
        <v>12903</v>
      </c>
      <c r="C2055">
        <v>3</v>
      </c>
      <c r="D2055" t="s">
        <v>2680</v>
      </c>
      <c r="E2055" t="s">
        <v>2681</v>
      </c>
      <c r="F2055">
        <v>24</v>
      </c>
      <c r="G2055">
        <v>14.01</v>
      </c>
      <c r="H2055">
        <v>46.33</v>
      </c>
      <c r="I2055">
        <v>11.95</v>
      </c>
      <c r="J2055">
        <v>39.51</v>
      </c>
      <c r="K2055">
        <v>8</v>
      </c>
      <c r="T2055">
        <v>1</v>
      </c>
      <c r="U2055">
        <v>1</v>
      </c>
      <c r="V2055" t="s">
        <v>211</v>
      </c>
      <c r="W2055" t="s">
        <v>2686</v>
      </c>
      <c r="X2055">
        <v>5</v>
      </c>
      <c r="Y2055">
        <v>5</v>
      </c>
      <c r="Z2055" t="s">
        <v>2682</v>
      </c>
      <c r="AA2055" t="s">
        <v>2683</v>
      </c>
      <c r="AB2055" t="s">
        <v>96</v>
      </c>
      <c r="AC2055" t="s">
        <v>97</v>
      </c>
      <c r="AD2055" t="s">
        <v>1818</v>
      </c>
      <c r="AG2055" t="s">
        <v>2684</v>
      </c>
      <c r="AH2055">
        <v>0</v>
      </c>
      <c r="AI2055">
        <v>0</v>
      </c>
      <c r="AJ2055">
        <v>0</v>
      </c>
      <c r="AK2055">
        <v>8</v>
      </c>
      <c r="AL2055">
        <v>0.33</v>
      </c>
    </row>
    <row r="2056" spans="1:38" x14ac:dyDescent="0.3">
      <c r="A2056" t="s">
        <v>1813</v>
      </c>
      <c r="B2056">
        <v>12903</v>
      </c>
      <c r="C2056">
        <v>4</v>
      </c>
      <c r="D2056" t="s">
        <v>2680</v>
      </c>
      <c r="E2056" t="s">
        <v>2681</v>
      </c>
      <c r="F2056">
        <v>24</v>
      </c>
      <c r="G2056">
        <v>15.12</v>
      </c>
      <c r="H2056">
        <v>50</v>
      </c>
      <c r="I2056">
        <v>10.99</v>
      </c>
      <c r="J2056">
        <v>36.35</v>
      </c>
      <c r="K2056">
        <v>4</v>
      </c>
      <c r="T2056">
        <v>2</v>
      </c>
      <c r="U2056">
        <v>1</v>
      </c>
      <c r="V2056" t="s">
        <v>93</v>
      </c>
      <c r="W2056">
        <v>50</v>
      </c>
      <c r="X2056">
        <v>5</v>
      </c>
      <c r="Y2056">
        <v>5</v>
      </c>
      <c r="Z2056" t="s">
        <v>2682</v>
      </c>
      <c r="AA2056" t="s">
        <v>2683</v>
      </c>
      <c r="AB2056" t="s">
        <v>96</v>
      </c>
      <c r="AC2056" t="s">
        <v>97</v>
      </c>
      <c r="AD2056" t="s">
        <v>1818</v>
      </c>
      <c r="AG2056" t="s">
        <v>2684</v>
      </c>
      <c r="AH2056">
        <v>0</v>
      </c>
      <c r="AI2056">
        <v>0</v>
      </c>
      <c r="AJ2056">
        <v>0</v>
      </c>
      <c r="AK2056">
        <v>8</v>
      </c>
      <c r="AL2056">
        <v>0.33</v>
      </c>
    </row>
    <row r="2057" spans="1:38" x14ac:dyDescent="0.3">
      <c r="A2057" t="s">
        <v>1813</v>
      </c>
      <c r="B2057">
        <v>126584</v>
      </c>
      <c r="C2057">
        <v>1</v>
      </c>
      <c r="D2057" t="s">
        <v>2687</v>
      </c>
      <c r="E2057" t="s">
        <v>1048</v>
      </c>
      <c r="F2057">
        <v>29</v>
      </c>
      <c r="G2057">
        <v>29.47</v>
      </c>
      <c r="H2057">
        <v>97.44</v>
      </c>
      <c r="I2057">
        <v>24.6</v>
      </c>
      <c r="J2057">
        <v>81.33</v>
      </c>
      <c r="K2057">
        <v>8</v>
      </c>
      <c r="T2057">
        <v>3</v>
      </c>
      <c r="U2057">
        <v>2</v>
      </c>
      <c r="V2057" t="s">
        <v>93</v>
      </c>
      <c r="W2057">
        <v>97</v>
      </c>
      <c r="X2057">
        <v>16</v>
      </c>
      <c r="Y2057">
        <v>15</v>
      </c>
      <c r="Z2057" t="s">
        <v>2688</v>
      </c>
      <c r="AA2057" t="s">
        <v>2689</v>
      </c>
      <c r="AB2057" t="s">
        <v>96</v>
      </c>
      <c r="AC2057" t="s">
        <v>97</v>
      </c>
      <c r="AD2057" t="s">
        <v>1818</v>
      </c>
      <c r="AG2057" t="s">
        <v>2690</v>
      </c>
      <c r="AH2057">
        <v>0</v>
      </c>
      <c r="AI2057">
        <v>249</v>
      </c>
      <c r="AJ2057">
        <v>28</v>
      </c>
      <c r="AK2057">
        <v>29</v>
      </c>
      <c r="AL2057">
        <v>1</v>
      </c>
    </row>
    <row r="2058" spans="1:38" x14ac:dyDescent="0.3">
      <c r="A2058" t="s">
        <v>1813</v>
      </c>
      <c r="B2058">
        <v>126584</v>
      </c>
      <c r="C2058">
        <v>2</v>
      </c>
      <c r="D2058" t="s">
        <v>2687</v>
      </c>
      <c r="E2058" t="s">
        <v>1048</v>
      </c>
      <c r="F2058">
        <v>29</v>
      </c>
      <c r="G2058">
        <v>29.59</v>
      </c>
      <c r="H2058">
        <v>97.85</v>
      </c>
      <c r="I2058">
        <v>24.7</v>
      </c>
      <c r="J2058">
        <v>81.680000000000007</v>
      </c>
      <c r="K2058">
        <v>6</v>
      </c>
      <c r="T2058">
        <v>3</v>
      </c>
      <c r="U2058">
        <v>2</v>
      </c>
      <c r="V2058" t="s">
        <v>93</v>
      </c>
      <c r="W2058" t="s">
        <v>1297</v>
      </c>
      <c r="X2058">
        <v>16</v>
      </c>
      <c r="Y2058">
        <v>15</v>
      </c>
      <c r="Z2058" t="s">
        <v>2688</v>
      </c>
      <c r="AA2058" t="s">
        <v>2689</v>
      </c>
      <c r="AB2058" t="s">
        <v>96</v>
      </c>
      <c r="AC2058" t="s">
        <v>97</v>
      </c>
      <c r="AD2058" t="s">
        <v>1818</v>
      </c>
      <c r="AG2058" t="s">
        <v>2690</v>
      </c>
      <c r="AH2058">
        <v>0</v>
      </c>
      <c r="AI2058">
        <v>249</v>
      </c>
      <c r="AJ2058">
        <v>28</v>
      </c>
      <c r="AK2058">
        <v>29</v>
      </c>
      <c r="AL2058">
        <v>1</v>
      </c>
    </row>
    <row r="2059" spans="1:38" x14ac:dyDescent="0.3">
      <c r="A2059" t="s">
        <v>1813</v>
      </c>
      <c r="B2059">
        <v>126584</v>
      </c>
      <c r="C2059">
        <v>3</v>
      </c>
      <c r="D2059" t="s">
        <v>2687</v>
      </c>
      <c r="E2059" t="s">
        <v>1048</v>
      </c>
      <c r="F2059">
        <v>29</v>
      </c>
      <c r="G2059">
        <v>30.45</v>
      </c>
      <c r="H2059">
        <v>100.69</v>
      </c>
      <c r="I2059">
        <v>25.43</v>
      </c>
      <c r="J2059">
        <v>84.09</v>
      </c>
      <c r="K2059">
        <v>14</v>
      </c>
      <c r="T2059">
        <v>3</v>
      </c>
      <c r="U2059">
        <v>2</v>
      </c>
      <c r="V2059" t="s">
        <v>93</v>
      </c>
      <c r="W2059" t="s">
        <v>1640</v>
      </c>
      <c r="X2059">
        <v>16</v>
      </c>
      <c r="Y2059">
        <v>15</v>
      </c>
      <c r="Z2059" t="s">
        <v>2688</v>
      </c>
      <c r="AA2059" t="s">
        <v>2689</v>
      </c>
      <c r="AB2059" t="s">
        <v>96</v>
      </c>
      <c r="AC2059" t="s">
        <v>97</v>
      </c>
      <c r="AD2059" t="s">
        <v>1818</v>
      </c>
      <c r="AG2059" t="s">
        <v>2690</v>
      </c>
      <c r="AH2059">
        <v>0</v>
      </c>
      <c r="AI2059">
        <v>249</v>
      </c>
      <c r="AJ2059">
        <v>28</v>
      </c>
      <c r="AK2059">
        <v>29</v>
      </c>
      <c r="AL2059">
        <v>1</v>
      </c>
    </row>
    <row r="2060" spans="1:38" x14ac:dyDescent="0.3">
      <c r="A2060" t="s">
        <v>1813</v>
      </c>
      <c r="B2060">
        <v>126584</v>
      </c>
      <c r="C2060">
        <v>4</v>
      </c>
      <c r="D2060" t="s">
        <v>2687</v>
      </c>
      <c r="E2060" t="s">
        <v>1048</v>
      </c>
      <c r="F2060">
        <v>29</v>
      </c>
      <c r="G2060">
        <v>33.479999999999997</v>
      </c>
      <c r="H2060">
        <v>110.69</v>
      </c>
      <c r="I2060">
        <v>28.08</v>
      </c>
      <c r="J2060">
        <v>92.85</v>
      </c>
      <c r="K2060">
        <v>1</v>
      </c>
      <c r="T2060">
        <v>3</v>
      </c>
      <c r="U2060">
        <v>2</v>
      </c>
      <c r="V2060" t="s">
        <v>93</v>
      </c>
      <c r="W2060">
        <v>110</v>
      </c>
      <c r="X2060">
        <v>16</v>
      </c>
      <c r="Y2060">
        <v>15</v>
      </c>
      <c r="Z2060" t="s">
        <v>2688</v>
      </c>
      <c r="AA2060" t="s">
        <v>2689</v>
      </c>
      <c r="AB2060" t="s">
        <v>96</v>
      </c>
      <c r="AC2060" t="s">
        <v>97</v>
      </c>
      <c r="AD2060" t="s">
        <v>1818</v>
      </c>
      <c r="AG2060" t="s">
        <v>2690</v>
      </c>
      <c r="AH2060">
        <v>0</v>
      </c>
      <c r="AI2060">
        <v>249</v>
      </c>
      <c r="AJ2060">
        <v>28</v>
      </c>
      <c r="AK2060">
        <v>29</v>
      </c>
      <c r="AL2060">
        <v>1</v>
      </c>
    </row>
    <row r="2061" spans="1:38" x14ac:dyDescent="0.3">
      <c r="A2061" t="s">
        <v>1813</v>
      </c>
      <c r="B2061">
        <v>9680</v>
      </c>
      <c r="C2061">
        <v>1</v>
      </c>
      <c r="D2061" t="s">
        <v>2691</v>
      </c>
      <c r="E2061" t="s">
        <v>2692</v>
      </c>
      <c r="F2061">
        <v>103</v>
      </c>
      <c r="G2061">
        <v>28.45</v>
      </c>
      <c r="H2061">
        <v>94.08</v>
      </c>
      <c r="I2061">
        <v>21.8</v>
      </c>
      <c r="J2061">
        <v>72.08</v>
      </c>
      <c r="K2061">
        <v>7</v>
      </c>
      <c r="T2061">
        <v>3</v>
      </c>
      <c r="U2061">
        <v>1</v>
      </c>
      <c r="V2061" t="s">
        <v>93</v>
      </c>
      <c r="W2061">
        <v>94</v>
      </c>
      <c r="X2061">
        <v>15</v>
      </c>
      <c r="Y2061">
        <v>15</v>
      </c>
      <c r="Z2061" t="s">
        <v>2693</v>
      </c>
      <c r="AA2061" t="s">
        <v>2694</v>
      </c>
      <c r="AB2061" t="s">
        <v>96</v>
      </c>
      <c r="AC2061" t="s">
        <v>97</v>
      </c>
      <c r="AD2061" t="s">
        <v>1818</v>
      </c>
      <c r="AG2061" t="s">
        <v>2695</v>
      </c>
      <c r="AH2061">
        <v>0</v>
      </c>
      <c r="AI2061">
        <v>301</v>
      </c>
      <c r="AJ2061">
        <v>25</v>
      </c>
      <c r="AK2061">
        <v>0</v>
      </c>
      <c r="AL2061">
        <v>0</v>
      </c>
    </row>
    <row r="2062" spans="1:38" x14ac:dyDescent="0.3">
      <c r="A2062" t="s">
        <v>1813</v>
      </c>
      <c r="B2062">
        <v>9680</v>
      </c>
      <c r="C2062">
        <v>2</v>
      </c>
      <c r="D2062" t="s">
        <v>2691</v>
      </c>
      <c r="E2062" t="s">
        <v>2692</v>
      </c>
      <c r="F2062">
        <v>103</v>
      </c>
      <c r="G2062">
        <v>33.17</v>
      </c>
      <c r="H2062">
        <v>109.67</v>
      </c>
      <c r="I2062">
        <v>25.41</v>
      </c>
      <c r="J2062">
        <v>84.02</v>
      </c>
      <c r="K2062">
        <v>96</v>
      </c>
      <c r="T2062">
        <v>3</v>
      </c>
      <c r="U2062">
        <v>2</v>
      </c>
      <c r="V2062" t="s">
        <v>93</v>
      </c>
      <c r="W2062">
        <v>109</v>
      </c>
      <c r="X2062">
        <v>15</v>
      </c>
      <c r="Y2062">
        <v>15</v>
      </c>
      <c r="Z2062" t="s">
        <v>2693</v>
      </c>
      <c r="AA2062" t="s">
        <v>2694</v>
      </c>
      <c r="AB2062" t="s">
        <v>96</v>
      </c>
      <c r="AC2062" t="s">
        <v>97</v>
      </c>
      <c r="AD2062" t="s">
        <v>1818</v>
      </c>
      <c r="AG2062" t="s">
        <v>2695</v>
      </c>
      <c r="AH2062">
        <v>0</v>
      </c>
      <c r="AI2062">
        <v>301</v>
      </c>
      <c r="AJ2062">
        <v>25</v>
      </c>
      <c r="AK2062">
        <v>0</v>
      </c>
      <c r="AL2062">
        <v>0</v>
      </c>
    </row>
    <row r="2063" spans="1:38" x14ac:dyDescent="0.3">
      <c r="A2063" t="s">
        <v>1813</v>
      </c>
      <c r="B2063">
        <v>103123</v>
      </c>
      <c r="C2063">
        <v>1</v>
      </c>
      <c r="D2063" t="s">
        <v>2696</v>
      </c>
      <c r="E2063" t="s">
        <v>2697</v>
      </c>
      <c r="F2063">
        <v>19</v>
      </c>
      <c r="G2063">
        <v>16.78</v>
      </c>
      <c r="H2063">
        <v>55.48</v>
      </c>
      <c r="I2063">
        <v>14.32</v>
      </c>
      <c r="J2063">
        <v>47.35</v>
      </c>
      <c r="K2063">
        <v>1</v>
      </c>
      <c r="T2063">
        <v>2</v>
      </c>
      <c r="U2063">
        <v>1</v>
      </c>
      <c r="V2063" t="s">
        <v>93</v>
      </c>
      <c r="W2063">
        <v>55</v>
      </c>
      <c r="X2063">
        <v>10</v>
      </c>
      <c r="Y2063">
        <v>8</v>
      </c>
      <c r="Z2063" t="s">
        <v>2698</v>
      </c>
      <c r="AA2063" t="s">
        <v>2699</v>
      </c>
      <c r="AB2063" t="s">
        <v>96</v>
      </c>
      <c r="AC2063" t="s">
        <v>97</v>
      </c>
      <c r="AD2063" t="s">
        <v>1818</v>
      </c>
      <c r="AG2063" t="s">
        <v>2700</v>
      </c>
      <c r="AH2063">
        <v>0</v>
      </c>
      <c r="AI2063">
        <v>443</v>
      </c>
      <c r="AJ2063">
        <v>63</v>
      </c>
      <c r="AK2063">
        <v>19</v>
      </c>
      <c r="AL2063">
        <v>1</v>
      </c>
    </row>
    <row r="2064" spans="1:38" x14ac:dyDescent="0.3">
      <c r="A2064" t="s">
        <v>1813</v>
      </c>
      <c r="B2064">
        <v>103123</v>
      </c>
      <c r="C2064">
        <v>2</v>
      </c>
      <c r="D2064" t="s">
        <v>2696</v>
      </c>
      <c r="E2064" t="s">
        <v>2697</v>
      </c>
      <c r="F2064">
        <v>19</v>
      </c>
      <c r="G2064">
        <v>24.65</v>
      </c>
      <c r="H2064">
        <v>81.489999999999995</v>
      </c>
      <c r="I2064">
        <v>21.03</v>
      </c>
      <c r="J2064">
        <v>69.55</v>
      </c>
      <c r="K2064">
        <v>5</v>
      </c>
      <c r="T2064">
        <v>3</v>
      </c>
      <c r="U2064">
        <v>1</v>
      </c>
      <c r="V2064" t="s">
        <v>93</v>
      </c>
      <c r="W2064">
        <v>81</v>
      </c>
      <c r="X2064">
        <v>10</v>
      </c>
      <c r="Y2064">
        <v>8</v>
      </c>
      <c r="Z2064" t="s">
        <v>2698</v>
      </c>
      <c r="AA2064" t="s">
        <v>2699</v>
      </c>
      <c r="AB2064" t="s">
        <v>96</v>
      </c>
      <c r="AC2064" t="s">
        <v>97</v>
      </c>
      <c r="AD2064" t="s">
        <v>1818</v>
      </c>
      <c r="AG2064" t="s">
        <v>2700</v>
      </c>
      <c r="AH2064">
        <v>0</v>
      </c>
      <c r="AI2064">
        <v>443</v>
      </c>
      <c r="AJ2064">
        <v>63</v>
      </c>
      <c r="AK2064">
        <v>19</v>
      </c>
      <c r="AL2064">
        <v>1</v>
      </c>
    </row>
    <row r="2065" spans="1:38" x14ac:dyDescent="0.3">
      <c r="A2065" t="s">
        <v>1813</v>
      </c>
      <c r="B2065">
        <v>103123</v>
      </c>
      <c r="C2065">
        <v>3</v>
      </c>
      <c r="D2065" t="s">
        <v>2696</v>
      </c>
      <c r="E2065" t="s">
        <v>2697</v>
      </c>
      <c r="F2065">
        <v>19</v>
      </c>
      <c r="G2065">
        <v>25.93</v>
      </c>
      <c r="H2065">
        <v>85.75</v>
      </c>
      <c r="I2065">
        <v>22.13</v>
      </c>
      <c r="J2065">
        <v>73.19</v>
      </c>
      <c r="K2065">
        <v>5</v>
      </c>
      <c r="T2065">
        <v>3</v>
      </c>
      <c r="U2065">
        <v>1</v>
      </c>
      <c r="V2065" t="s">
        <v>93</v>
      </c>
      <c r="W2065">
        <v>85</v>
      </c>
      <c r="X2065">
        <v>10</v>
      </c>
      <c r="Y2065">
        <v>8</v>
      </c>
      <c r="Z2065" t="s">
        <v>2698</v>
      </c>
      <c r="AA2065" t="s">
        <v>2699</v>
      </c>
      <c r="AB2065" t="s">
        <v>96</v>
      </c>
      <c r="AC2065" t="s">
        <v>97</v>
      </c>
      <c r="AD2065" t="s">
        <v>1818</v>
      </c>
      <c r="AG2065" t="s">
        <v>2700</v>
      </c>
      <c r="AH2065">
        <v>0</v>
      </c>
      <c r="AI2065">
        <v>443</v>
      </c>
      <c r="AJ2065">
        <v>63</v>
      </c>
      <c r="AK2065">
        <v>19</v>
      </c>
      <c r="AL2065">
        <v>1</v>
      </c>
    </row>
    <row r="2066" spans="1:38" x14ac:dyDescent="0.3">
      <c r="A2066" t="s">
        <v>1813</v>
      </c>
      <c r="B2066">
        <v>103123</v>
      </c>
      <c r="C2066">
        <v>4</v>
      </c>
      <c r="D2066" t="s">
        <v>2696</v>
      </c>
      <c r="E2066" t="s">
        <v>2697</v>
      </c>
      <c r="F2066">
        <v>19</v>
      </c>
      <c r="G2066">
        <v>27.33</v>
      </c>
      <c r="H2066">
        <v>90.37</v>
      </c>
      <c r="I2066">
        <v>23.32</v>
      </c>
      <c r="J2066">
        <v>77.12</v>
      </c>
      <c r="K2066">
        <v>5</v>
      </c>
      <c r="T2066">
        <v>3</v>
      </c>
      <c r="U2066">
        <v>1</v>
      </c>
      <c r="V2066" t="s">
        <v>93</v>
      </c>
      <c r="W2066">
        <v>90</v>
      </c>
      <c r="X2066">
        <v>10</v>
      </c>
      <c r="Y2066">
        <v>8</v>
      </c>
      <c r="Z2066" t="s">
        <v>2698</v>
      </c>
      <c r="AA2066" t="s">
        <v>2699</v>
      </c>
      <c r="AB2066" t="s">
        <v>96</v>
      </c>
      <c r="AC2066" t="s">
        <v>97</v>
      </c>
      <c r="AD2066" t="s">
        <v>1818</v>
      </c>
      <c r="AG2066" t="s">
        <v>2700</v>
      </c>
      <c r="AH2066">
        <v>0</v>
      </c>
      <c r="AI2066">
        <v>443</v>
      </c>
      <c r="AJ2066">
        <v>63</v>
      </c>
      <c r="AK2066">
        <v>19</v>
      </c>
      <c r="AL2066">
        <v>1</v>
      </c>
    </row>
    <row r="2067" spans="1:38" x14ac:dyDescent="0.3">
      <c r="A2067" t="s">
        <v>1813</v>
      </c>
      <c r="B2067">
        <v>103123</v>
      </c>
      <c r="C2067">
        <v>5</v>
      </c>
      <c r="D2067" t="s">
        <v>2696</v>
      </c>
      <c r="E2067" t="s">
        <v>2697</v>
      </c>
      <c r="F2067">
        <v>19</v>
      </c>
      <c r="G2067">
        <v>28.46</v>
      </c>
      <c r="H2067">
        <v>94.11</v>
      </c>
      <c r="I2067">
        <v>24.29</v>
      </c>
      <c r="J2067">
        <v>80.319999999999993</v>
      </c>
      <c r="K2067">
        <v>1</v>
      </c>
      <c r="T2067">
        <v>3</v>
      </c>
      <c r="U2067">
        <v>1</v>
      </c>
      <c r="V2067" t="s">
        <v>93</v>
      </c>
      <c r="W2067">
        <v>94</v>
      </c>
      <c r="X2067">
        <v>10</v>
      </c>
      <c r="Y2067">
        <v>8</v>
      </c>
      <c r="Z2067" t="s">
        <v>2698</v>
      </c>
      <c r="AA2067" t="s">
        <v>2699</v>
      </c>
      <c r="AB2067" t="s">
        <v>96</v>
      </c>
      <c r="AC2067" t="s">
        <v>97</v>
      </c>
      <c r="AD2067" t="s">
        <v>1818</v>
      </c>
      <c r="AG2067" t="s">
        <v>2700</v>
      </c>
      <c r="AH2067">
        <v>0</v>
      </c>
      <c r="AI2067">
        <v>443</v>
      </c>
      <c r="AJ2067">
        <v>63</v>
      </c>
      <c r="AK2067">
        <v>19</v>
      </c>
      <c r="AL2067">
        <v>1</v>
      </c>
    </row>
    <row r="2068" spans="1:38" x14ac:dyDescent="0.3">
      <c r="A2068" t="s">
        <v>1813</v>
      </c>
      <c r="B2068">
        <v>103123</v>
      </c>
      <c r="C2068">
        <v>6</v>
      </c>
      <c r="D2068" t="s">
        <v>2696</v>
      </c>
      <c r="E2068" t="s">
        <v>2697</v>
      </c>
      <c r="F2068">
        <v>19</v>
      </c>
      <c r="G2068">
        <v>29.63</v>
      </c>
      <c r="H2068">
        <v>97.96</v>
      </c>
      <c r="I2068">
        <v>25.28</v>
      </c>
      <c r="J2068">
        <v>83.6</v>
      </c>
      <c r="K2068">
        <v>1</v>
      </c>
      <c r="T2068">
        <v>3</v>
      </c>
      <c r="U2068">
        <v>2</v>
      </c>
      <c r="V2068" t="s">
        <v>93</v>
      </c>
      <c r="W2068" t="s">
        <v>1297</v>
      </c>
      <c r="X2068">
        <v>10</v>
      </c>
      <c r="Y2068">
        <v>8</v>
      </c>
      <c r="Z2068" t="s">
        <v>2698</v>
      </c>
      <c r="AA2068" t="s">
        <v>2699</v>
      </c>
      <c r="AB2068" t="s">
        <v>96</v>
      </c>
      <c r="AC2068" t="s">
        <v>97</v>
      </c>
      <c r="AD2068" t="s">
        <v>1818</v>
      </c>
      <c r="AG2068" t="s">
        <v>2700</v>
      </c>
      <c r="AH2068">
        <v>0</v>
      </c>
      <c r="AI2068">
        <v>443</v>
      </c>
      <c r="AJ2068">
        <v>63</v>
      </c>
      <c r="AK2068">
        <v>19</v>
      </c>
      <c r="AL2068">
        <v>1</v>
      </c>
    </row>
    <row r="2069" spans="1:38" x14ac:dyDescent="0.3">
      <c r="A2069" t="s">
        <v>1813</v>
      </c>
      <c r="B2069">
        <v>103123</v>
      </c>
      <c r="C2069">
        <v>7</v>
      </c>
      <c r="D2069" t="s">
        <v>2696</v>
      </c>
      <c r="E2069" t="s">
        <v>2697</v>
      </c>
      <c r="F2069">
        <v>19</v>
      </c>
      <c r="G2069">
        <v>29.98</v>
      </c>
      <c r="H2069">
        <v>99.11</v>
      </c>
      <c r="I2069">
        <v>25.58</v>
      </c>
      <c r="J2069">
        <v>84.58</v>
      </c>
      <c r="K2069">
        <v>1</v>
      </c>
      <c r="T2069">
        <v>3</v>
      </c>
      <c r="U2069">
        <v>2</v>
      </c>
      <c r="V2069" t="s">
        <v>93</v>
      </c>
      <c r="W2069" t="s">
        <v>1053</v>
      </c>
      <c r="X2069">
        <v>10</v>
      </c>
      <c r="Y2069">
        <v>8</v>
      </c>
      <c r="Z2069" t="s">
        <v>2698</v>
      </c>
      <c r="AA2069" t="s">
        <v>2699</v>
      </c>
      <c r="AB2069" t="s">
        <v>96</v>
      </c>
      <c r="AC2069" t="s">
        <v>97</v>
      </c>
      <c r="AD2069" t="s">
        <v>1818</v>
      </c>
      <c r="AG2069" t="s">
        <v>2700</v>
      </c>
      <c r="AH2069">
        <v>0</v>
      </c>
      <c r="AI2069">
        <v>443</v>
      </c>
      <c r="AJ2069">
        <v>63</v>
      </c>
      <c r="AK2069">
        <v>19</v>
      </c>
      <c r="AL2069">
        <v>1</v>
      </c>
    </row>
    <row r="2070" spans="1:38" x14ac:dyDescent="0.3">
      <c r="A2070" t="s">
        <v>1813</v>
      </c>
      <c r="B2070">
        <v>106033</v>
      </c>
      <c r="C2070">
        <v>1</v>
      </c>
      <c r="D2070" t="s">
        <v>2701</v>
      </c>
      <c r="E2070" t="s">
        <v>2168</v>
      </c>
      <c r="F2070">
        <v>18</v>
      </c>
      <c r="G2070">
        <v>17.309999999999999</v>
      </c>
      <c r="H2070">
        <v>57.25</v>
      </c>
      <c r="I2070">
        <v>13.99</v>
      </c>
      <c r="J2070">
        <v>46.25</v>
      </c>
      <c r="K2070">
        <v>1</v>
      </c>
      <c r="T2070">
        <v>2</v>
      </c>
      <c r="U2070">
        <v>1</v>
      </c>
      <c r="V2070" t="s">
        <v>93</v>
      </c>
      <c r="W2070">
        <v>57</v>
      </c>
      <c r="X2070">
        <v>10</v>
      </c>
      <c r="Y2070">
        <v>10</v>
      </c>
      <c r="Z2070" t="s">
        <v>2702</v>
      </c>
      <c r="AA2070" t="s">
        <v>2703</v>
      </c>
      <c r="AB2070" t="s">
        <v>96</v>
      </c>
      <c r="AC2070" t="s">
        <v>97</v>
      </c>
      <c r="AD2070" t="s">
        <v>1818</v>
      </c>
      <c r="AG2070" t="s">
        <v>2704</v>
      </c>
      <c r="AH2070">
        <v>0</v>
      </c>
      <c r="AI2070">
        <v>433</v>
      </c>
      <c r="AJ2070">
        <v>57</v>
      </c>
      <c r="AK2070">
        <v>18</v>
      </c>
      <c r="AL2070">
        <v>1</v>
      </c>
    </row>
    <row r="2071" spans="1:38" x14ac:dyDescent="0.3">
      <c r="A2071" t="s">
        <v>1813</v>
      </c>
      <c r="B2071">
        <v>106033</v>
      </c>
      <c r="C2071">
        <v>2</v>
      </c>
      <c r="D2071" t="s">
        <v>2701</v>
      </c>
      <c r="E2071" t="s">
        <v>2168</v>
      </c>
      <c r="F2071">
        <v>18</v>
      </c>
      <c r="G2071">
        <v>22.99</v>
      </c>
      <c r="H2071">
        <v>76.02</v>
      </c>
      <c r="I2071">
        <v>18.739999999999998</v>
      </c>
      <c r="J2071">
        <v>61.97</v>
      </c>
      <c r="K2071">
        <v>1</v>
      </c>
      <c r="T2071">
        <v>3</v>
      </c>
      <c r="U2071">
        <v>2</v>
      </c>
      <c r="V2071" t="s">
        <v>211</v>
      </c>
      <c r="W2071" t="s">
        <v>1413</v>
      </c>
      <c r="X2071">
        <v>10</v>
      </c>
      <c r="Y2071">
        <v>10</v>
      </c>
      <c r="Z2071" t="s">
        <v>2702</v>
      </c>
      <c r="AA2071" t="s">
        <v>2703</v>
      </c>
      <c r="AB2071" t="s">
        <v>96</v>
      </c>
      <c r="AC2071" t="s">
        <v>97</v>
      </c>
      <c r="AD2071" t="s">
        <v>1818</v>
      </c>
      <c r="AG2071" t="s">
        <v>2704</v>
      </c>
      <c r="AH2071">
        <v>0</v>
      </c>
      <c r="AI2071">
        <v>433</v>
      </c>
      <c r="AJ2071">
        <v>57</v>
      </c>
      <c r="AK2071">
        <v>18</v>
      </c>
      <c r="AL2071">
        <v>1</v>
      </c>
    </row>
    <row r="2072" spans="1:38" x14ac:dyDescent="0.3">
      <c r="A2072" t="s">
        <v>1813</v>
      </c>
      <c r="B2072">
        <v>106033</v>
      </c>
      <c r="C2072">
        <v>3</v>
      </c>
      <c r="D2072" t="s">
        <v>2701</v>
      </c>
      <c r="E2072" t="s">
        <v>2168</v>
      </c>
      <c r="F2072">
        <v>18</v>
      </c>
      <c r="G2072">
        <v>23.08</v>
      </c>
      <c r="H2072">
        <v>76.319999999999993</v>
      </c>
      <c r="I2072">
        <v>18.89</v>
      </c>
      <c r="J2072">
        <v>62.45</v>
      </c>
      <c r="K2072">
        <v>1</v>
      </c>
      <c r="T2072">
        <v>3</v>
      </c>
      <c r="U2072">
        <v>2</v>
      </c>
      <c r="V2072" t="s">
        <v>211</v>
      </c>
      <c r="W2072" t="s">
        <v>1126</v>
      </c>
      <c r="X2072">
        <v>10</v>
      </c>
      <c r="Y2072">
        <v>10</v>
      </c>
      <c r="Z2072" t="s">
        <v>2702</v>
      </c>
      <c r="AA2072" t="s">
        <v>2703</v>
      </c>
      <c r="AB2072" t="s">
        <v>96</v>
      </c>
      <c r="AC2072" t="s">
        <v>97</v>
      </c>
      <c r="AD2072" t="s">
        <v>1818</v>
      </c>
      <c r="AG2072" t="s">
        <v>2704</v>
      </c>
      <c r="AH2072">
        <v>0</v>
      </c>
      <c r="AI2072">
        <v>433</v>
      </c>
      <c r="AJ2072">
        <v>57</v>
      </c>
      <c r="AK2072">
        <v>18</v>
      </c>
      <c r="AL2072">
        <v>1</v>
      </c>
    </row>
    <row r="2073" spans="1:38" x14ac:dyDescent="0.3">
      <c r="A2073" t="s">
        <v>1813</v>
      </c>
      <c r="B2073">
        <v>106033</v>
      </c>
      <c r="C2073">
        <v>4</v>
      </c>
      <c r="D2073" t="s">
        <v>2701</v>
      </c>
      <c r="E2073" t="s">
        <v>2168</v>
      </c>
      <c r="F2073">
        <v>18</v>
      </c>
      <c r="G2073">
        <v>24.7</v>
      </c>
      <c r="H2073">
        <v>81.680000000000007</v>
      </c>
      <c r="I2073">
        <v>19.920000000000002</v>
      </c>
      <c r="J2073">
        <v>65.87</v>
      </c>
      <c r="K2073">
        <v>1</v>
      </c>
      <c r="T2073">
        <v>3</v>
      </c>
      <c r="U2073">
        <v>2</v>
      </c>
      <c r="V2073" t="s">
        <v>211</v>
      </c>
      <c r="W2073">
        <v>81</v>
      </c>
      <c r="X2073">
        <v>10</v>
      </c>
      <c r="Y2073">
        <v>10</v>
      </c>
      <c r="Z2073" t="s">
        <v>2702</v>
      </c>
      <c r="AA2073" t="s">
        <v>2703</v>
      </c>
      <c r="AB2073" t="s">
        <v>96</v>
      </c>
      <c r="AC2073" t="s">
        <v>97</v>
      </c>
      <c r="AD2073" t="s">
        <v>1818</v>
      </c>
      <c r="AG2073" t="s">
        <v>2704</v>
      </c>
      <c r="AH2073">
        <v>0</v>
      </c>
      <c r="AI2073">
        <v>433</v>
      </c>
      <c r="AJ2073">
        <v>57</v>
      </c>
      <c r="AK2073">
        <v>18</v>
      </c>
      <c r="AL2073">
        <v>1</v>
      </c>
    </row>
    <row r="2074" spans="1:38" x14ac:dyDescent="0.3">
      <c r="A2074" t="s">
        <v>1813</v>
      </c>
      <c r="B2074">
        <v>106033</v>
      </c>
      <c r="C2074">
        <v>5</v>
      </c>
      <c r="D2074" t="s">
        <v>2701</v>
      </c>
      <c r="E2074" t="s">
        <v>2168</v>
      </c>
      <c r="F2074">
        <v>18</v>
      </c>
      <c r="G2074">
        <v>25.93</v>
      </c>
      <c r="H2074">
        <v>85.74</v>
      </c>
      <c r="I2074">
        <v>21.28</v>
      </c>
      <c r="J2074">
        <v>70.38</v>
      </c>
      <c r="K2074">
        <v>5</v>
      </c>
      <c r="T2074">
        <v>3</v>
      </c>
      <c r="U2074">
        <v>2</v>
      </c>
      <c r="V2074" t="s">
        <v>211</v>
      </c>
      <c r="W2074">
        <v>85</v>
      </c>
      <c r="X2074">
        <v>10</v>
      </c>
      <c r="Y2074">
        <v>10</v>
      </c>
      <c r="Z2074" t="s">
        <v>2702</v>
      </c>
      <c r="AA2074" t="s">
        <v>2703</v>
      </c>
      <c r="AB2074" t="s">
        <v>96</v>
      </c>
      <c r="AC2074" t="s">
        <v>97</v>
      </c>
      <c r="AD2074" t="s">
        <v>1818</v>
      </c>
      <c r="AG2074" t="s">
        <v>2704</v>
      </c>
      <c r="AH2074">
        <v>0</v>
      </c>
      <c r="AI2074">
        <v>433</v>
      </c>
      <c r="AJ2074">
        <v>57</v>
      </c>
      <c r="AK2074">
        <v>18</v>
      </c>
      <c r="AL2074">
        <v>1</v>
      </c>
    </row>
    <row r="2075" spans="1:38" x14ac:dyDescent="0.3">
      <c r="A2075" t="s">
        <v>1813</v>
      </c>
      <c r="B2075">
        <v>106033</v>
      </c>
      <c r="C2075">
        <v>6</v>
      </c>
      <c r="D2075" t="s">
        <v>2701</v>
      </c>
      <c r="E2075" t="s">
        <v>2168</v>
      </c>
      <c r="F2075">
        <v>18</v>
      </c>
      <c r="G2075">
        <v>26.97</v>
      </c>
      <c r="H2075">
        <v>89.17</v>
      </c>
      <c r="I2075">
        <v>22.03</v>
      </c>
      <c r="J2075">
        <v>72.83</v>
      </c>
      <c r="K2075">
        <v>3</v>
      </c>
      <c r="T2075">
        <v>3</v>
      </c>
      <c r="U2075">
        <v>2</v>
      </c>
      <c r="V2075" t="s">
        <v>211</v>
      </c>
      <c r="W2075">
        <v>89</v>
      </c>
      <c r="X2075">
        <v>10</v>
      </c>
      <c r="Y2075">
        <v>10</v>
      </c>
      <c r="Z2075" t="s">
        <v>2702</v>
      </c>
      <c r="AA2075" t="s">
        <v>2703</v>
      </c>
      <c r="AB2075" t="s">
        <v>96</v>
      </c>
      <c r="AC2075" t="s">
        <v>97</v>
      </c>
      <c r="AD2075" t="s">
        <v>1818</v>
      </c>
      <c r="AG2075" t="s">
        <v>2704</v>
      </c>
      <c r="AH2075">
        <v>0</v>
      </c>
      <c r="AI2075">
        <v>433</v>
      </c>
      <c r="AJ2075">
        <v>57</v>
      </c>
      <c r="AK2075">
        <v>18</v>
      </c>
      <c r="AL2075">
        <v>1</v>
      </c>
    </row>
    <row r="2076" spans="1:38" x14ac:dyDescent="0.3">
      <c r="A2076" t="s">
        <v>1813</v>
      </c>
      <c r="B2076">
        <v>106033</v>
      </c>
      <c r="C2076">
        <v>7</v>
      </c>
      <c r="D2076" t="s">
        <v>2701</v>
      </c>
      <c r="E2076" t="s">
        <v>2168</v>
      </c>
      <c r="F2076">
        <v>18</v>
      </c>
      <c r="G2076">
        <v>27.6</v>
      </c>
      <c r="H2076">
        <v>91.26</v>
      </c>
      <c r="I2076">
        <v>22.36</v>
      </c>
      <c r="J2076">
        <v>73.94</v>
      </c>
      <c r="K2076">
        <v>5</v>
      </c>
      <c r="T2076">
        <v>3</v>
      </c>
      <c r="U2076">
        <v>1</v>
      </c>
      <c r="V2076" t="s">
        <v>93</v>
      </c>
      <c r="W2076" t="s">
        <v>476</v>
      </c>
      <c r="X2076">
        <v>10</v>
      </c>
      <c r="Y2076">
        <v>10</v>
      </c>
      <c r="Z2076" t="s">
        <v>2702</v>
      </c>
      <c r="AA2076" t="s">
        <v>2703</v>
      </c>
      <c r="AB2076" t="s">
        <v>96</v>
      </c>
      <c r="AC2076" t="s">
        <v>97</v>
      </c>
      <c r="AD2076" t="s">
        <v>1818</v>
      </c>
      <c r="AG2076" t="s">
        <v>2704</v>
      </c>
      <c r="AH2076">
        <v>0</v>
      </c>
      <c r="AI2076">
        <v>433</v>
      </c>
      <c r="AJ2076">
        <v>57</v>
      </c>
      <c r="AK2076">
        <v>18</v>
      </c>
      <c r="AL2076">
        <v>1</v>
      </c>
    </row>
    <row r="2077" spans="1:38" x14ac:dyDescent="0.3">
      <c r="A2077" t="s">
        <v>1813</v>
      </c>
      <c r="B2077">
        <v>106033</v>
      </c>
      <c r="C2077">
        <v>8</v>
      </c>
      <c r="D2077" t="s">
        <v>2701</v>
      </c>
      <c r="E2077" t="s">
        <v>2168</v>
      </c>
      <c r="F2077">
        <v>18</v>
      </c>
      <c r="G2077">
        <v>27.55</v>
      </c>
      <c r="H2077">
        <v>91.08</v>
      </c>
      <c r="I2077">
        <v>22.63</v>
      </c>
      <c r="J2077">
        <v>74.83</v>
      </c>
      <c r="K2077">
        <v>1</v>
      </c>
      <c r="T2077">
        <v>3</v>
      </c>
      <c r="U2077">
        <v>2</v>
      </c>
      <c r="V2077" t="s">
        <v>211</v>
      </c>
      <c r="W2077" t="s">
        <v>1700</v>
      </c>
      <c r="X2077">
        <v>10</v>
      </c>
      <c r="Y2077">
        <v>10</v>
      </c>
      <c r="Z2077" t="s">
        <v>2702</v>
      </c>
      <c r="AA2077" t="s">
        <v>2703</v>
      </c>
      <c r="AB2077" t="s">
        <v>96</v>
      </c>
      <c r="AC2077" t="s">
        <v>97</v>
      </c>
      <c r="AD2077" t="s">
        <v>1818</v>
      </c>
      <c r="AG2077" t="s">
        <v>2704</v>
      </c>
      <c r="AH2077">
        <v>0</v>
      </c>
      <c r="AI2077">
        <v>433</v>
      </c>
      <c r="AJ2077">
        <v>57</v>
      </c>
      <c r="AK2077">
        <v>18</v>
      </c>
      <c r="AL2077">
        <v>1</v>
      </c>
    </row>
    <row r="2078" spans="1:38" x14ac:dyDescent="0.3">
      <c r="A2078" t="s">
        <v>1813</v>
      </c>
      <c r="B2078">
        <v>141687</v>
      </c>
      <c r="C2078">
        <v>1</v>
      </c>
      <c r="D2078" t="s">
        <v>2705</v>
      </c>
      <c r="E2078" t="s">
        <v>225</v>
      </c>
      <c r="F2078">
        <v>95</v>
      </c>
      <c r="G2078">
        <v>21.93</v>
      </c>
      <c r="H2078">
        <v>72.5</v>
      </c>
      <c r="I2078">
        <v>17.12</v>
      </c>
      <c r="J2078">
        <v>56.6</v>
      </c>
      <c r="K2078">
        <v>19</v>
      </c>
      <c r="T2078">
        <v>3</v>
      </c>
      <c r="U2078">
        <v>2</v>
      </c>
      <c r="V2078" t="s">
        <v>93</v>
      </c>
      <c r="W2078">
        <v>72</v>
      </c>
      <c r="X2078">
        <v>20</v>
      </c>
      <c r="Y2078">
        <v>20</v>
      </c>
      <c r="Z2078" t="s">
        <v>2706</v>
      </c>
      <c r="AA2078" t="s">
        <v>2707</v>
      </c>
      <c r="AB2078" t="s">
        <v>96</v>
      </c>
      <c r="AC2078" t="s">
        <v>97</v>
      </c>
      <c r="AD2078" t="s">
        <v>1818</v>
      </c>
      <c r="AG2078" t="s">
        <v>2708</v>
      </c>
      <c r="AH2078">
        <v>0</v>
      </c>
      <c r="AI2078">
        <v>765</v>
      </c>
      <c r="AJ2078">
        <v>68</v>
      </c>
      <c r="AK2078">
        <v>114</v>
      </c>
      <c r="AL2078">
        <v>1.2</v>
      </c>
    </row>
    <row r="2079" spans="1:38" x14ac:dyDescent="0.3">
      <c r="A2079" t="s">
        <v>1813</v>
      </c>
      <c r="B2079">
        <v>141687</v>
      </c>
      <c r="C2079">
        <v>2</v>
      </c>
      <c r="D2079" t="s">
        <v>2705</v>
      </c>
      <c r="E2079" t="s">
        <v>225</v>
      </c>
      <c r="F2079">
        <v>95</v>
      </c>
      <c r="G2079">
        <v>24.75</v>
      </c>
      <c r="H2079">
        <v>81.849999999999994</v>
      </c>
      <c r="I2079">
        <v>19.48</v>
      </c>
      <c r="J2079">
        <v>64.42</v>
      </c>
      <c r="K2079">
        <v>19</v>
      </c>
      <c r="T2079">
        <v>3</v>
      </c>
      <c r="U2079">
        <v>2</v>
      </c>
      <c r="V2079" t="s">
        <v>93</v>
      </c>
      <c r="W2079" t="s">
        <v>502</v>
      </c>
      <c r="X2079">
        <v>20</v>
      </c>
      <c r="Y2079">
        <v>20</v>
      </c>
      <c r="Z2079" t="s">
        <v>2706</v>
      </c>
      <c r="AA2079" t="s">
        <v>2707</v>
      </c>
      <c r="AB2079" t="s">
        <v>96</v>
      </c>
      <c r="AC2079" t="s">
        <v>97</v>
      </c>
      <c r="AD2079" t="s">
        <v>1818</v>
      </c>
      <c r="AG2079" t="s">
        <v>2708</v>
      </c>
      <c r="AH2079">
        <v>0</v>
      </c>
      <c r="AI2079">
        <v>765</v>
      </c>
      <c r="AJ2079">
        <v>68</v>
      </c>
      <c r="AK2079">
        <v>114</v>
      </c>
      <c r="AL2079">
        <v>1.2</v>
      </c>
    </row>
    <row r="2080" spans="1:38" x14ac:dyDescent="0.3">
      <c r="A2080" t="s">
        <v>1813</v>
      </c>
      <c r="B2080">
        <v>141687</v>
      </c>
      <c r="C2080">
        <v>3</v>
      </c>
      <c r="D2080" t="s">
        <v>2705</v>
      </c>
      <c r="E2080" t="s">
        <v>225</v>
      </c>
      <c r="F2080">
        <v>95</v>
      </c>
      <c r="G2080">
        <v>25.35</v>
      </c>
      <c r="H2080">
        <v>83.81</v>
      </c>
      <c r="I2080">
        <v>19.579999999999998</v>
      </c>
      <c r="J2080">
        <v>64.75</v>
      </c>
      <c r="K2080">
        <v>19</v>
      </c>
      <c r="T2080">
        <v>3</v>
      </c>
      <c r="U2080">
        <v>2</v>
      </c>
      <c r="V2080" t="s">
        <v>93</v>
      </c>
      <c r="W2080" t="s">
        <v>990</v>
      </c>
      <c r="X2080">
        <v>20</v>
      </c>
      <c r="Y2080">
        <v>20</v>
      </c>
      <c r="Z2080" t="s">
        <v>2706</v>
      </c>
      <c r="AA2080" t="s">
        <v>2707</v>
      </c>
      <c r="AB2080" t="s">
        <v>96</v>
      </c>
      <c r="AC2080" t="s">
        <v>97</v>
      </c>
      <c r="AD2080" t="s">
        <v>1818</v>
      </c>
      <c r="AG2080" t="s">
        <v>2708</v>
      </c>
      <c r="AH2080">
        <v>0</v>
      </c>
      <c r="AI2080">
        <v>765</v>
      </c>
      <c r="AJ2080">
        <v>68</v>
      </c>
      <c r="AK2080">
        <v>114</v>
      </c>
      <c r="AL2080">
        <v>1.2</v>
      </c>
    </row>
    <row r="2081" spans="1:38" x14ac:dyDescent="0.3">
      <c r="A2081" t="s">
        <v>1813</v>
      </c>
      <c r="B2081">
        <v>141687</v>
      </c>
      <c r="C2081">
        <v>4</v>
      </c>
      <c r="D2081" t="s">
        <v>2705</v>
      </c>
      <c r="E2081" t="s">
        <v>225</v>
      </c>
      <c r="F2081">
        <v>95</v>
      </c>
      <c r="G2081">
        <v>25.59</v>
      </c>
      <c r="H2081">
        <v>84.62</v>
      </c>
      <c r="I2081">
        <v>19.940000000000001</v>
      </c>
      <c r="J2081">
        <v>65.92</v>
      </c>
      <c r="K2081">
        <v>19</v>
      </c>
      <c r="T2081">
        <v>3</v>
      </c>
      <c r="U2081">
        <v>2</v>
      </c>
      <c r="V2081" t="s">
        <v>93</v>
      </c>
      <c r="W2081" t="s">
        <v>383</v>
      </c>
      <c r="X2081">
        <v>20</v>
      </c>
      <c r="Y2081">
        <v>20</v>
      </c>
      <c r="Z2081" t="s">
        <v>2706</v>
      </c>
      <c r="AA2081" t="s">
        <v>2707</v>
      </c>
      <c r="AB2081" t="s">
        <v>96</v>
      </c>
      <c r="AC2081" t="s">
        <v>97</v>
      </c>
      <c r="AD2081" t="s">
        <v>1818</v>
      </c>
      <c r="AG2081" t="s">
        <v>2708</v>
      </c>
      <c r="AH2081">
        <v>0</v>
      </c>
      <c r="AI2081">
        <v>765</v>
      </c>
      <c r="AJ2081">
        <v>68</v>
      </c>
      <c r="AK2081">
        <v>114</v>
      </c>
      <c r="AL2081">
        <v>1.2</v>
      </c>
    </row>
    <row r="2082" spans="1:38" x14ac:dyDescent="0.3">
      <c r="A2082" t="s">
        <v>1813</v>
      </c>
      <c r="B2082">
        <v>141687</v>
      </c>
      <c r="C2082">
        <v>5</v>
      </c>
      <c r="D2082" t="s">
        <v>2705</v>
      </c>
      <c r="E2082" t="s">
        <v>225</v>
      </c>
      <c r="F2082">
        <v>95</v>
      </c>
      <c r="G2082">
        <v>26.4</v>
      </c>
      <c r="H2082">
        <v>87.3</v>
      </c>
      <c r="I2082">
        <v>20.74</v>
      </c>
      <c r="J2082">
        <v>68.569999999999993</v>
      </c>
      <c r="K2082">
        <v>19</v>
      </c>
      <c r="T2082">
        <v>3</v>
      </c>
      <c r="U2082">
        <v>2</v>
      </c>
      <c r="V2082" t="s">
        <v>93</v>
      </c>
      <c r="W2082" t="s">
        <v>223</v>
      </c>
      <c r="X2082">
        <v>20</v>
      </c>
      <c r="Y2082">
        <v>20</v>
      </c>
      <c r="Z2082" t="s">
        <v>2706</v>
      </c>
      <c r="AA2082" t="s">
        <v>2707</v>
      </c>
      <c r="AB2082" t="s">
        <v>96</v>
      </c>
      <c r="AC2082" t="s">
        <v>97</v>
      </c>
      <c r="AD2082" t="s">
        <v>1818</v>
      </c>
      <c r="AG2082" t="s">
        <v>2708</v>
      </c>
      <c r="AH2082">
        <v>0</v>
      </c>
      <c r="AI2082">
        <v>765</v>
      </c>
      <c r="AJ2082">
        <v>68</v>
      </c>
      <c r="AK2082">
        <v>114</v>
      </c>
      <c r="AL2082">
        <v>1.2</v>
      </c>
    </row>
    <row r="2083" spans="1:38" x14ac:dyDescent="0.3">
      <c r="A2083" t="s">
        <v>1813</v>
      </c>
      <c r="B2083">
        <v>143855</v>
      </c>
      <c r="C2083">
        <v>1</v>
      </c>
      <c r="D2083" t="s">
        <v>2709</v>
      </c>
      <c r="E2083" t="s">
        <v>910</v>
      </c>
      <c r="F2083">
        <v>12</v>
      </c>
      <c r="G2083">
        <v>15.89</v>
      </c>
      <c r="H2083">
        <v>52.53</v>
      </c>
      <c r="I2083">
        <v>12.75</v>
      </c>
      <c r="J2083">
        <v>42.17</v>
      </c>
      <c r="K2083">
        <v>4</v>
      </c>
      <c r="T2083">
        <v>2</v>
      </c>
      <c r="U2083">
        <v>1</v>
      </c>
      <c r="V2083" t="s">
        <v>93</v>
      </c>
      <c r="W2083">
        <v>52</v>
      </c>
      <c r="X2083">
        <v>13</v>
      </c>
      <c r="Y2083">
        <v>13</v>
      </c>
      <c r="Z2083" t="s">
        <v>2710</v>
      </c>
      <c r="AA2083" t="s">
        <v>2711</v>
      </c>
      <c r="AB2083" t="s">
        <v>96</v>
      </c>
      <c r="AC2083" t="s">
        <v>97</v>
      </c>
      <c r="AD2083" t="s">
        <v>1818</v>
      </c>
      <c r="AG2083" t="s">
        <v>2712</v>
      </c>
      <c r="AH2083">
        <v>0</v>
      </c>
      <c r="AI2083">
        <v>458</v>
      </c>
      <c r="AJ2083">
        <v>50</v>
      </c>
      <c r="AK2083">
        <v>11</v>
      </c>
      <c r="AL2083">
        <v>0.92</v>
      </c>
    </row>
    <row r="2084" spans="1:38" x14ac:dyDescent="0.3">
      <c r="A2084" t="s">
        <v>1813</v>
      </c>
      <c r="B2084">
        <v>143855</v>
      </c>
      <c r="C2084">
        <v>2</v>
      </c>
      <c r="D2084" t="s">
        <v>2709</v>
      </c>
      <c r="E2084" t="s">
        <v>910</v>
      </c>
      <c r="F2084">
        <v>12</v>
      </c>
      <c r="G2084">
        <v>16.600000000000001</v>
      </c>
      <c r="H2084">
        <v>54.88</v>
      </c>
      <c r="I2084">
        <v>12.9</v>
      </c>
      <c r="J2084">
        <v>42.66</v>
      </c>
      <c r="K2084">
        <v>4</v>
      </c>
      <c r="T2084">
        <v>2</v>
      </c>
      <c r="U2084">
        <v>1</v>
      </c>
      <c r="V2084" t="s">
        <v>93</v>
      </c>
      <c r="W2084" t="s">
        <v>176</v>
      </c>
      <c r="X2084">
        <v>13</v>
      </c>
      <c r="Y2084">
        <v>13</v>
      </c>
      <c r="Z2084" t="s">
        <v>2710</v>
      </c>
      <c r="AA2084" t="s">
        <v>2711</v>
      </c>
      <c r="AB2084" t="s">
        <v>96</v>
      </c>
      <c r="AC2084" t="s">
        <v>97</v>
      </c>
      <c r="AD2084" t="s">
        <v>1818</v>
      </c>
      <c r="AG2084" t="s">
        <v>2712</v>
      </c>
      <c r="AH2084">
        <v>0</v>
      </c>
      <c r="AI2084">
        <v>458</v>
      </c>
      <c r="AJ2084">
        <v>50</v>
      </c>
      <c r="AK2084">
        <v>11</v>
      </c>
      <c r="AL2084">
        <v>0.92</v>
      </c>
    </row>
    <row r="2085" spans="1:38" x14ac:dyDescent="0.3">
      <c r="A2085" t="s">
        <v>1813</v>
      </c>
      <c r="B2085">
        <v>143855</v>
      </c>
      <c r="C2085">
        <v>3</v>
      </c>
      <c r="D2085" t="s">
        <v>2709</v>
      </c>
      <c r="E2085" t="s">
        <v>910</v>
      </c>
      <c r="F2085">
        <v>12</v>
      </c>
      <c r="G2085">
        <v>17</v>
      </c>
      <c r="H2085">
        <v>56.22</v>
      </c>
      <c r="I2085">
        <v>13.73</v>
      </c>
      <c r="J2085">
        <v>45.4</v>
      </c>
      <c r="K2085">
        <v>4</v>
      </c>
      <c r="T2085">
        <v>2</v>
      </c>
      <c r="U2085">
        <v>1</v>
      </c>
      <c r="V2085" t="s">
        <v>93</v>
      </c>
      <c r="W2085" t="s">
        <v>920</v>
      </c>
      <c r="X2085">
        <v>13</v>
      </c>
      <c r="Y2085">
        <v>13</v>
      </c>
      <c r="Z2085" t="s">
        <v>2710</v>
      </c>
      <c r="AA2085" t="s">
        <v>2711</v>
      </c>
      <c r="AB2085" t="s">
        <v>96</v>
      </c>
      <c r="AC2085" t="s">
        <v>97</v>
      </c>
      <c r="AD2085" t="s">
        <v>1818</v>
      </c>
      <c r="AG2085" t="s">
        <v>2712</v>
      </c>
      <c r="AH2085">
        <v>0</v>
      </c>
      <c r="AI2085">
        <v>458</v>
      </c>
      <c r="AJ2085">
        <v>50</v>
      </c>
      <c r="AK2085">
        <v>11</v>
      </c>
      <c r="AL2085">
        <v>0.92</v>
      </c>
    </row>
    <row r="2086" spans="1:38" x14ac:dyDescent="0.3">
      <c r="A2086" t="s">
        <v>1813</v>
      </c>
      <c r="B2086">
        <v>10474</v>
      </c>
      <c r="C2086">
        <v>1</v>
      </c>
      <c r="D2086" t="s">
        <v>2713</v>
      </c>
      <c r="E2086" t="s">
        <v>1070</v>
      </c>
      <c r="F2086">
        <v>105</v>
      </c>
      <c r="G2086">
        <v>22.55</v>
      </c>
      <c r="H2086">
        <v>74.56</v>
      </c>
      <c r="I2086">
        <v>19.54</v>
      </c>
      <c r="J2086">
        <v>64.62</v>
      </c>
      <c r="K2086">
        <v>80</v>
      </c>
      <c r="T2086">
        <v>3</v>
      </c>
      <c r="U2086">
        <v>1</v>
      </c>
      <c r="V2086" t="s">
        <v>93</v>
      </c>
      <c r="W2086">
        <v>74</v>
      </c>
      <c r="X2086">
        <v>5</v>
      </c>
      <c r="Y2086">
        <v>5</v>
      </c>
      <c r="Z2086" t="s">
        <v>2714</v>
      </c>
      <c r="AA2086" t="s">
        <v>2715</v>
      </c>
      <c r="AB2086" t="s">
        <v>96</v>
      </c>
      <c r="AC2086" t="s">
        <v>97</v>
      </c>
      <c r="AD2086" t="s">
        <v>1818</v>
      </c>
      <c r="AG2086" t="s">
        <v>2716</v>
      </c>
      <c r="AH2086">
        <v>0</v>
      </c>
      <c r="AI2086">
        <v>150</v>
      </c>
      <c r="AJ2086">
        <v>30</v>
      </c>
      <c r="AK2086">
        <v>0</v>
      </c>
      <c r="AL2086">
        <v>0</v>
      </c>
    </row>
    <row r="2087" spans="1:38" x14ac:dyDescent="0.3">
      <c r="A2087" t="s">
        <v>1813</v>
      </c>
      <c r="B2087">
        <v>10474</v>
      </c>
      <c r="C2087">
        <v>2</v>
      </c>
      <c r="D2087" t="s">
        <v>2713</v>
      </c>
      <c r="E2087" t="s">
        <v>1070</v>
      </c>
      <c r="F2087">
        <v>105</v>
      </c>
      <c r="G2087">
        <v>24.29</v>
      </c>
      <c r="H2087">
        <v>80.33</v>
      </c>
      <c r="I2087">
        <v>20.96</v>
      </c>
      <c r="J2087">
        <v>69.3</v>
      </c>
      <c r="K2087">
        <v>20</v>
      </c>
      <c r="T2087">
        <v>3</v>
      </c>
      <c r="U2087">
        <v>1</v>
      </c>
      <c r="V2087" t="s">
        <v>93</v>
      </c>
      <c r="W2087">
        <v>80</v>
      </c>
      <c r="X2087">
        <v>5</v>
      </c>
      <c r="Y2087">
        <v>5</v>
      </c>
      <c r="Z2087" t="s">
        <v>2714</v>
      </c>
      <c r="AA2087" t="s">
        <v>2715</v>
      </c>
      <c r="AB2087" t="s">
        <v>96</v>
      </c>
      <c r="AC2087" t="s">
        <v>97</v>
      </c>
      <c r="AD2087" t="s">
        <v>1818</v>
      </c>
      <c r="AG2087" t="s">
        <v>2716</v>
      </c>
      <c r="AH2087">
        <v>0</v>
      </c>
      <c r="AI2087">
        <v>150</v>
      </c>
      <c r="AJ2087">
        <v>30</v>
      </c>
      <c r="AK2087">
        <v>0</v>
      </c>
      <c r="AL2087">
        <v>0</v>
      </c>
    </row>
    <row r="2088" spans="1:38" x14ac:dyDescent="0.3">
      <c r="A2088" t="s">
        <v>1813</v>
      </c>
      <c r="B2088">
        <v>10474</v>
      </c>
      <c r="C2088">
        <v>3</v>
      </c>
      <c r="D2088" t="s">
        <v>2713</v>
      </c>
      <c r="E2088" t="s">
        <v>1070</v>
      </c>
      <c r="F2088">
        <v>105</v>
      </c>
      <c r="G2088">
        <v>28.81</v>
      </c>
      <c r="H2088">
        <v>95.25</v>
      </c>
      <c r="I2088">
        <v>24.01</v>
      </c>
      <c r="J2088">
        <v>79.38</v>
      </c>
      <c r="K2088">
        <v>5</v>
      </c>
      <c r="T2088">
        <v>3</v>
      </c>
      <c r="U2088">
        <v>1</v>
      </c>
      <c r="V2088" t="s">
        <v>93</v>
      </c>
      <c r="W2088">
        <v>95</v>
      </c>
      <c r="X2088">
        <v>5</v>
      </c>
      <c r="Y2088">
        <v>5</v>
      </c>
      <c r="Z2088" t="s">
        <v>2714</v>
      </c>
      <c r="AA2088" t="s">
        <v>2715</v>
      </c>
      <c r="AB2088" t="s">
        <v>96</v>
      </c>
      <c r="AC2088" t="s">
        <v>97</v>
      </c>
      <c r="AD2088" t="s">
        <v>1818</v>
      </c>
      <c r="AG2088" t="s">
        <v>2716</v>
      </c>
      <c r="AH2088">
        <v>0</v>
      </c>
      <c r="AI2088">
        <v>150</v>
      </c>
      <c r="AJ2088">
        <v>30</v>
      </c>
      <c r="AK2088">
        <v>0</v>
      </c>
      <c r="AL2088">
        <v>0</v>
      </c>
    </row>
    <row r="2089" spans="1:38" x14ac:dyDescent="0.3">
      <c r="A2089" t="s">
        <v>1813</v>
      </c>
      <c r="B2089">
        <v>23182</v>
      </c>
      <c r="C2089">
        <v>1</v>
      </c>
      <c r="D2089" t="s">
        <v>2717</v>
      </c>
      <c r="E2089" t="s">
        <v>2718</v>
      </c>
      <c r="F2089">
        <v>40</v>
      </c>
      <c r="G2089">
        <v>23.72</v>
      </c>
      <c r="H2089">
        <v>78.42</v>
      </c>
      <c r="I2089">
        <v>18.14</v>
      </c>
      <c r="J2089">
        <v>59.97</v>
      </c>
      <c r="K2089">
        <v>40</v>
      </c>
      <c r="T2089">
        <v>3</v>
      </c>
      <c r="U2089">
        <v>2</v>
      </c>
      <c r="V2089" t="s">
        <v>93</v>
      </c>
      <c r="W2089">
        <v>78</v>
      </c>
      <c r="X2089">
        <v>13</v>
      </c>
      <c r="Y2089">
        <v>13</v>
      </c>
      <c r="Z2089" t="s">
        <v>2719</v>
      </c>
      <c r="AA2089" t="s">
        <v>2720</v>
      </c>
      <c r="AB2089" t="s">
        <v>96</v>
      </c>
      <c r="AC2089" t="s">
        <v>97</v>
      </c>
      <c r="AD2089" t="s">
        <v>1818</v>
      </c>
      <c r="AG2089" t="s">
        <v>2721</v>
      </c>
      <c r="AH2089">
        <v>0</v>
      </c>
      <c r="AI2089">
        <v>341</v>
      </c>
      <c r="AJ2089">
        <v>37</v>
      </c>
      <c r="AK2089">
        <v>33</v>
      </c>
      <c r="AL2089">
        <v>0.82</v>
      </c>
    </row>
    <row r="2090" spans="1:38" x14ac:dyDescent="0.3">
      <c r="A2090" t="s">
        <v>1813</v>
      </c>
      <c r="B2090">
        <v>123394</v>
      </c>
      <c r="C2090">
        <v>1</v>
      </c>
      <c r="D2090" t="s">
        <v>2722</v>
      </c>
      <c r="E2090" t="s">
        <v>870</v>
      </c>
      <c r="F2090">
        <v>28</v>
      </c>
      <c r="G2090">
        <v>19.079999999999998</v>
      </c>
      <c r="H2090">
        <v>63.08</v>
      </c>
      <c r="I2090">
        <v>15.76</v>
      </c>
      <c r="J2090">
        <v>52.12</v>
      </c>
      <c r="K2090">
        <v>6</v>
      </c>
      <c r="T2090">
        <v>2</v>
      </c>
      <c r="U2090">
        <v>1</v>
      </c>
      <c r="V2090" t="s">
        <v>211</v>
      </c>
      <c r="W2090" t="s">
        <v>194</v>
      </c>
      <c r="X2090">
        <v>5</v>
      </c>
      <c r="Y2090">
        <v>4</v>
      </c>
      <c r="Z2090" t="s">
        <v>2723</v>
      </c>
      <c r="AA2090" t="s">
        <v>2724</v>
      </c>
      <c r="AB2090" t="s">
        <v>96</v>
      </c>
      <c r="AC2090" t="s">
        <v>97</v>
      </c>
      <c r="AD2090" t="s">
        <v>1818</v>
      </c>
      <c r="AG2090" t="s">
        <v>2725</v>
      </c>
      <c r="AH2090">
        <v>0</v>
      </c>
      <c r="AI2090">
        <v>0</v>
      </c>
      <c r="AJ2090">
        <v>0</v>
      </c>
      <c r="AK2090">
        <v>27</v>
      </c>
      <c r="AL2090">
        <v>0.96</v>
      </c>
    </row>
    <row r="2091" spans="1:38" x14ac:dyDescent="0.3">
      <c r="A2091" t="s">
        <v>1813</v>
      </c>
      <c r="B2091">
        <v>123394</v>
      </c>
      <c r="C2091">
        <v>2</v>
      </c>
      <c r="D2091" t="s">
        <v>2722</v>
      </c>
      <c r="E2091" t="s">
        <v>870</v>
      </c>
      <c r="F2091">
        <v>28</v>
      </c>
      <c r="G2091">
        <v>19.579999999999998</v>
      </c>
      <c r="H2091">
        <v>64.75</v>
      </c>
      <c r="I2091">
        <v>16.05</v>
      </c>
      <c r="J2091">
        <v>53.06</v>
      </c>
      <c r="K2091">
        <v>3</v>
      </c>
      <c r="T2091">
        <v>2</v>
      </c>
      <c r="U2091">
        <v>1</v>
      </c>
      <c r="V2091" t="s">
        <v>211</v>
      </c>
      <c r="W2091">
        <v>64</v>
      </c>
      <c r="X2091">
        <v>5</v>
      </c>
      <c r="Y2091">
        <v>4</v>
      </c>
      <c r="Z2091" t="s">
        <v>2723</v>
      </c>
      <c r="AA2091" t="s">
        <v>2724</v>
      </c>
      <c r="AB2091" t="s">
        <v>96</v>
      </c>
      <c r="AC2091" t="s">
        <v>97</v>
      </c>
      <c r="AD2091" t="s">
        <v>1818</v>
      </c>
      <c r="AG2091" t="s">
        <v>2725</v>
      </c>
      <c r="AH2091">
        <v>0</v>
      </c>
      <c r="AI2091">
        <v>0</v>
      </c>
      <c r="AJ2091">
        <v>0</v>
      </c>
      <c r="AK2091">
        <v>27</v>
      </c>
      <c r="AL2091">
        <v>0.96</v>
      </c>
    </row>
    <row r="2092" spans="1:38" x14ac:dyDescent="0.3">
      <c r="A2092" t="s">
        <v>1813</v>
      </c>
      <c r="B2092">
        <v>123394</v>
      </c>
      <c r="C2092">
        <v>3</v>
      </c>
      <c r="D2092" t="s">
        <v>2722</v>
      </c>
      <c r="E2092" t="s">
        <v>870</v>
      </c>
      <c r="F2092">
        <v>28</v>
      </c>
      <c r="G2092">
        <v>19.47</v>
      </c>
      <c r="H2092">
        <v>64.38</v>
      </c>
      <c r="I2092">
        <v>15.95</v>
      </c>
      <c r="J2092">
        <v>52.73</v>
      </c>
      <c r="K2092">
        <v>3</v>
      </c>
      <c r="T2092">
        <v>2</v>
      </c>
      <c r="U2092">
        <v>1</v>
      </c>
      <c r="V2092" t="s">
        <v>211</v>
      </c>
      <c r="W2092" t="s">
        <v>275</v>
      </c>
      <c r="X2092">
        <v>5</v>
      </c>
      <c r="Y2092">
        <v>4</v>
      </c>
      <c r="Z2092" t="s">
        <v>2723</v>
      </c>
      <c r="AA2092" t="s">
        <v>2724</v>
      </c>
      <c r="AB2092" t="s">
        <v>96</v>
      </c>
      <c r="AC2092" t="s">
        <v>97</v>
      </c>
      <c r="AD2092" t="s">
        <v>1818</v>
      </c>
      <c r="AG2092" t="s">
        <v>2725</v>
      </c>
      <c r="AH2092">
        <v>0</v>
      </c>
      <c r="AI2092">
        <v>0</v>
      </c>
      <c r="AJ2092">
        <v>0</v>
      </c>
      <c r="AK2092">
        <v>27</v>
      </c>
      <c r="AL2092">
        <v>0.96</v>
      </c>
    </row>
    <row r="2093" spans="1:38" x14ac:dyDescent="0.3">
      <c r="A2093" t="s">
        <v>1813</v>
      </c>
      <c r="B2093">
        <v>123394</v>
      </c>
      <c r="C2093">
        <v>4</v>
      </c>
      <c r="D2093" t="s">
        <v>2722</v>
      </c>
      <c r="E2093" t="s">
        <v>870</v>
      </c>
      <c r="F2093">
        <v>28</v>
      </c>
      <c r="G2093">
        <v>22.97</v>
      </c>
      <c r="H2093">
        <v>75.94</v>
      </c>
      <c r="I2093">
        <v>18.53</v>
      </c>
      <c r="J2093">
        <v>61.27</v>
      </c>
      <c r="K2093">
        <v>12</v>
      </c>
      <c r="T2093">
        <v>3</v>
      </c>
      <c r="U2093">
        <v>1</v>
      </c>
      <c r="V2093" t="s">
        <v>211</v>
      </c>
      <c r="W2093">
        <v>75</v>
      </c>
      <c r="X2093">
        <v>5</v>
      </c>
      <c r="Y2093">
        <v>4</v>
      </c>
      <c r="Z2093" t="s">
        <v>2723</v>
      </c>
      <c r="AA2093" t="s">
        <v>2724</v>
      </c>
      <c r="AB2093" t="s">
        <v>96</v>
      </c>
      <c r="AC2093" t="s">
        <v>97</v>
      </c>
      <c r="AD2093" t="s">
        <v>1818</v>
      </c>
      <c r="AG2093" t="s">
        <v>2725</v>
      </c>
      <c r="AH2093">
        <v>0</v>
      </c>
      <c r="AI2093">
        <v>0</v>
      </c>
      <c r="AJ2093">
        <v>0</v>
      </c>
      <c r="AK2093">
        <v>27</v>
      </c>
      <c r="AL2093">
        <v>0.96</v>
      </c>
    </row>
    <row r="2094" spans="1:38" x14ac:dyDescent="0.3">
      <c r="A2094" t="s">
        <v>1813</v>
      </c>
      <c r="B2094">
        <v>123394</v>
      </c>
      <c r="C2094">
        <v>5</v>
      </c>
      <c r="D2094" t="s">
        <v>2722</v>
      </c>
      <c r="E2094" t="s">
        <v>870</v>
      </c>
      <c r="F2094">
        <v>28</v>
      </c>
      <c r="G2094">
        <v>29.1</v>
      </c>
      <c r="H2094">
        <v>96.2</v>
      </c>
      <c r="I2094">
        <v>23.31</v>
      </c>
      <c r="J2094">
        <v>77.09</v>
      </c>
      <c r="K2094">
        <v>4</v>
      </c>
      <c r="T2094">
        <v>3</v>
      </c>
      <c r="U2094">
        <v>2</v>
      </c>
      <c r="V2094" t="s">
        <v>211</v>
      </c>
      <c r="W2094">
        <v>96</v>
      </c>
      <c r="X2094">
        <v>5</v>
      </c>
      <c r="Y2094">
        <v>4</v>
      </c>
      <c r="Z2094" t="s">
        <v>2723</v>
      </c>
      <c r="AA2094" t="s">
        <v>2724</v>
      </c>
      <c r="AB2094" t="s">
        <v>96</v>
      </c>
      <c r="AC2094" t="s">
        <v>97</v>
      </c>
      <c r="AD2094" t="s">
        <v>1818</v>
      </c>
      <c r="AG2094" t="s">
        <v>2725</v>
      </c>
      <c r="AH2094">
        <v>0</v>
      </c>
      <c r="AI2094">
        <v>0</v>
      </c>
      <c r="AJ2094">
        <v>0</v>
      </c>
      <c r="AK2094">
        <v>27</v>
      </c>
      <c r="AL2094">
        <v>0.96</v>
      </c>
    </row>
    <row r="2095" spans="1:38" x14ac:dyDescent="0.3">
      <c r="A2095" t="s">
        <v>1813</v>
      </c>
      <c r="B2095">
        <v>103268</v>
      </c>
      <c r="C2095">
        <v>1</v>
      </c>
      <c r="D2095" t="s">
        <v>2726</v>
      </c>
      <c r="E2095" t="s">
        <v>317</v>
      </c>
      <c r="F2095">
        <v>16</v>
      </c>
      <c r="G2095">
        <v>18.52</v>
      </c>
      <c r="H2095">
        <v>61.24</v>
      </c>
      <c r="I2095">
        <v>16.350000000000001</v>
      </c>
      <c r="J2095">
        <v>54.05</v>
      </c>
      <c r="K2095">
        <v>4</v>
      </c>
      <c r="T2095">
        <v>2</v>
      </c>
      <c r="U2095">
        <v>1</v>
      </c>
      <c r="V2095" t="s">
        <v>93</v>
      </c>
      <c r="W2095" t="s">
        <v>693</v>
      </c>
      <c r="X2095">
        <v>6</v>
      </c>
      <c r="Y2095">
        <v>6</v>
      </c>
      <c r="Z2095" t="s">
        <v>2727</v>
      </c>
      <c r="AA2095" t="s">
        <v>2728</v>
      </c>
      <c r="AB2095" t="s">
        <v>96</v>
      </c>
      <c r="AC2095" t="s">
        <v>97</v>
      </c>
      <c r="AD2095" t="s">
        <v>1818</v>
      </c>
      <c r="AG2095" t="s">
        <v>2729</v>
      </c>
      <c r="AH2095">
        <v>0</v>
      </c>
      <c r="AI2095">
        <v>350</v>
      </c>
      <c r="AJ2095">
        <v>74</v>
      </c>
      <c r="AK2095">
        <v>14</v>
      </c>
      <c r="AL2095">
        <v>0.88</v>
      </c>
    </row>
    <row r="2096" spans="1:38" x14ac:dyDescent="0.3">
      <c r="A2096" t="s">
        <v>1813</v>
      </c>
      <c r="B2096">
        <v>103268</v>
      </c>
      <c r="C2096">
        <v>2</v>
      </c>
      <c r="D2096" t="s">
        <v>2726</v>
      </c>
      <c r="E2096" t="s">
        <v>317</v>
      </c>
      <c r="F2096">
        <v>16</v>
      </c>
      <c r="G2096">
        <v>18.78</v>
      </c>
      <c r="H2096">
        <v>62.11</v>
      </c>
      <c r="I2096">
        <v>16.579999999999998</v>
      </c>
      <c r="J2096">
        <v>54.81</v>
      </c>
      <c r="K2096">
        <v>1</v>
      </c>
      <c r="T2096">
        <v>2</v>
      </c>
      <c r="U2096">
        <v>1</v>
      </c>
      <c r="V2096" t="s">
        <v>93</v>
      </c>
      <c r="W2096" t="s">
        <v>255</v>
      </c>
      <c r="X2096">
        <v>6</v>
      </c>
      <c r="Y2096">
        <v>6</v>
      </c>
      <c r="Z2096" t="s">
        <v>2727</v>
      </c>
      <c r="AA2096" t="s">
        <v>2728</v>
      </c>
      <c r="AB2096" t="s">
        <v>96</v>
      </c>
      <c r="AC2096" t="s">
        <v>97</v>
      </c>
      <c r="AD2096" t="s">
        <v>1818</v>
      </c>
      <c r="AG2096" t="s">
        <v>2729</v>
      </c>
      <c r="AH2096">
        <v>0</v>
      </c>
      <c r="AI2096">
        <v>350</v>
      </c>
      <c r="AJ2096">
        <v>74</v>
      </c>
      <c r="AK2096">
        <v>14</v>
      </c>
      <c r="AL2096">
        <v>0.88</v>
      </c>
    </row>
    <row r="2097" spans="1:38" x14ac:dyDescent="0.3">
      <c r="A2097" t="s">
        <v>1813</v>
      </c>
      <c r="B2097">
        <v>103268</v>
      </c>
      <c r="C2097">
        <v>3</v>
      </c>
      <c r="D2097" t="s">
        <v>2726</v>
      </c>
      <c r="E2097" t="s">
        <v>317</v>
      </c>
      <c r="F2097">
        <v>16</v>
      </c>
      <c r="G2097">
        <v>20.27</v>
      </c>
      <c r="H2097">
        <v>67.02</v>
      </c>
      <c r="I2097">
        <v>17.89</v>
      </c>
      <c r="J2097">
        <v>59.15</v>
      </c>
      <c r="K2097">
        <v>3</v>
      </c>
      <c r="T2097">
        <v>2</v>
      </c>
      <c r="U2097">
        <v>1</v>
      </c>
      <c r="V2097" t="s">
        <v>93</v>
      </c>
      <c r="W2097">
        <v>67</v>
      </c>
      <c r="X2097">
        <v>6</v>
      </c>
      <c r="Y2097">
        <v>6</v>
      </c>
      <c r="Z2097" t="s">
        <v>2727</v>
      </c>
      <c r="AA2097" t="s">
        <v>2728</v>
      </c>
      <c r="AB2097" t="s">
        <v>96</v>
      </c>
      <c r="AC2097" t="s">
        <v>97</v>
      </c>
      <c r="AD2097" t="s">
        <v>1818</v>
      </c>
      <c r="AG2097" t="s">
        <v>2729</v>
      </c>
      <c r="AH2097">
        <v>0</v>
      </c>
      <c r="AI2097">
        <v>350</v>
      </c>
      <c r="AJ2097">
        <v>74</v>
      </c>
      <c r="AK2097">
        <v>14</v>
      </c>
      <c r="AL2097">
        <v>0.88</v>
      </c>
    </row>
    <row r="2098" spans="1:38" x14ac:dyDescent="0.3">
      <c r="A2098" t="s">
        <v>1813</v>
      </c>
      <c r="B2098">
        <v>103268</v>
      </c>
      <c r="C2098">
        <v>4</v>
      </c>
      <c r="D2098" t="s">
        <v>2726</v>
      </c>
      <c r="E2098" t="s">
        <v>317</v>
      </c>
      <c r="F2098">
        <v>16</v>
      </c>
      <c r="G2098">
        <v>23.93</v>
      </c>
      <c r="H2098">
        <v>79.11</v>
      </c>
      <c r="I2098">
        <v>21.12</v>
      </c>
      <c r="J2098">
        <v>69.83</v>
      </c>
      <c r="K2098">
        <v>1</v>
      </c>
      <c r="T2098">
        <v>2</v>
      </c>
      <c r="U2098">
        <v>1</v>
      </c>
      <c r="V2098" t="s">
        <v>93</v>
      </c>
      <c r="W2098">
        <v>79</v>
      </c>
      <c r="X2098">
        <v>6</v>
      </c>
      <c r="Y2098">
        <v>6</v>
      </c>
      <c r="Z2098" t="s">
        <v>2727</v>
      </c>
      <c r="AA2098" t="s">
        <v>2728</v>
      </c>
      <c r="AB2098" t="s">
        <v>96</v>
      </c>
      <c r="AC2098" t="s">
        <v>97</v>
      </c>
      <c r="AD2098" t="s">
        <v>1818</v>
      </c>
      <c r="AG2098" t="s">
        <v>2729</v>
      </c>
      <c r="AH2098">
        <v>0</v>
      </c>
      <c r="AI2098">
        <v>350</v>
      </c>
      <c r="AJ2098">
        <v>74</v>
      </c>
      <c r="AK2098">
        <v>14</v>
      </c>
      <c r="AL2098">
        <v>0.88</v>
      </c>
    </row>
    <row r="2099" spans="1:38" x14ac:dyDescent="0.3">
      <c r="A2099" t="s">
        <v>1813</v>
      </c>
      <c r="B2099">
        <v>103268</v>
      </c>
      <c r="C2099">
        <v>5</v>
      </c>
      <c r="D2099" t="s">
        <v>2726</v>
      </c>
      <c r="E2099" t="s">
        <v>317</v>
      </c>
      <c r="F2099">
        <v>16</v>
      </c>
      <c r="G2099">
        <v>25.37</v>
      </c>
      <c r="H2099">
        <v>83.87</v>
      </c>
      <c r="I2099">
        <v>22.39</v>
      </c>
      <c r="J2099">
        <v>74.02</v>
      </c>
      <c r="K2099">
        <v>4</v>
      </c>
      <c r="T2099">
        <v>3</v>
      </c>
      <c r="U2099">
        <v>2</v>
      </c>
      <c r="V2099" t="s">
        <v>93</v>
      </c>
      <c r="W2099" t="s">
        <v>220</v>
      </c>
      <c r="X2099">
        <v>6</v>
      </c>
      <c r="Y2099">
        <v>6</v>
      </c>
      <c r="Z2099" t="s">
        <v>2727</v>
      </c>
      <c r="AA2099" t="s">
        <v>2728</v>
      </c>
      <c r="AB2099" t="s">
        <v>96</v>
      </c>
      <c r="AC2099" t="s">
        <v>97</v>
      </c>
      <c r="AD2099" t="s">
        <v>1818</v>
      </c>
      <c r="AG2099" t="s">
        <v>2729</v>
      </c>
      <c r="AH2099">
        <v>0</v>
      </c>
      <c r="AI2099">
        <v>350</v>
      </c>
      <c r="AJ2099">
        <v>74</v>
      </c>
      <c r="AK2099">
        <v>14</v>
      </c>
      <c r="AL2099">
        <v>0.88</v>
      </c>
    </row>
    <row r="2100" spans="1:38" x14ac:dyDescent="0.3">
      <c r="A2100" t="s">
        <v>1813</v>
      </c>
      <c r="B2100">
        <v>103268</v>
      </c>
      <c r="C2100">
        <v>6</v>
      </c>
      <c r="D2100" t="s">
        <v>2726</v>
      </c>
      <c r="E2100" t="s">
        <v>317</v>
      </c>
      <c r="F2100">
        <v>16</v>
      </c>
      <c r="G2100">
        <v>25.42</v>
      </c>
      <c r="H2100">
        <v>84.04</v>
      </c>
      <c r="I2100">
        <v>22.43</v>
      </c>
      <c r="J2100">
        <v>74.17</v>
      </c>
      <c r="K2100">
        <v>3</v>
      </c>
      <c r="T2100">
        <v>3</v>
      </c>
      <c r="U2100">
        <v>2</v>
      </c>
      <c r="V2100" t="s">
        <v>93</v>
      </c>
      <c r="W2100" t="s">
        <v>221</v>
      </c>
      <c r="X2100">
        <v>6</v>
      </c>
      <c r="Y2100">
        <v>6</v>
      </c>
      <c r="Z2100" t="s">
        <v>2727</v>
      </c>
      <c r="AA2100" t="s">
        <v>2728</v>
      </c>
      <c r="AB2100" t="s">
        <v>96</v>
      </c>
      <c r="AC2100" t="s">
        <v>97</v>
      </c>
      <c r="AD2100" t="s">
        <v>1818</v>
      </c>
      <c r="AG2100" t="s">
        <v>2729</v>
      </c>
      <c r="AH2100">
        <v>0</v>
      </c>
      <c r="AI2100">
        <v>350</v>
      </c>
      <c r="AJ2100">
        <v>74</v>
      </c>
      <c r="AK2100">
        <v>14</v>
      </c>
      <c r="AL2100">
        <v>0.88</v>
      </c>
    </row>
    <row r="2101" spans="1:38" x14ac:dyDescent="0.3">
      <c r="A2101" t="s">
        <v>1813</v>
      </c>
      <c r="B2101">
        <v>109000</v>
      </c>
      <c r="C2101">
        <v>1</v>
      </c>
      <c r="D2101" t="s">
        <v>2730</v>
      </c>
      <c r="E2101" t="s">
        <v>890</v>
      </c>
      <c r="F2101">
        <v>35</v>
      </c>
      <c r="G2101">
        <v>15</v>
      </c>
      <c r="H2101">
        <v>49.61</v>
      </c>
      <c r="I2101">
        <v>13.77</v>
      </c>
      <c r="J2101">
        <v>45.54</v>
      </c>
      <c r="K2101">
        <v>1</v>
      </c>
      <c r="T2101">
        <v>2</v>
      </c>
      <c r="U2101">
        <v>1</v>
      </c>
      <c r="V2101" t="s">
        <v>93</v>
      </c>
      <c r="W2101" t="s">
        <v>249</v>
      </c>
      <c r="X2101">
        <v>6</v>
      </c>
      <c r="Y2101">
        <v>5</v>
      </c>
      <c r="Z2101" t="s">
        <v>2731</v>
      </c>
      <c r="AA2101" t="s">
        <v>2732</v>
      </c>
      <c r="AB2101" t="s">
        <v>96</v>
      </c>
      <c r="AC2101" t="s">
        <v>97</v>
      </c>
      <c r="AD2101" t="s">
        <v>1818</v>
      </c>
      <c r="AG2101" t="s">
        <v>2733</v>
      </c>
      <c r="AH2101">
        <v>0</v>
      </c>
      <c r="AI2101">
        <v>0</v>
      </c>
      <c r="AJ2101">
        <v>0</v>
      </c>
      <c r="AK2101">
        <v>16</v>
      </c>
      <c r="AL2101">
        <v>0.46</v>
      </c>
    </row>
    <row r="2102" spans="1:38" x14ac:dyDescent="0.3">
      <c r="A2102" t="s">
        <v>1813</v>
      </c>
      <c r="B2102">
        <v>109000</v>
      </c>
      <c r="C2102">
        <v>2</v>
      </c>
      <c r="D2102" t="s">
        <v>2730</v>
      </c>
      <c r="E2102" t="s">
        <v>890</v>
      </c>
      <c r="F2102">
        <v>35</v>
      </c>
      <c r="G2102">
        <v>15.17</v>
      </c>
      <c r="H2102">
        <v>50.16</v>
      </c>
      <c r="I2102">
        <v>13.93</v>
      </c>
      <c r="J2102">
        <v>46.05</v>
      </c>
      <c r="K2102">
        <v>1</v>
      </c>
      <c r="T2102">
        <v>2</v>
      </c>
      <c r="U2102">
        <v>1</v>
      </c>
      <c r="V2102" t="s">
        <v>93</v>
      </c>
      <c r="W2102" t="s">
        <v>250</v>
      </c>
      <c r="X2102">
        <v>6</v>
      </c>
      <c r="Y2102">
        <v>5</v>
      </c>
      <c r="Z2102" t="s">
        <v>2731</v>
      </c>
      <c r="AA2102" t="s">
        <v>2732</v>
      </c>
      <c r="AB2102" t="s">
        <v>96</v>
      </c>
      <c r="AC2102" t="s">
        <v>97</v>
      </c>
      <c r="AD2102" t="s">
        <v>1818</v>
      </c>
      <c r="AG2102" t="s">
        <v>2733</v>
      </c>
      <c r="AH2102">
        <v>0</v>
      </c>
      <c r="AI2102">
        <v>0</v>
      </c>
      <c r="AJ2102">
        <v>0</v>
      </c>
      <c r="AK2102">
        <v>16</v>
      </c>
      <c r="AL2102">
        <v>0.46</v>
      </c>
    </row>
    <row r="2103" spans="1:38" x14ac:dyDescent="0.3">
      <c r="A2103" t="s">
        <v>1813</v>
      </c>
      <c r="B2103">
        <v>109000</v>
      </c>
      <c r="C2103">
        <v>3</v>
      </c>
      <c r="D2103" t="s">
        <v>2730</v>
      </c>
      <c r="E2103" t="s">
        <v>890</v>
      </c>
      <c r="F2103">
        <v>35</v>
      </c>
      <c r="G2103">
        <v>15.53</v>
      </c>
      <c r="H2103">
        <v>51.35</v>
      </c>
      <c r="I2103">
        <v>13.91</v>
      </c>
      <c r="J2103">
        <v>46.01</v>
      </c>
      <c r="K2103">
        <v>1</v>
      </c>
      <c r="T2103">
        <v>2</v>
      </c>
      <c r="U2103">
        <v>1</v>
      </c>
      <c r="V2103" t="s">
        <v>93</v>
      </c>
      <c r="W2103" t="s">
        <v>251</v>
      </c>
      <c r="X2103">
        <v>6</v>
      </c>
      <c r="Y2103">
        <v>5</v>
      </c>
      <c r="Z2103" t="s">
        <v>2731</v>
      </c>
      <c r="AA2103" t="s">
        <v>2732</v>
      </c>
      <c r="AB2103" t="s">
        <v>96</v>
      </c>
      <c r="AC2103" t="s">
        <v>97</v>
      </c>
      <c r="AD2103" t="s">
        <v>1818</v>
      </c>
      <c r="AG2103" t="s">
        <v>2733</v>
      </c>
      <c r="AH2103">
        <v>0</v>
      </c>
      <c r="AI2103">
        <v>0</v>
      </c>
      <c r="AJ2103">
        <v>0</v>
      </c>
      <c r="AK2103">
        <v>16</v>
      </c>
      <c r="AL2103">
        <v>0.46</v>
      </c>
    </row>
    <row r="2104" spans="1:38" x14ac:dyDescent="0.3">
      <c r="A2104" t="s">
        <v>1813</v>
      </c>
      <c r="B2104">
        <v>109000</v>
      </c>
      <c r="C2104">
        <v>4</v>
      </c>
      <c r="D2104" t="s">
        <v>2730</v>
      </c>
      <c r="E2104" t="s">
        <v>890</v>
      </c>
      <c r="F2104">
        <v>35</v>
      </c>
      <c r="G2104">
        <v>15.97</v>
      </c>
      <c r="H2104">
        <v>52.81</v>
      </c>
      <c r="I2104">
        <v>14.66</v>
      </c>
      <c r="J2104">
        <v>48.48</v>
      </c>
      <c r="K2104">
        <v>14</v>
      </c>
      <c r="T2104">
        <v>2</v>
      </c>
      <c r="U2104">
        <v>1</v>
      </c>
      <c r="V2104" t="s">
        <v>93</v>
      </c>
      <c r="W2104" t="s">
        <v>584</v>
      </c>
      <c r="X2104">
        <v>6</v>
      </c>
      <c r="Y2104">
        <v>5</v>
      </c>
      <c r="Z2104" t="s">
        <v>2731</v>
      </c>
      <c r="AA2104" t="s">
        <v>2732</v>
      </c>
      <c r="AB2104" t="s">
        <v>96</v>
      </c>
      <c r="AC2104" t="s">
        <v>97</v>
      </c>
      <c r="AD2104" t="s">
        <v>1818</v>
      </c>
      <c r="AG2104" t="s">
        <v>2733</v>
      </c>
      <c r="AH2104">
        <v>0</v>
      </c>
      <c r="AI2104">
        <v>0</v>
      </c>
      <c r="AJ2104">
        <v>0</v>
      </c>
      <c r="AK2104">
        <v>16</v>
      </c>
      <c r="AL2104">
        <v>0.46</v>
      </c>
    </row>
    <row r="2105" spans="1:38" x14ac:dyDescent="0.3">
      <c r="A2105" t="s">
        <v>1813</v>
      </c>
      <c r="B2105">
        <v>109000</v>
      </c>
      <c r="C2105">
        <v>5</v>
      </c>
      <c r="D2105" t="s">
        <v>2730</v>
      </c>
      <c r="E2105" t="s">
        <v>890</v>
      </c>
      <c r="F2105">
        <v>35</v>
      </c>
      <c r="G2105">
        <v>15.88</v>
      </c>
      <c r="H2105">
        <v>52.52</v>
      </c>
      <c r="I2105">
        <v>14.58</v>
      </c>
      <c r="J2105">
        <v>48.21</v>
      </c>
      <c r="K2105">
        <v>1</v>
      </c>
      <c r="T2105">
        <v>2</v>
      </c>
      <c r="U2105">
        <v>1</v>
      </c>
      <c r="V2105" t="s">
        <v>93</v>
      </c>
      <c r="W2105" t="s">
        <v>586</v>
      </c>
      <c r="X2105">
        <v>6</v>
      </c>
      <c r="Y2105">
        <v>5</v>
      </c>
      <c r="Z2105" t="s">
        <v>2731</v>
      </c>
      <c r="AA2105" t="s">
        <v>2732</v>
      </c>
      <c r="AB2105" t="s">
        <v>96</v>
      </c>
      <c r="AC2105" t="s">
        <v>97</v>
      </c>
      <c r="AD2105" t="s">
        <v>1818</v>
      </c>
      <c r="AG2105" t="s">
        <v>2733</v>
      </c>
      <c r="AH2105">
        <v>0</v>
      </c>
      <c r="AI2105">
        <v>0</v>
      </c>
      <c r="AJ2105">
        <v>0</v>
      </c>
      <c r="AK2105">
        <v>16</v>
      </c>
      <c r="AL2105">
        <v>0.46</v>
      </c>
    </row>
    <row r="2106" spans="1:38" x14ac:dyDescent="0.3">
      <c r="A2106" t="s">
        <v>1813</v>
      </c>
      <c r="B2106">
        <v>109000</v>
      </c>
      <c r="C2106">
        <v>6</v>
      </c>
      <c r="D2106" t="s">
        <v>2730</v>
      </c>
      <c r="E2106" t="s">
        <v>890</v>
      </c>
      <c r="F2106">
        <v>35</v>
      </c>
      <c r="G2106">
        <v>16.11</v>
      </c>
      <c r="H2106">
        <v>53.26</v>
      </c>
      <c r="I2106">
        <v>14.35</v>
      </c>
      <c r="J2106">
        <v>47.46</v>
      </c>
      <c r="K2106">
        <v>1</v>
      </c>
      <c r="T2106">
        <v>2</v>
      </c>
      <c r="U2106">
        <v>1</v>
      </c>
      <c r="V2106" t="s">
        <v>93</v>
      </c>
      <c r="W2106" t="s">
        <v>2734</v>
      </c>
      <c r="X2106">
        <v>6</v>
      </c>
      <c r="Y2106">
        <v>5</v>
      </c>
      <c r="Z2106" t="s">
        <v>2731</v>
      </c>
      <c r="AA2106" t="s">
        <v>2732</v>
      </c>
      <c r="AB2106" t="s">
        <v>96</v>
      </c>
      <c r="AC2106" t="s">
        <v>97</v>
      </c>
      <c r="AD2106" t="s">
        <v>1818</v>
      </c>
      <c r="AG2106" t="s">
        <v>2733</v>
      </c>
      <c r="AH2106">
        <v>0</v>
      </c>
      <c r="AI2106">
        <v>0</v>
      </c>
      <c r="AJ2106">
        <v>0</v>
      </c>
      <c r="AK2106">
        <v>16</v>
      </c>
      <c r="AL2106">
        <v>0.46</v>
      </c>
    </row>
    <row r="2107" spans="1:38" x14ac:dyDescent="0.3">
      <c r="A2107" t="s">
        <v>1813</v>
      </c>
      <c r="B2107">
        <v>109000</v>
      </c>
      <c r="C2107">
        <v>7</v>
      </c>
      <c r="D2107" t="s">
        <v>2730</v>
      </c>
      <c r="E2107" t="s">
        <v>890</v>
      </c>
      <c r="F2107">
        <v>35</v>
      </c>
      <c r="G2107">
        <v>16.899999999999999</v>
      </c>
      <c r="H2107">
        <v>55.88</v>
      </c>
      <c r="I2107">
        <v>15.06</v>
      </c>
      <c r="J2107">
        <v>49.8</v>
      </c>
      <c r="K2107">
        <v>4</v>
      </c>
      <c r="T2107">
        <v>2</v>
      </c>
      <c r="U2107">
        <v>1</v>
      </c>
      <c r="V2107" t="s">
        <v>93</v>
      </c>
      <c r="W2107" t="s">
        <v>2625</v>
      </c>
      <c r="X2107">
        <v>6</v>
      </c>
      <c r="Y2107">
        <v>5</v>
      </c>
      <c r="Z2107" t="s">
        <v>2731</v>
      </c>
      <c r="AA2107" t="s">
        <v>2732</v>
      </c>
      <c r="AB2107" t="s">
        <v>96</v>
      </c>
      <c r="AC2107" t="s">
        <v>97</v>
      </c>
      <c r="AD2107" t="s">
        <v>1818</v>
      </c>
      <c r="AG2107" t="s">
        <v>2733</v>
      </c>
      <c r="AH2107">
        <v>0</v>
      </c>
      <c r="AI2107">
        <v>0</v>
      </c>
      <c r="AJ2107">
        <v>0</v>
      </c>
      <c r="AK2107">
        <v>16</v>
      </c>
      <c r="AL2107">
        <v>0.46</v>
      </c>
    </row>
    <row r="2108" spans="1:38" x14ac:dyDescent="0.3">
      <c r="A2108" t="s">
        <v>1813</v>
      </c>
      <c r="B2108">
        <v>109000</v>
      </c>
      <c r="C2108">
        <v>8</v>
      </c>
      <c r="D2108" t="s">
        <v>2730</v>
      </c>
      <c r="E2108" t="s">
        <v>890</v>
      </c>
      <c r="F2108">
        <v>35</v>
      </c>
      <c r="G2108">
        <v>16.72</v>
      </c>
      <c r="H2108">
        <v>55.28</v>
      </c>
      <c r="I2108">
        <v>15.35</v>
      </c>
      <c r="J2108">
        <v>50.75</v>
      </c>
      <c r="K2108">
        <v>1</v>
      </c>
      <c r="T2108">
        <v>2</v>
      </c>
      <c r="U2108">
        <v>1</v>
      </c>
      <c r="V2108" t="s">
        <v>93</v>
      </c>
      <c r="W2108" t="s">
        <v>177</v>
      </c>
      <c r="X2108">
        <v>6</v>
      </c>
      <c r="Y2108">
        <v>5</v>
      </c>
      <c r="Z2108" t="s">
        <v>2731</v>
      </c>
      <c r="AA2108" t="s">
        <v>2732</v>
      </c>
      <c r="AB2108" t="s">
        <v>96</v>
      </c>
      <c r="AC2108" t="s">
        <v>97</v>
      </c>
      <c r="AD2108" t="s">
        <v>1818</v>
      </c>
      <c r="AG2108" t="s">
        <v>2733</v>
      </c>
      <c r="AH2108">
        <v>0</v>
      </c>
      <c r="AI2108">
        <v>0</v>
      </c>
      <c r="AJ2108">
        <v>0</v>
      </c>
      <c r="AK2108">
        <v>16</v>
      </c>
      <c r="AL2108">
        <v>0.46</v>
      </c>
    </row>
    <row r="2109" spans="1:38" x14ac:dyDescent="0.3">
      <c r="A2109" t="s">
        <v>1813</v>
      </c>
      <c r="B2109">
        <v>109000</v>
      </c>
      <c r="C2109">
        <v>9</v>
      </c>
      <c r="D2109" t="s">
        <v>2730</v>
      </c>
      <c r="E2109" t="s">
        <v>890</v>
      </c>
      <c r="F2109">
        <v>35</v>
      </c>
      <c r="G2109">
        <v>17.489999999999998</v>
      </c>
      <c r="H2109">
        <v>57.83</v>
      </c>
      <c r="I2109">
        <v>15.67</v>
      </c>
      <c r="J2109">
        <v>51.83</v>
      </c>
      <c r="K2109">
        <v>1</v>
      </c>
      <c r="T2109">
        <v>2</v>
      </c>
      <c r="U2109">
        <v>1</v>
      </c>
      <c r="V2109" t="s">
        <v>93</v>
      </c>
      <c r="W2109" t="s">
        <v>353</v>
      </c>
      <c r="X2109">
        <v>6</v>
      </c>
      <c r="Y2109">
        <v>5</v>
      </c>
      <c r="Z2109" t="s">
        <v>2731</v>
      </c>
      <c r="AA2109" t="s">
        <v>2732</v>
      </c>
      <c r="AB2109" t="s">
        <v>96</v>
      </c>
      <c r="AC2109" t="s">
        <v>97</v>
      </c>
      <c r="AD2109" t="s">
        <v>1818</v>
      </c>
      <c r="AG2109" t="s">
        <v>2733</v>
      </c>
      <c r="AH2109">
        <v>0</v>
      </c>
      <c r="AI2109">
        <v>0</v>
      </c>
      <c r="AJ2109">
        <v>0</v>
      </c>
      <c r="AK2109">
        <v>16</v>
      </c>
      <c r="AL2109">
        <v>0.46</v>
      </c>
    </row>
    <row r="2110" spans="1:38" x14ac:dyDescent="0.3">
      <c r="A2110" t="s">
        <v>1813</v>
      </c>
      <c r="B2110">
        <v>109000</v>
      </c>
      <c r="C2110">
        <v>10</v>
      </c>
      <c r="D2110" t="s">
        <v>2730</v>
      </c>
      <c r="E2110" t="s">
        <v>890</v>
      </c>
      <c r="F2110">
        <v>35</v>
      </c>
      <c r="G2110">
        <v>19.850000000000001</v>
      </c>
      <c r="H2110">
        <v>65.650000000000006</v>
      </c>
      <c r="I2110">
        <v>17.79</v>
      </c>
      <c r="J2110">
        <v>58.83</v>
      </c>
      <c r="K2110">
        <v>6</v>
      </c>
      <c r="T2110">
        <v>2</v>
      </c>
      <c r="U2110">
        <v>1</v>
      </c>
      <c r="V2110" t="s">
        <v>93</v>
      </c>
      <c r="W2110" t="s">
        <v>197</v>
      </c>
      <c r="X2110">
        <v>6</v>
      </c>
      <c r="Y2110">
        <v>5</v>
      </c>
      <c r="Z2110" t="s">
        <v>2731</v>
      </c>
      <c r="AA2110" t="s">
        <v>2732</v>
      </c>
      <c r="AB2110" t="s">
        <v>96</v>
      </c>
      <c r="AC2110" t="s">
        <v>97</v>
      </c>
      <c r="AD2110" t="s">
        <v>1818</v>
      </c>
      <c r="AG2110" t="s">
        <v>2733</v>
      </c>
      <c r="AH2110">
        <v>0</v>
      </c>
      <c r="AI2110">
        <v>0</v>
      </c>
      <c r="AJ2110">
        <v>0</v>
      </c>
      <c r="AK2110">
        <v>16</v>
      </c>
      <c r="AL2110">
        <v>0.46</v>
      </c>
    </row>
    <row r="2111" spans="1:38" x14ac:dyDescent="0.3">
      <c r="A2111" t="s">
        <v>1813</v>
      </c>
      <c r="B2111">
        <v>109000</v>
      </c>
      <c r="C2111">
        <v>11</v>
      </c>
      <c r="D2111" t="s">
        <v>2730</v>
      </c>
      <c r="E2111" t="s">
        <v>890</v>
      </c>
      <c r="F2111">
        <v>35</v>
      </c>
      <c r="G2111">
        <v>20.3</v>
      </c>
      <c r="H2111">
        <v>67.11</v>
      </c>
      <c r="I2111">
        <v>18.079999999999998</v>
      </c>
      <c r="J2111">
        <v>59.8</v>
      </c>
      <c r="K2111">
        <v>3</v>
      </c>
      <c r="T2111">
        <v>2</v>
      </c>
      <c r="U2111">
        <v>1</v>
      </c>
      <c r="V2111" t="s">
        <v>93</v>
      </c>
      <c r="W2111" t="s">
        <v>858</v>
      </c>
      <c r="X2111">
        <v>6</v>
      </c>
      <c r="Y2111">
        <v>5</v>
      </c>
      <c r="Z2111" t="s">
        <v>2731</v>
      </c>
      <c r="AA2111" t="s">
        <v>2732</v>
      </c>
      <c r="AB2111" t="s">
        <v>96</v>
      </c>
      <c r="AC2111" t="s">
        <v>97</v>
      </c>
      <c r="AD2111" t="s">
        <v>1818</v>
      </c>
      <c r="AG2111" t="s">
        <v>2733</v>
      </c>
      <c r="AH2111">
        <v>0</v>
      </c>
      <c r="AI2111">
        <v>0</v>
      </c>
      <c r="AJ2111">
        <v>0</v>
      </c>
      <c r="AK2111">
        <v>16</v>
      </c>
      <c r="AL2111">
        <v>0.46</v>
      </c>
    </row>
    <row r="2112" spans="1:38" x14ac:dyDescent="0.3">
      <c r="A2112" t="s">
        <v>1813</v>
      </c>
      <c r="B2112">
        <v>109000</v>
      </c>
      <c r="C2112">
        <v>12</v>
      </c>
      <c r="D2112" t="s">
        <v>2730</v>
      </c>
      <c r="E2112" t="s">
        <v>890</v>
      </c>
      <c r="F2112">
        <v>35</v>
      </c>
      <c r="G2112">
        <v>24.42</v>
      </c>
      <c r="H2112">
        <v>80.739999999999995</v>
      </c>
      <c r="I2112">
        <v>21.76</v>
      </c>
      <c r="J2112">
        <v>71.95</v>
      </c>
      <c r="K2112">
        <v>1</v>
      </c>
      <c r="T2112">
        <v>2</v>
      </c>
      <c r="U2112">
        <v>1</v>
      </c>
      <c r="V2112" t="s">
        <v>93</v>
      </c>
      <c r="W2112">
        <v>80</v>
      </c>
      <c r="X2112">
        <v>6</v>
      </c>
      <c r="Y2112">
        <v>5</v>
      </c>
      <c r="Z2112" t="s">
        <v>2731</v>
      </c>
      <c r="AA2112" t="s">
        <v>2732</v>
      </c>
      <c r="AB2112" t="s">
        <v>96</v>
      </c>
      <c r="AC2112" t="s">
        <v>97</v>
      </c>
      <c r="AD2112" t="s">
        <v>1818</v>
      </c>
      <c r="AG2112" t="s">
        <v>2733</v>
      </c>
      <c r="AH2112">
        <v>0</v>
      </c>
      <c r="AI2112">
        <v>0</v>
      </c>
      <c r="AJ2112">
        <v>0</v>
      </c>
      <c r="AK2112">
        <v>16</v>
      </c>
      <c r="AL2112">
        <v>0.46</v>
      </c>
    </row>
    <row r="2113" spans="1:38" x14ac:dyDescent="0.3">
      <c r="A2113" t="s">
        <v>1813</v>
      </c>
      <c r="B2113">
        <v>123263</v>
      </c>
      <c r="C2113">
        <v>1</v>
      </c>
      <c r="D2113" t="s">
        <v>1771</v>
      </c>
      <c r="E2113" t="s">
        <v>391</v>
      </c>
      <c r="F2113">
        <v>10</v>
      </c>
      <c r="G2113">
        <v>19.559999999999999</v>
      </c>
      <c r="H2113">
        <v>64.67</v>
      </c>
      <c r="I2113">
        <v>13.97</v>
      </c>
      <c r="J2113">
        <v>46.2</v>
      </c>
      <c r="K2113">
        <v>10</v>
      </c>
      <c r="T2113">
        <v>2</v>
      </c>
      <c r="U2113">
        <v>1</v>
      </c>
      <c r="V2113" t="s">
        <v>93</v>
      </c>
      <c r="W2113">
        <v>64</v>
      </c>
      <c r="X2113">
        <v>11</v>
      </c>
      <c r="Y2113">
        <v>11</v>
      </c>
      <c r="Z2113" t="s">
        <v>2735</v>
      </c>
      <c r="AA2113" t="s">
        <v>2736</v>
      </c>
      <c r="AB2113" t="s">
        <v>96</v>
      </c>
      <c r="AC2113" t="s">
        <v>97</v>
      </c>
      <c r="AD2113" t="s">
        <v>1818</v>
      </c>
      <c r="AG2113" t="s">
        <v>2737</v>
      </c>
      <c r="AH2113">
        <v>0</v>
      </c>
      <c r="AI2113">
        <v>400</v>
      </c>
      <c r="AJ2113">
        <v>48</v>
      </c>
      <c r="AK2113">
        <v>6</v>
      </c>
      <c r="AL2113">
        <v>0.6</v>
      </c>
    </row>
    <row r="2114" spans="1:38" x14ac:dyDescent="0.3">
      <c r="A2114" t="s">
        <v>1813</v>
      </c>
      <c r="B2114">
        <v>127449</v>
      </c>
      <c r="C2114">
        <v>1</v>
      </c>
      <c r="D2114" t="s">
        <v>2738</v>
      </c>
      <c r="E2114" t="s">
        <v>1353</v>
      </c>
      <c r="F2114">
        <v>4</v>
      </c>
      <c r="G2114">
        <v>20.04</v>
      </c>
      <c r="H2114">
        <v>66.28</v>
      </c>
      <c r="I2114">
        <v>16.11</v>
      </c>
      <c r="J2114">
        <v>53.27</v>
      </c>
      <c r="K2114">
        <v>2</v>
      </c>
      <c r="T2114">
        <v>3</v>
      </c>
      <c r="U2114">
        <v>2</v>
      </c>
      <c r="V2114" t="s">
        <v>93</v>
      </c>
      <c r="W2114">
        <v>66</v>
      </c>
      <c r="X2114">
        <v>12</v>
      </c>
      <c r="Y2114">
        <v>12</v>
      </c>
      <c r="Z2114" t="s">
        <v>2739</v>
      </c>
      <c r="AA2114" t="s">
        <v>2740</v>
      </c>
      <c r="AB2114" t="s">
        <v>96</v>
      </c>
      <c r="AC2114" t="s">
        <v>97</v>
      </c>
      <c r="AD2114" t="s">
        <v>1818</v>
      </c>
      <c r="AG2114" t="s">
        <v>2741</v>
      </c>
      <c r="AH2114">
        <v>0</v>
      </c>
      <c r="AI2114">
        <v>498</v>
      </c>
      <c r="AJ2114">
        <v>53</v>
      </c>
      <c r="AK2114">
        <v>4</v>
      </c>
      <c r="AL2114">
        <v>1</v>
      </c>
    </row>
    <row r="2115" spans="1:38" x14ac:dyDescent="0.3">
      <c r="A2115" t="s">
        <v>1813</v>
      </c>
      <c r="B2115">
        <v>127449</v>
      </c>
      <c r="C2115">
        <v>2</v>
      </c>
      <c r="D2115" t="s">
        <v>2738</v>
      </c>
      <c r="E2115" t="s">
        <v>1353</v>
      </c>
      <c r="F2115">
        <v>4</v>
      </c>
      <c r="G2115">
        <v>21.56</v>
      </c>
      <c r="H2115">
        <v>71.290000000000006</v>
      </c>
      <c r="I2115">
        <v>17.28</v>
      </c>
      <c r="J2115">
        <v>57.14</v>
      </c>
      <c r="K2115">
        <v>2</v>
      </c>
      <c r="T2115">
        <v>3</v>
      </c>
      <c r="U2115">
        <v>2</v>
      </c>
      <c r="V2115" t="s">
        <v>93</v>
      </c>
      <c r="W2115">
        <v>71</v>
      </c>
      <c r="X2115">
        <v>12</v>
      </c>
      <c r="Y2115">
        <v>12</v>
      </c>
      <c r="Z2115" t="s">
        <v>2739</v>
      </c>
      <c r="AA2115" t="s">
        <v>2740</v>
      </c>
      <c r="AB2115" t="s">
        <v>96</v>
      </c>
      <c r="AC2115" t="s">
        <v>97</v>
      </c>
      <c r="AD2115" t="s">
        <v>1818</v>
      </c>
      <c r="AG2115" t="s">
        <v>2741</v>
      </c>
      <c r="AH2115">
        <v>0</v>
      </c>
      <c r="AI2115">
        <v>498</v>
      </c>
      <c r="AJ2115">
        <v>53</v>
      </c>
      <c r="AK2115">
        <v>4</v>
      </c>
      <c r="AL2115">
        <v>1</v>
      </c>
    </row>
    <row r="2116" spans="1:38" x14ac:dyDescent="0.3">
      <c r="A2116" t="s">
        <v>1813</v>
      </c>
      <c r="B2116">
        <v>115980</v>
      </c>
      <c r="C2116">
        <v>1</v>
      </c>
      <c r="D2116" t="s">
        <v>2742</v>
      </c>
      <c r="E2116" t="s">
        <v>1233</v>
      </c>
      <c r="F2116">
        <v>11</v>
      </c>
      <c r="G2116">
        <v>14.06</v>
      </c>
      <c r="H2116">
        <v>46.49</v>
      </c>
      <c r="I2116">
        <v>11.43</v>
      </c>
      <c r="J2116">
        <v>37.79</v>
      </c>
      <c r="K2116">
        <v>1</v>
      </c>
      <c r="T2116">
        <v>1</v>
      </c>
      <c r="U2116">
        <v>1</v>
      </c>
      <c r="V2116" t="s">
        <v>93</v>
      </c>
      <c r="W2116">
        <v>46</v>
      </c>
      <c r="X2116">
        <v>13</v>
      </c>
      <c r="Y2116">
        <v>10</v>
      </c>
      <c r="Z2116" t="s">
        <v>2743</v>
      </c>
      <c r="AA2116" t="s">
        <v>2744</v>
      </c>
      <c r="AB2116" t="s">
        <v>96</v>
      </c>
      <c r="AC2116" t="s">
        <v>97</v>
      </c>
      <c r="AD2116" t="s">
        <v>1818</v>
      </c>
      <c r="AG2116" t="s">
        <v>2745</v>
      </c>
      <c r="AH2116">
        <v>0</v>
      </c>
      <c r="AI2116">
        <v>629</v>
      </c>
      <c r="AJ2116">
        <v>67</v>
      </c>
      <c r="AK2116">
        <v>12</v>
      </c>
      <c r="AL2116">
        <v>1.0900000000000001</v>
      </c>
    </row>
    <row r="2117" spans="1:38" x14ac:dyDescent="0.3">
      <c r="A2117" t="s">
        <v>1813</v>
      </c>
      <c r="B2117">
        <v>115980</v>
      </c>
      <c r="C2117">
        <v>2</v>
      </c>
      <c r="D2117" t="s">
        <v>2742</v>
      </c>
      <c r="E2117" t="s">
        <v>1233</v>
      </c>
      <c r="F2117">
        <v>11</v>
      </c>
      <c r="G2117">
        <v>18.13</v>
      </c>
      <c r="H2117">
        <v>59.94</v>
      </c>
      <c r="I2117">
        <v>14.94</v>
      </c>
      <c r="J2117">
        <v>49.4</v>
      </c>
      <c r="K2117">
        <v>1</v>
      </c>
      <c r="T2117">
        <v>2</v>
      </c>
      <c r="U2117">
        <v>1</v>
      </c>
      <c r="V2117" t="s">
        <v>93</v>
      </c>
      <c r="W2117">
        <v>59</v>
      </c>
      <c r="X2117">
        <v>13</v>
      </c>
      <c r="Y2117">
        <v>10</v>
      </c>
      <c r="Z2117" t="s">
        <v>2743</v>
      </c>
      <c r="AA2117" t="s">
        <v>2744</v>
      </c>
      <c r="AB2117" t="s">
        <v>96</v>
      </c>
      <c r="AC2117" t="s">
        <v>97</v>
      </c>
      <c r="AD2117" t="s">
        <v>1818</v>
      </c>
      <c r="AG2117" t="s">
        <v>2745</v>
      </c>
      <c r="AH2117">
        <v>0</v>
      </c>
      <c r="AI2117">
        <v>629</v>
      </c>
      <c r="AJ2117">
        <v>67</v>
      </c>
      <c r="AK2117">
        <v>12</v>
      </c>
      <c r="AL2117">
        <v>1.0900000000000001</v>
      </c>
    </row>
    <row r="2118" spans="1:38" x14ac:dyDescent="0.3">
      <c r="A2118" t="s">
        <v>1813</v>
      </c>
      <c r="B2118">
        <v>115980</v>
      </c>
      <c r="C2118">
        <v>3</v>
      </c>
      <c r="D2118" t="s">
        <v>2742</v>
      </c>
      <c r="E2118" t="s">
        <v>1233</v>
      </c>
      <c r="F2118">
        <v>11</v>
      </c>
      <c r="G2118">
        <v>18.71</v>
      </c>
      <c r="H2118">
        <v>61.86</v>
      </c>
      <c r="I2118">
        <v>15.54</v>
      </c>
      <c r="J2118">
        <v>51.39</v>
      </c>
      <c r="K2118">
        <v>1</v>
      </c>
      <c r="T2118">
        <v>2</v>
      </c>
      <c r="U2118">
        <v>1</v>
      </c>
      <c r="V2118" t="s">
        <v>93</v>
      </c>
      <c r="W2118" t="s">
        <v>693</v>
      </c>
      <c r="X2118">
        <v>13</v>
      </c>
      <c r="Y2118">
        <v>10</v>
      </c>
      <c r="Z2118" t="s">
        <v>2743</v>
      </c>
      <c r="AA2118" t="s">
        <v>2744</v>
      </c>
      <c r="AB2118" t="s">
        <v>96</v>
      </c>
      <c r="AC2118" t="s">
        <v>97</v>
      </c>
      <c r="AD2118" t="s">
        <v>1818</v>
      </c>
      <c r="AG2118" t="s">
        <v>2745</v>
      </c>
      <c r="AH2118">
        <v>0</v>
      </c>
      <c r="AI2118">
        <v>629</v>
      </c>
      <c r="AJ2118">
        <v>67</v>
      </c>
      <c r="AK2118">
        <v>12</v>
      </c>
      <c r="AL2118">
        <v>1.0900000000000001</v>
      </c>
    </row>
    <row r="2119" spans="1:38" x14ac:dyDescent="0.3">
      <c r="A2119" t="s">
        <v>1813</v>
      </c>
      <c r="B2119">
        <v>115980</v>
      </c>
      <c r="C2119">
        <v>4</v>
      </c>
      <c r="D2119" t="s">
        <v>2742</v>
      </c>
      <c r="E2119" t="s">
        <v>1233</v>
      </c>
      <c r="F2119">
        <v>11</v>
      </c>
      <c r="G2119">
        <v>19.36</v>
      </c>
      <c r="H2119">
        <v>64.02</v>
      </c>
      <c r="I2119">
        <v>15.81</v>
      </c>
      <c r="J2119">
        <v>52.27</v>
      </c>
      <c r="K2119">
        <v>1</v>
      </c>
      <c r="T2119">
        <v>2</v>
      </c>
      <c r="U2119">
        <v>1</v>
      </c>
      <c r="V2119" t="s">
        <v>93</v>
      </c>
      <c r="W2119" t="s">
        <v>275</v>
      </c>
      <c r="X2119">
        <v>13</v>
      </c>
      <c r="Y2119">
        <v>10</v>
      </c>
      <c r="Z2119" t="s">
        <v>2743</v>
      </c>
      <c r="AA2119" t="s">
        <v>2744</v>
      </c>
      <c r="AB2119" t="s">
        <v>96</v>
      </c>
      <c r="AC2119" t="s">
        <v>97</v>
      </c>
      <c r="AD2119" t="s">
        <v>1818</v>
      </c>
      <c r="AG2119" t="s">
        <v>2745</v>
      </c>
      <c r="AH2119">
        <v>0</v>
      </c>
      <c r="AI2119">
        <v>629</v>
      </c>
      <c r="AJ2119">
        <v>67</v>
      </c>
      <c r="AK2119">
        <v>12</v>
      </c>
      <c r="AL2119">
        <v>1.0900000000000001</v>
      </c>
    </row>
    <row r="2120" spans="1:38" x14ac:dyDescent="0.3">
      <c r="A2120" t="s">
        <v>1813</v>
      </c>
      <c r="B2120">
        <v>115980</v>
      </c>
      <c r="C2120">
        <v>5</v>
      </c>
      <c r="D2120" t="s">
        <v>2742</v>
      </c>
      <c r="E2120" t="s">
        <v>1233</v>
      </c>
      <c r="F2120">
        <v>11</v>
      </c>
      <c r="G2120">
        <v>23.73</v>
      </c>
      <c r="H2120">
        <v>78.459999999999994</v>
      </c>
      <c r="I2120">
        <v>19.809999999999999</v>
      </c>
      <c r="J2120">
        <v>65.489999999999995</v>
      </c>
      <c r="K2120">
        <v>1</v>
      </c>
      <c r="T2120">
        <v>3</v>
      </c>
      <c r="U2120">
        <v>1</v>
      </c>
      <c r="V2120" t="s">
        <v>93</v>
      </c>
      <c r="W2120">
        <v>78</v>
      </c>
      <c r="X2120">
        <v>13</v>
      </c>
      <c r="Y2120">
        <v>10</v>
      </c>
      <c r="Z2120" t="s">
        <v>2743</v>
      </c>
      <c r="AA2120" t="s">
        <v>2744</v>
      </c>
      <c r="AB2120" t="s">
        <v>96</v>
      </c>
      <c r="AC2120" t="s">
        <v>97</v>
      </c>
      <c r="AD2120" t="s">
        <v>1818</v>
      </c>
      <c r="AG2120" t="s">
        <v>2745</v>
      </c>
      <c r="AH2120">
        <v>0</v>
      </c>
      <c r="AI2120">
        <v>629</v>
      </c>
      <c r="AJ2120">
        <v>67</v>
      </c>
      <c r="AK2120">
        <v>12</v>
      </c>
      <c r="AL2120">
        <v>1.0900000000000001</v>
      </c>
    </row>
    <row r="2121" spans="1:38" x14ac:dyDescent="0.3">
      <c r="A2121" t="s">
        <v>1813</v>
      </c>
      <c r="B2121">
        <v>115980</v>
      </c>
      <c r="C2121">
        <v>6</v>
      </c>
      <c r="D2121" t="s">
        <v>2742</v>
      </c>
      <c r="E2121" t="s">
        <v>1233</v>
      </c>
      <c r="F2121">
        <v>11</v>
      </c>
      <c r="G2121">
        <v>24.61</v>
      </c>
      <c r="H2121">
        <v>81.37</v>
      </c>
      <c r="I2121">
        <v>20.6</v>
      </c>
      <c r="J2121">
        <v>68.11</v>
      </c>
      <c r="K2121">
        <v>1</v>
      </c>
      <c r="T2121">
        <v>3</v>
      </c>
      <c r="U2121">
        <v>2</v>
      </c>
      <c r="V2121" t="s">
        <v>93</v>
      </c>
      <c r="W2121">
        <v>81</v>
      </c>
      <c r="X2121">
        <v>13</v>
      </c>
      <c r="Y2121">
        <v>10</v>
      </c>
      <c r="Z2121" t="s">
        <v>2743</v>
      </c>
      <c r="AA2121" t="s">
        <v>2744</v>
      </c>
      <c r="AB2121" t="s">
        <v>96</v>
      </c>
      <c r="AC2121" t="s">
        <v>97</v>
      </c>
      <c r="AD2121" t="s">
        <v>1818</v>
      </c>
      <c r="AG2121" t="s">
        <v>2745</v>
      </c>
      <c r="AH2121">
        <v>0</v>
      </c>
      <c r="AI2121">
        <v>629</v>
      </c>
      <c r="AJ2121">
        <v>67</v>
      </c>
      <c r="AK2121">
        <v>12</v>
      </c>
      <c r="AL2121">
        <v>1.0900000000000001</v>
      </c>
    </row>
    <row r="2122" spans="1:38" x14ac:dyDescent="0.3">
      <c r="A2122" t="s">
        <v>1813</v>
      </c>
      <c r="B2122">
        <v>115980</v>
      </c>
      <c r="C2122">
        <v>7</v>
      </c>
      <c r="D2122" t="s">
        <v>2742</v>
      </c>
      <c r="E2122" t="s">
        <v>1233</v>
      </c>
      <c r="F2122">
        <v>11</v>
      </c>
      <c r="G2122">
        <v>25.67</v>
      </c>
      <c r="H2122">
        <v>84.88</v>
      </c>
      <c r="I2122">
        <v>21.32</v>
      </c>
      <c r="J2122">
        <v>70.48</v>
      </c>
      <c r="K2122">
        <v>2</v>
      </c>
      <c r="T2122">
        <v>3</v>
      </c>
      <c r="U2122">
        <v>2</v>
      </c>
      <c r="V2122" t="s">
        <v>93</v>
      </c>
      <c r="W2122" t="s">
        <v>819</v>
      </c>
      <c r="X2122">
        <v>13</v>
      </c>
      <c r="Y2122">
        <v>10</v>
      </c>
      <c r="Z2122" t="s">
        <v>2743</v>
      </c>
      <c r="AA2122" t="s">
        <v>2744</v>
      </c>
      <c r="AB2122" t="s">
        <v>96</v>
      </c>
      <c r="AC2122" t="s">
        <v>97</v>
      </c>
      <c r="AD2122" t="s">
        <v>1818</v>
      </c>
      <c r="AG2122" t="s">
        <v>2745</v>
      </c>
      <c r="AH2122">
        <v>0</v>
      </c>
      <c r="AI2122">
        <v>629</v>
      </c>
      <c r="AJ2122">
        <v>67</v>
      </c>
      <c r="AK2122">
        <v>12</v>
      </c>
      <c r="AL2122">
        <v>1.0900000000000001</v>
      </c>
    </row>
    <row r="2123" spans="1:38" x14ac:dyDescent="0.3">
      <c r="A2123" t="s">
        <v>1813</v>
      </c>
      <c r="B2123">
        <v>115980</v>
      </c>
      <c r="C2123">
        <v>8</v>
      </c>
      <c r="D2123" t="s">
        <v>2742</v>
      </c>
      <c r="E2123" t="s">
        <v>1233</v>
      </c>
      <c r="F2123">
        <v>11</v>
      </c>
      <c r="G2123">
        <v>25.81</v>
      </c>
      <c r="H2123">
        <v>85.33</v>
      </c>
      <c r="I2123">
        <v>21.63</v>
      </c>
      <c r="J2123">
        <v>71.52</v>
      </c>
      <c r="K2123">
        <v>1</v>
      </c>
      <c r="T2123">
        <v>3</v>
      </c>
      <c r="U2123">
        <v>2</v>
      </c>
      <c r="V2123" t="s">
        <v>93</v>
      </c>
      <c r="W2123" t="s">
        <v>222</v>
      </c>
      <c r="X2123">
        <v>13</v>
      </c>
      <c r="Y2123">
        <v>10</v>
      </c>
      <c r="Z2123" t="s">
        <v>2743</v>
      </c>
      <c r="AA2123" t="s">
        <v>2744</v>
      </c>
      <c r="AB2123" t="s">
        <v>96</v>
      </c>
      <c r="AC2123" t="s">
        <v>97</v>
      </c>
      <c r="AD2123" t="s">
        <v>1818</v>
      </c>
      <c r="AG2123" t="s">
        <v>2745</v>
      </c>
      <c r="AH2123">
        <v>0</v>
      </c>
      <c r="AI2123">
        <v>629</v>
      </c>
      <c r="AJ2123">
        <v>67</v>
      </c>
      <c r="AK2123">
        <v>12</v>
      </c>
      <c r="AL2123">
        <v>1.0900000000000001</v>
      </c>
    </row>
    <row r="2124" spans="1:38" x14ac:dyDescent="0.3">
      <c r="A2124" t="s">
        <v>1813</v>
      </c>
      <c r="B2124">
        <v>115980</v>
      </c>
      <c r="C2124">
        <v>9</v>
      </c>
      <c r="D2124" t="s">
        <v>2742</v>
      </c>
      <c r="E2124" t="s">
        <v>1233</v>
      </c>
      <c r="F2124">
        <v>11</v>
      </c>
      <c r="G2124">
        <v>26.1</v>
      </c>
      <c r="H2124">
        <v>86.31</v>
      </c>
      <c r="I2124">
        <v>21.58</v>
      </c>
      <c r="J2124">
        <v>71.36</v>
      </c>
      <c r="K2124">
        <v>2</v>
      </c>
      <c r="T2124">
        <v>3</v>
      </c>
      <c r="U2124">
        <v>2</v>
      </c>
      <c r="V2124" t="s">
        <v>93</v>
      </c>
      <c r="W2124" t="s">
        <v>384</v>
      </c>
      <c r="X2124">
        <v>13</v>
      </c>
      <c r="Y2124">
        <v>10</v>
      </c>
      <c r="Z2124" t="s">
        <v>2743</v>
      </c>
      <c r="AA2124" t="s">
        <v>2744</v>
      </c>
      <c r="AB2124" t="s">
        <v>96</v>
      </c>
      <c r="AC2124" t="s">
        <v>97</v>
      </c>
      <c r="AD2124" t="s">
        <v>1818</v>
      </c>
      <c r="AG2124" t="s">
        <v>2745</v>
      </c>
      <c r="AH2124">
        <v>0</v>
      </c>
      <c r="AI2124">
        <v>629</v>
      </c>
      <c r="AJ2124">
        <v>67</v>
      </c>
      <c r="AK2124">
        <v>12</v>
      </c>
      <c r="AL2124">
        <v>1.0900000000000001</v>
      </c>
    </row>
    <row r="2125" spans="1:38" x14ac:dyDescent="0.3">
      <c r="A2125" t="s">
        <v>1813</v>
      </c>
      <c r="B2125">
        <v>120041</v>
      </c>
      <c r="C2125">
        <v>1</v>
      </c>
      <c r="D2125" t="s">
        <v>2746</v>
      </c>
      <c r="E2125" t="s">
        <v>870</v>
      </c>
      <c r="F2125">
        <v>27</v>
      </c>
      <c r="G2125">
        <v>17.149999999999999</v>
      </c>
      <c r="H2125">
        <v>56.72</v>
      </c>
      <c r="I2125">
        <v>12.63</v>
      </c>
      <c r="J2125">
        <v>41.76</v>
      </c>
      <c r="K2125">
        <v>3</v>
      </c>
      <c r="T2125">
        <v>2</v>
      </c>
      <c r="U2125">
        <v>1</v>
      </c>
      <c r="V2125" t="s">
        <v>93</v>
      </c>
      <c r="W2125" t="s">
        <v>687</v>
      </c>
      <c r="X2125">
        <v>15</v>
      </c>
      <c r="Y2125">
        <v>15</v>
      </c>
      <c r="Z2125" t="s">
        <v>2747</v>
      </c>
      <c r="AA2125" t="s">
        <v>2748</v>
      </c>
      <c r="AB2125" t="s">
        <v>96</v>
      </c>
      <c r="AC2125" t="s">
        <v>97</v>
      </c>
      <c r="AD2125" t="s">
        <v>1818</v>
      </c>
      <c r="AG2125" t="s">
        <v>2749</v>
      </c>
      <c r="AH2125">
        <v>0</v>
      </c>
      <c r="AI2125">
        <v>947</v>
      </c>
      <c r="AJ2125">
        <v>78</v>
      </c>
      <c r="AK2125">
        <v>27</v>
      </c>
      <c r="AL2125">
        <v>1</v>
      </c>
    </row>
    <row r="2126" spans="1:38" x14ac:dyDescent="0.3">
      <c r="A2126" t="s">
        <v>1813</v>
      </c>
      <c r="B2126">
        <v>120041</v>
      </c>
      <c r="C2126">
        <v>2</v>
      </c>
      <c r="D2126" t="s">
        <v>2746</v>
      </c>
      <c r="E2126" t="s">
        <v>870</v>
      </c>
      <c r="F2126">
        <v>27</v>
      </c>
      <c r="G2126">
        <v>17.309999999999999</v>
      </c>
      <c r="H2126">
        <v>57.25</v>
      </c>
      <c r="I2126">
        <v>12.75</v>
      </c>
      <c r="J2126">
        <v>42.17</v>
      </c>
      <c r="K2126">
        <v>6</v>
      </c>
      <c r="T2126">
        <v>2</v>
      </c>
      <c r="U2126">
        <v>1</v>
      </c>
      <c r="V2126" t="s">
        <v>93</v>
      </c>
      <c r="W2126" t="s">
        <v>349</v>
      </c>
      <c r="X2126">
        <v>15</v>
      </c>
      <c r="Y2126">
        <v>15</v>
      </c>
      <c r="Z2126" t="s">
        <v>2747</v>
      </c>
      <c r="AA2126" t="s">
        <v>2748</v>
      </c>
      <c r="AB2126" t="s">
        <v>96</v>
      </c>
      <c r="AC2126" t="s">
        <v>97</v>
      </c>
      <c r="AD2126" t="s">
        <v>1818</v>
      </c>
      <c r="AG2126" t="s">
        <v>2749</v>
      </c>
      <c r="AH2126">
        <v>0</v>
      </c>
      <c r="AI2126">
        <v>947</v>
      </c>
      <c r="AJ2126">
        <v>78</v>
      </c>
      <c r="AK2126">
        <v>27</v>
      </c>
      <c r="AL2126">
        <v>1</v>
      </c>
    </row>
    <row r="2127" spans="1:38" x14ac:dyDescent="0.3">
      <c r="A2127" t="s">
        <v>1813</v>
      </c>
      <c r="B2127">
        <v>120041</v>
      </c>
      <c r="C2127">
        <v>3</v>
      </c>
      <c r="D2127" t="s">
        <v>2746</v>
      </c>
      <c r="E2127" t="s">
        <v>870</v>
      </c>
      <c r="F2127">
        <v>27</v>
      </c>
      <c r="G2127">
        <v>18.93</v>
      </c>
      <c r="H2127">
        <v>62.59</v>
      </c>
      <c r="I2127">
        <v>14</v>
      </c>
      <c r="J2127">
        <v>46.29</v>
      </c>
      <c r="K2127">
        <v>6</v>
      </c>
      <c r="T2127">
        <v>2</v>
      </c>
      <c r="U2127">
        <v>1</v>
      </c>
      <c r="V2127" t="s">
        <v>93</v>
      </c>
      <c r="W2127" t="s">
        <v>255</v>
      </c>
      <c r="X2127">
        <v>15</v>
      </c>
      <c r="Y2127">
        <v>15</v>
      </c>
      <c r="Z2127" t="s">
        <v>2747</v>
      </c>
      <c r="AA2127" t="s">
        <v>2748</v>
      </c>
      <c r="AB2127" t="s">
        <v>96</v>
      </c>
      <c r="AC2127" t="s">
        <v>97</v>
      </c>
      <c r="AD2127" t="s">
        <v>1818</v>
      </c>
      <c r="AG2127" t="s">
        <v>2749</v>
      </c>
      <c r="AH2127">
        <v>0</v>
      </c>
      <c r="AI2127">
        <v>947</v>
      </c>
      <c r="AJ2127">
        <v>78</v>
      </c>
      <c r="AK2127">
        <v>27</v>
      </c>
      <c r="AL2127">
        <v>1</v>
      </c>
    </row>
    <row r="2128" spans="1:38" x14ac:dyDescent="0.3">
      <c r="A2128" t="s">
        <v>1813</v>
      </c>
      <c r="B2128">
        <v>120041</v>
      </c>
      <c r="C2128">
        <v>4</v>
      </c>
      <c r="D2128" t="s">
        <v>2746</v>
      </c>
      <c r="E2128" t="s">
        <v>870</v>
      </c>
      <c r="F2128">
        <v>27</v>
      </c>
      <c r="G2128">
        <v>19.48</v>
      </c>
      <c r="H2128">
        <v>64.400000000000006</v>
      </c>
      <c r="I2128">
        <v>14.39</v>
      </c>
      <c r="J2128">
        <v>47.6</v>
      </c>
      <c r="K2128">
        <v>3</v>
      </c>
      <c r="T2128">
        <v>2</v>
      </c>
      <c r="U2128">
        <v>1</v>
      </c>
      <c r="V2128" t="s">
        <v>93</v>
      </c>
      <c r="W2128" t="s">
        <v>279</v>
      </c>
      <c r="X2128">
        <v>15</v>
      </c>
      <c r="Y2128">
        <v>15</v>
      </c>
      <c r="Z2128" t="s">
        <v>2747</v>
      </c>
      <c r="AA2128" t="s">
        <v>2748</v>
      </c>
      <c r="AB2128" t="s">
        <v>96</v>
      </c>
      <c r="AC2128" t="s">
        <v>97</v>
      </c>
      <c r="AD2128" t="s">
        <v>1818</v>
      </c>
      <c r="AG2128" t="s">
        <v>2749</v>
      </c>
      <c r="AH2128">
        <v>0</v>
      </c>
      <c r="AI2128">
        <v>947</v>
      </c>
      <c r="AJ2128">
        <v>78</v>
      </c>
      <c r="AK2128">
        <v>27</v>
      </c>
      <c r="AL2128">
        <v>1</v>
      </c>
    </row>
    <row r="2129" spans="1:38" x14ac:dyDescent="0.3">
      <c r="A2129" t="s">
        <v>1813</v>
      </c>
      <c r="B2129">
        <v>120041</v>
      </c>
      <c r="C2129">
        <v>5</v>
      </c>
      <c r="D2129" t="s">
        <v>2746</v>
      </c>
      <c r="E2129" t="s">
        <v>870</v>
      </c>
      <c r="F2129">
        <v>27</v>
      </c>
      <c r="G2129">
        <v>19.7</v>
      </c>
      <c r="H2129">
        <v>65.13</v>
      </c>
      <c r="I2129">
        <v>14.52</v>
      </c>
      <c r="J2129">
        <v>48.02</v>
      </c>
      <c r="K2129">
        <v>3</v>
      </c>
      <c r="T2129">
        <v>3</v>
      </c>
      <c r="U2129">
        <v>1</v>
      </c>
      <c r="V2129" t="s">
        <v>93</v>
      </c>
      <c r="W2129" t="s">
        <v>197</v>
      </c>
      <c r="X2129">
        <v>15</v>
      </c>
      <c r="Y2129">
        <v>15</v>
      </c>
      <c r="Z2129" t="s">
        <v>2747</v>
      </c>
      <c r="AA2129" t="s">
        <v>2748</v>
      </c>
      <c r="AB2129" t="s">
        <v>96</v>
      </c>
      <c r="AC2129" t="s">
        <v>97</v>
      </c>
      <c r="AD2129" t="s">
        <v>1818</v>
      </c>
      <c r="AG2129" t="s">
        <v>2749</v>
      </c>
      <c r="AH2129">
        <v>0</v>
      </c>
      <c r="AI2129">
        <v>947</v>
      </c>
      <c r="AJ2129">
        <v>78</v>
      </c>
      <c r="AK2129">
        <v>27</v>
      </c>
      <c r="AL2129">
        <v>1</v>
      </c>
    </row>
    <row r="2130" spans="1:38" x14ac:dyDescent="0.3">
      <c r="A2130" t="s">
        <v>1813</v>
      </c>
      <c r="B2130">
        <v>120041</v>
      </c>
      <c r="C2130">
        <v>6</v>
      </c>
      <c r="D2130" t="s">
        <v>2746</v>
      </c>
      <c r="E2130" t="s">
        <v>870</v>
      </c>
      <c r="F2130">
        <v>27</v>
      </c>
      <c r="G2130">
        <v>20.28</v>
      </c>
      <c r="H2130">
        <v>67.06</v>
      </c>
      <c r="I2130">
        <v>15.04</v>
      </c>
      <c r="J2130">
        <v>49.72</v>
      </c>
      <c r="K2130">
        <v>3</v>
      </c>
      <c r="T2130">
        <v>3</v>
      </c>
      <c r="U2130">
        <v>1</v>
      </c>
      <c r="V2130" t="s">
        <v>93</v>
      </c>
      <c r="W2130" t="s">
        <v>858</v>
      </c>
      <c r="X2130">
        <v>15</v>
      </c>
      <c r="Y2130">
        <v>15</v>
      </c>
      <c r="Z2130" t="s">
        <v>2747</v>
      </c>
      <c r="AA2130" t="s">
        <v>2748</v>
      </c>
      <c r="AB2130" t="s">
        <v>96</v>
      </c>
      <c r="AC2130" t="s">
        <v>97</v>
      </c>
      <c r="AD2130" t="s">
        <v>1818</v>
      </c>
      <c r="AG2130" t="s">
        <v>2749</v>
      </c>
      <c r="AH2130">
        <v>0</v>
      </c>
      <c r="AI2130">
        <v>947</v>
      </c>
      <c r="AJ2130">
        <v>78</v>
      </c>
      <c r="AK2130">
        <v>27</v>
      </c>
      <c r="AL2130">
        <v>1</v>
      </c>
    </row>
    <row r="2131" spans="1:38" x14ac:dyDescent="0.3">
      <c r="A2131" t="s">
        <v>1813</v>
      </c>
      <c r="B2131">
        <v>120041</v>
      </c>
      <c r="C2131">
        <v>7</v>
      </c>
      <c r="D2131" t="s">
        <v>2746</v>
      </c>
      <c r="E2131" t="s">
        <v>870</v>
      </c>
      <c r="F2131">
        <v>27</v>
      </c>
      <c r="G2131">
        <v>22.07</v>
      </c>
      <c r="H2131">
        <v>72.959999999999994</v>
      </c>
      <c r="I2131">
        <v>16.41</v>
      </c>
      <c r="J2131">
        <v>54.28</v>
      </c>
      <c r="K2131">
        <v>3</v>
      </c>
      <c r="T2131">
        <v>3</v>
      </c>
      <c r="U2131">
        <v>1</v>
      </c>
      <c r="V2131" t="s">
        <v>93</v>
      </c>
      <c r="W2131">
        <v>72</v>
      </c>
      <c r="X2131">
        <v>15</v>
      </c>
      <c r="Y2131">
        <v>15</v>
      </c>
      <c r="Z2131" t="s">
        <v>2747</v>
      </c>
      <c r="AA2131" t="s">
        <v>2748</v>
      </c>
      <c r="AB2131" t="s">
        <v>96</v>
      </c>
      <c r="AC2131" t="s">
        <v>97</v>
      </c>
      <c r="AD2131" t="s">
        <v>1818</v>
      </c>
      <c r="AG2131" t="s">
        <v>2749</v>
      </c>
      <c r="AH2131">
        <v>0</v>
      </c>
      <c r="AI2131">
        <v>947</v>
      </c>
      <c r="AJ2131">
        <v>78</v>
      </c>
      <c r="AK2131">
        <v>27</v>
      </c>
      <c r="AL2131">
        <v>1</v>
      </c>
    </row>
    <row r="2132" spans="1:38" x14ac:dyDescent="0.3">
      <c r="A2132" t="s">
        <v>1813</v>
      </c>
      <c r="B2132">
        <v>25095</v>
      </c>
      <c r="C2132">
        <v>1</v>
      </c>
      <c r="D2132" t="s">
        <v>2750</v>
      </c>
      <c r="E2132" t="s">
        <v>2751</v>
      </c>
      <c r="F2132">
        <v>99</v>
      </c>
      <c r="G2132">
        <v>23.07</v>
      </c>
      <c r="H2132">
        <v>76.28</v>
      </c>
      <c r="I2132">
        <v>17.5</v>
      </c>
      <c r="J2132">
        <v>57.87</v>
      </c>
      <c r="K2132">
        <v>37</v>
      </c>
      <c r="T2132">
        <v>3</v>
      </c>
      <c r="U2132">
        <v>1</v>
      </c>
      <c r="V2132" t="s">
        <v>93</v>
      </c>
      <c r="W2132">
        <v>76</v>
      </c>
      <c r="X2132">
        <v>15</v>
      </c>
      <c r="Y2132">
        <v>7</v>
      </c>
      <c r="Z2132" t="s">
        <v>2752</v>
      </c>
      <c r="AA2132" t="s">
        <v>2753</v>
      </c>
      <c r="AB2132" t="s">
        <v>96</v>
      </c>
      <c r="AC2132" t="s">
        <v>97</v>
      </c>
      <c r="AD2132" t="s">
        <v>1818</v>
      </c>
      <c r="AG2132" t="s">
        <v>2754</v>
      </c>
      <c r="AH2132">
        <v>0</v>
      </c>
      <c r="AI2132">
        <v>235</v>
      </c>
      <c r="AJ2132">
        <v>23</v>
      </c>
      <c r="AK2132">
        <v>100</v>
      </c>
      <c r="AL2132">
        <v>1.01</v>
      </c>
    </row>
    <row r="2133" spans="1:38" x14ac:dyDescent="0.3">
      <c r="A2133" t="s">
        <v>1813</v>
      </c>
      <c r="B2133">
        <v>25095</v>
      </c>
      <c r="C2133">
        <v>2</v>
      </c>
      <c r="D2133" t="s">
        <v>2750</v>
      </c>
      <c r="E2133" t="s">
        <v>2751</v>
      </c>
      <c r="F2133">
        <v>99</v>
      </c>
      <c r="G2133">
        <v>32.01</v>
      </c>
      <c r="H2133">
        <v>105.82</v>
      </c>
      <c r="I2133">
        <v>25.7</v>
      </c>
      <c r="J2133">
        <v>84.96</v>
      </c>
      <c r="K2133">
        <v>62</v>
      </c>
      <c r="T2133">
        <v>3</v>
      </c>
      <c r="U2133">
        <v>2</v>
      </c>
      <c r="V2133" t="s">
        <v>93</v>
      </c>
      <c r="W2133">
        <v>105</v>
      </c>
      <c r="X2133">
        <v>15</v>
      </c>
      <c r="Y2133">
        <v>7</v>
      </c>
      <c r="Z2133" t="s">
        <v>2752</v>
      </c>
      <c r="AA2133" t="s">
        <v>2753</v>
      </c>
      <c r="AB2133" t="s">
        <v>96</v>
      </c>
      <c r="AC2133" t="s">
        <v>97</v>
      </c>
      <c r="AD2133" t="s">
        <v>1818</v>
      </c>
      <c r="AG2133" t="s">
        <v>2754</v>
      </c>
      <c r="AH2133">
        <v>0</v>
      </c>
      <c r="AI2133">
        <v>235</v>
      </c>
      <c r="AJ2133">
        <v>23</v>
      </c>
      <c r="AK2133">
        <v>100</v>
      </c>
      <c r="AL2133">
        <v>1.01</v>
      </c>
    </row>
    <row r="2134" spans="1:38" x14ac:dyDescent="0.3">
      <c r="A2134" t="s">
        <v>1813</v>
      </c>
      <c r="B2134">
        <v>120185</v>
      </c>
      <c r="C2134">
        <v>1</v>
      </c>
      <c r="D2134" t="s">
        <v>2755</v>
      </c>
      <c r="E2134" t="s">
        <v>1303</v>
      </c>
      <c r="F2134">
        <v>54</v>
      </c>
      <c r="G2134">
        <v>18.68</v>
      </c>
      <c r="H2134">
        <v>61.77</v>
      </c>
      <c r="I2134">
        <v>15.75</v>
      </c>
      <c r="J2134">
        <v>52.07</v>
      </c>
      <c r="K2134">
        <v>18</v>
      </c>
      <c r="T2134">
        <v>3</v>
      </c>
      <c r="U2134">
        <v>2</v>
      </c>
      <c r="V2134" t="s">
        <v>132</v>
      </c>
      <c r="W2134" t="s">
        <v>693</v>
      </c>
      <c r="X2134">
        <v>14</v>
      </c>
      <c r="Y2134">
        <v>14</v>
      </c>
      <c r="Z2134" t="s">
        <v>2756</v>
      </c>
      <c r="AA2134" t="s">
        <v>2757</v>
      </c>
      <c r="AB2134" t="s">
        <v>96</v>
      </c>
      <c r="AC2134" t="s">
        <v>97</v>
      </c>
      <c r="AD2134" t="s">
        <v>1818</v>
      </c>
      <c r="AG2134" t="s">
        <v>2758</v>
      </c>
      <c r="AH2134">
        <v>0</v>
      </c>
      <c r="AI2134">
        <v>749</v>
      </c>
      <c r="AJ2134">
        <v>78</v>
      </c>
      <c r="AK2134">
        <v>42</v>
      </c>
      <c r="AL2134">
        <v>0.78</v>
      </c>
    </row>
    <row r="2135" spans="1:38" x14ac:dyDescent="0.3">
      <c r="A2135" t="s">
        <v>1813</v>
      </c>
      <c r="B2135">
        <v>120185</v>
      </c>
      <c r="C2135">
        <v>2</v>
      </c>
      <c r="D2135" t="s">
        <v>2755</v>
      </c>
      <c r="E2135" t="s">
        <v>1303</v>
      </c>
      <c r="F2135">
        <v>54</v>
      </c>
      <c r="G2135">
        <v>18.940000000000001</v>
      </c>
      <c r="H2135">
        <v>62.64</v>
      </c>
      <c r="I2135">
        <v>15.78</v>
      </c>
      <c r="J2135">
        <v>52.17</v>
      </c>
      <c r="K2135">
        <v>18</v>
      </c>
      <c r="T2135">
        <v>3</v>
      </c>
      <c r="U2135">
        <v>2</v>
      </c>
      <c r="V2135" t="s">
        <v>132</v>
      </c>
      <c r="W2135" t="s">
        <v>255</v>
      </c>
      <c r="X2135">
        <v>14</v>
      </c>
      <c r="Y2135">
        <v>14</v>
      </c>
      <c r="Z2135" t="s">
        <v>2756</v>
      </c>
      <c r="AA2135" t="s">
        <v>2757</v>
      </c>
      <c r="AB2135" t="s">
        <v>96</v>
      </c>
      <c r="AC2135" t="s">
        <v>97</v>
      </c>
      <c r="AD2135" t="s">
        <v>1818</v>
      </c>
      <c r="AG2135" t="s">
        <v>2758</v>
      </c>
      <c r="AH2135">
        <v>0</v>
      </c>
      <c r="AI2135">
        <v>749</v>
      </c>
      <c r="AJ2135">
        <v>78</v>
      </c>
      <c r="AK2135">
        <v>42</v>
      </c>
      <c r="AL2135">
        <v>0.78</v>
      </c>
    </row>
    <row r="2136" spans="1:38" x14ac:dyDescent="0.3">
      <c r="A2136" t="s">
        <v>1813</v>
      </c>
      <c r="B2136">
        <v>120185</v>
      </c>
      <c r="C2136">
        <v>3</v>
      </c>
      <c r="D2136" t="s">
        <v>2755</v>
      </c>
      <c r="E2136" t="s">
        <v>1303</v>
      </c>
      <c r="F2136">
        <v>54</v>
      </c>
      <c r="G2136">
        <v>19.690000000000001</v>
      </c>
      <c r="H2136">
        <v>65.12</v>
      </c>
      <c r="I2136">
        <v>16.23</v>
      </c>
      <c r="J2136">
        <v>53.67</v>
      </c>
      <c r="K2136">
        <v>9</v>
      </c>
      <c r="T2136">
        <v>3</v>
      </c>
      <c r="U2136">
        <v>2</v>
      </c>
      <c r="V2136" t="s">
        <v>132</v>
      </c>
      <c r="W2136" t="s">
        <v>197</v>
      </c>
      <c r="X2136">
        <v>14</v>
      </c>
      <c r="Y2136">
        <v>14</v>
      </c>
      <c r="Z2136" t="s">
        <v>2756</v>
      </c>
      <c r="AA2136" t="s">
        <v>2757</v>
      </c>
      <c r="AB2136" t="s">
        <v>96</v>
      </c>
      <c r="AC2136" t="s">
        <v>97</v>
      </c>
      <c r="AD2136" t="s">
        <v>1818</v>
      </c>
      <c r="AG2136" t="s">
        <v>2758</v>
      </c>
      <c r="AH2136">
        <v>0</v>
      </c>
      <c r="AI2136">
        <v>749</v>
      </c>
      <c r="AJ2136">
        <v>78</v>
      </c>
      <c r="AK2136">
        <v>42</v>
      </c>
      <c r="AL2136">
        <v>0.78</v>
      </c>
    </row>
    <row r="2137" spans="1:38" x14ac:dyDescent="0.3">
      <c r="A2137" t="s">
        <v>1813</v>
      </c>
      <c r="B2137">
        <v>120185</v>
      </c>
      <c r="C2137">
        <v>4</v>
      </c>
      <c r="D2137" t="s">
        <v>2755</v>
      </c>
      <c r="E2137" t="s">
        <v>1303</v>
      </c>
      <c r="F2137">
        <v>54</v>
      </c>
      <c r="G2137">
        <v>19.77</v>
      </c>
      <c r="H2137">
        <v>65.37</v>
      </c>
      <c r="I2137">
        <v>16.350000000000001</v>
      </c>
      <c r="J2137">
        <v>54.05</v>
      </c>
      <c r="K2137">
        <v>9</v>
      </c>
      <c r="T2137">
        <v>3</v>
      </c>
      <c r="U2137">
        <v>2</v>
      </c>
      <c r="V2137" t="s">
        <v>132</v>
      </c>
      <c r="W2137" t="s">
        <v>196</v>
      </c>
      <c r="X2137">
        <v>14</v>
      </c>
      <c r="Y2137">
        <v>14</v>
      </c>
      <c r="Z2137" t="s">
        <v>2756</v>
      </c>
      <c r="AA2137" t="s">
        <v>2757</v>
      </c>
      <c r="AB2137" t="s">
        <v>96</v>
      </c>
      <c r="AC2137" t="s">
        <v>97</v>
      </c>
      <c r="AD2137" t="s">
        <v>1818</v>
      </c>
      <c r="AG2137" t="s">
        <v>2758</v>
      </c>
      <c r="AH2137">
        <v>0</v>
      </c>
      <c r="AI2137">
        <v>749</v>
      </c>
      <c r="AJ2137">
        <v>78</v>
      </c>
      <c r="AK2137">
        <v>42</v>
      </c>
      <c r="AL2137">
        <v>0.78</v>
      </c>
    </row>
    <row r="2138" spans="1:38" x14ac:dyDescent="0.3">
      <c r="A2138" t="s">
        <v>1813</v>
      </c>
      <c r="B2138">
        <v>126419</v>
      </c>
      <c r="C2138">
        <v>1</v>
      </c>
      <c r="D2138" t="s">
        <v>2759</v>
      </c>
      <c r="E2138" t="s">
        <v>292</v>
      </c>
      <c r="F2138">
        <v>9</v>
      </c>
      <c r="G2138">
        <v>20.38</v>
      </c>
      <c r="H2138">
        <v>67.38</v>
      </c>
      <c r="I2138">
        <v>16.86</v>
      </c>
      <c r="J2138">
        <v>55.76</v>
      </c>
      <c r="K2138">
        <v>3</v>
      </c>
      <c r="T2138">
        <v>3</v>
      </c>
      <c r="U2138">
        <v>2</v>
      </c>
      <c r="V2138" t="s">
        <v>93</v>
      </c>
      <c r="W2138">
        <v>67</v>
      </c>
      <c r="X2138">
        <v>11</v>
      </c>
      <c r="Y2138">
        <v>11</v>
      </c>
      <c r="Z2138" t="s">
        <v>2760</v>
      </c>
      <c r="AA2138" t="s">
        <v>2761</v>
      </c>
      <c r="AB2138" t="s">
        <v>96</v>
      </c>
      <c r="AC2138" t="s">
        <v>97</v>
      </c>
      <c r="AD2138" t="s">
        <v>1818</v>
      </c>
      <c r="AG2138" t="s">
        <v>2762</v>
      </c>
      <c r="AH2138">
        <v>0</v>
      </c>
      <c r="AI2138">
        <v>731</v>
      </c>
      <c r="AJ2138">
        <v>72</v>
      </c>
      <c r="AK2138">
        <v>9</v>
      </c>
      <c r="AL2138">
        <v>1</v>
      </c>
    </row>
    <row r="2139" spans="1:38" x14ac:dyDescent="0.3">
      <c r="A2139" t="s">
        <v>1813</v>
      </c>
      <c r="B2139">
        <v>126419</v>
      </c>
      <c r="C2139">
        <v>2</v>
      </c>
      <c r="D2139" t="s">
        <v>2759</v>
      </c>
      <c r="E2139" t="s">
        <v>292</v>
      </c>
      <c r="F2139">
        <v>9</v>
      </c>
      <c r="G2139">
        <v>22.3</v>
      </c>
      <c r="H2139">
        <v>73.739999999999995</v>
      </c>
      <c r="I2139">
        <v>18.59</v>
      </c>
      <c r="J2139">
        <v>61.46</v>
      </c>
      <c r="K2139">
        <v>3</v>
      </c>
      <c r="T2139">
        <v>3</v>
      </c>
      <c r="U2139">
        <v>2</v>
      </c>
      <c r="V2139" t="s">
        <v>93</v>
      </c>
      <c r="W2139">
        <v>73</v>
      </c>
      <c r="X2139">
        <v>11</v>
      </c>
      <c r="Y2139">
        <v>11</v>
      </c>
      <c r="Z2139" t="s">
        <v>2760</v>
      </c>
      <c r="AA2139" t="s">
        <v>2761</v>
      </c>
      <c r="AB2139" t="s">
        <v>96</v>
      </c>
      <c r="AC2139" t="s">
        <v>97</v>
      </c>
      <c r="AD2139" t="s">
        <v>1818</v>
      </c>
      <c r="AG2139" t="s">
        <v>2762</v>
      </c>
      <c r="AH2139">
        <v>0</v>
      </c>
      <c r="AI2139">
        <v>731</v>
      </c>
      <c r="AJ2139">
        <v>72</v>
      </c>
      <c r="AK2139">
        <v>9</v>
      </c>
      <c r="AL2139">
        <v>1</v>
      </c>
    </row>
    <row r="2140" spans="1:38" x14ac:dyDescent="0.3">
      <c r="A2140" t="s">
        <v>1813</v>
      </c>
      <c r="B2140">
        <v>126419</v>
      </c>
      <c r="C2140">
        <v>3</v>
      </c>
      <c r="D2140" t="s">
        <v>2759</v>
      </c>
      <c r="E2140" t="s">
        <v>292</v>
      </c>
      <c r="F2140">
        <v>9</v>
      </c>
      <c r="G2140">
        <v>22.85</v>
      </c>
      <c r="H2140">
        <v>75.56</v>
      </c>
      <c r="I2140">
        <v>19.14</v>
      </c>
      <c r="J2140">
        <v>63.28</v>
      </c>
      <c r="K2140">
        <v>3</v>
      </c>
      <c r="T2140">
        <v>3</v>
      </c>
      <c r="U2140">
        <v>2</v>
      </c>
      <c r="V2140" t="s">
        <v>93</v>
      </c>
      <c r="W2140">
        <v>75</v>
      </c>
      <c r="X2140">
        <v>11</v>
      </c>
      <c r="Y2140">
        <v>11</v>
      </c>
      <c r="Z2140" t="s">
        <v>2760</v>
      </c>
      <c r="AA2140" t="s">
        <v>2761</v>
      </c>
      <c r="AB2140" t="s">
        <v>96</v>
      </c>
      <c r="AC2140" t="s">
        <v>97</v>
      </c>
      <c r="AD2140" t="s">
        <v>1818</v>
      </c>
      <c r="AG2140" t="s">
        <v>2762</v>
      </c>
      <c r="AH2140">
        <v>0</v>
      </c>
      <c r="AI2140">
        <v>731</v>
      </c>
      <c r="AJ2140">
        <v>72</v>
      </c>
      <c r="AK2140">
        <v>9</v>
      </c>
      <c r="AL2140">
        <v>1</v>
      </c>
    </row>
    <row r="2141" spans="1:38" x14ac:dyDescent="0.3">
      <c r="A2141" t="s">
        <v>1813</v>
      </c>
      <c r="B2141">
        <v>117686</v>
      </c>
      <c r="C2141">
        <v>1</v>
      </c>
      <c r="D2141" t="s">
        <v>2763</v>
      </c>
      <c r="E2141" t="s">
        <v>508</v>
      </c>
      <c r="F2141">
        <v>56</v>
      </c>
      <c r="G2141">
        <v>17.03</v>
      </c>
      <c r="H2141">
        <v>56.32</v>
      </c>
      <c r="I2141">
        <v>13.54</v>
      </c>
      <c r="J2141">
        <v>44.78</v>
      </c>
      <c r="K2141">
        <v>4</v>
      </c>
      <c r="T2141">
        <v>2</v>
      </c>
      <c r="U2141">
        <v>1</v>
      </c>
      <c r="V2141" t="s">
        <v>93</v>
      </c>
      <c r="W2141" t="s">
        <v>687</v>
      </c>
      <c r="X2141">
        <v>12</v>
      </c>
      <c r="Y2141">
        <v>12</v>
      </c>
      <c r="Z2141" t="s">
        <v>2764</v>
      </c>
      <c r="AA2141" t="s">
        <v>2765</v>
      </c>
      <c r="AB2141" t="s">
        <v>96</v>
      </c>
      <c r="AC2141" t="s">
        <v>97</v>
      </c>
      <c r="AD2141" t="s">
        <v>1818</v>
      </c>
      <c r="AG2141" t="s">
        <v>2766</v>
      </c>
      <c r="AH2141">
        <v>0</v>
      </c>
      <c r="AI2141">
        <v>632</v>
      </c>
      <c r="AJ2141">
        <v>73</v>
      </c>
      <c r="AK2141">
        <v>44</v>
      </c>
      <c r="AL2141">
        <v>0.79</v>
      </c>
    </row>
    <row r="2142" spans="1:38" x14ac:dyDescent="0.3">
      <c r="A2142" t="s">
        <v>1813</v>
      </c>
      <c r="B2142">
        <v>117686</v>
      </c>
      <c r="C2142">
        <v>2</v>
      </c>
      <c r="D2142" t="s">
        <v>2763</v>
      </c>
      <c r="E2142" t="s">
        <v>508</v>
      </c>
      <c r="F2142">
        <v>56</v>
      </c>
      <c r="G2142">
        <v>17.149999999999999</v>
      </c>
      <c r="H2142">
        <v>56.72</v>
      </c>
      <c r="I2142">
        <v>13.8</v>
      </c>
      <c r="J2142">
        <v>45.63</v>
      </c>
      <c r="K2142">
        <v>4</v>
      </c>
      <c r="T2142">
        <v>2</v>
      </c>
      <c r="U2142">
        <v>1</v>
      </c>
      <c r="V2142" t="s">
        <v>93</v>
      </c>
      <c r="W2142" t="s">
        <v>920</v>
      </c>
      <c r="X2142">
        <v>12</v>
      </c>
      <c r="Y2142">
        <v>12</v>
      </c>
      <c r="Z2142" t="s">
        <v>2764</v>
      </c>
      <c r="AA2142" t="s">
        <v>2765</v>
      </c>
      <c r="AB2142" t="s">
        <v>96</v>
      </c>
      <c r="AC2142" t="s">
        <v>97</v>
      </c>
      <c r="AD2142" t="s">
        <v>1818</v>
      </c>
      <c r="AG2142" t="s">
        <v>2766</v>
      </c>
      <c r="AH2142">
        <v>0</v>
      </c>
      <c r="AI2142">
        <v>632</v>
      </c>
      <c r="AJ2142">
        <v>73</v>
      </c>
      <c r="AK2142">
        <v>44</v>
      </c>
      <c r="AL2142">
        <v>0.79</v>
      </c>
    </row>
    <row r="2143" spans="1:38" x14ac:dyDescent="0.3">
      <c r="A2143" t="s">
        <v>1813</v>
      </c>
      <c r="B2143">
        <v>117686</v>
      </c>
      <c r="C2143">
        <v>3</v>
      </c>
      <c r="D2143" t="s">
        <v>2763</v>
      </c>
      <c r="E2143" t="s">
        <v>508</v>
      </c>
      <c r="F2143">
        <v>56</v>
      </c>
      <c r="G2143">
        <v>20.54</v>
      </c>
      <c r="H2143">
        <v>67.91</v>
      </c>
      <c r="I2143">
        <v>16.649999999999999</v>
      </c>
      <c r="J2143">
        <v>55.06</v>
      </c>
      <c r="K2143">
        <v>11</v>
      </c>
      <c r="T2143">
        <v>3</v>
      </c>
      <c r="U2143">
        <v>1</v>
      </c>
      <c r="V2143" t="s">
        <v>93</v>
      </c>
      <c r="W2143" t="s">
        <v>902</v>
      </c>
      <c r="X2143">
        <v>12</v>
      </c>
      <c r="Y2143">
        <v>12</v>
      </c>
      <c r="Z2143" t="s">
        <v>2764</v>
      </c>
      <c r="AA2143" t="s">
        <v>2765</v>
      </c>
      <c r="AB2143" t="s">
        <v>96</v>
      </c>
      <c r="AC2143" t="s">
        <v>97</v>
      </c>
      <c r="AD2143" t="s">
        <v>1818</v>
      </c>
      <c r="AG2143" t="s">
        <v>2766</v>
      </c>
      <c r="AH2143">
        <v>0</v>
      </c>
      <c r="AI2143">
        <v>632</v>
      </c>
      <c r="AJ2143">
        <v>73</v>
      </c>
      <c r="AK2143">
        <v>44</v>
      </c>
      <c r="AL2143">
        <v>0.79</v>
      </c>
    </row>
    <row r="2144" spans="1:38" x14ac:dyDescent="0.3">
      <c r="A2144" t="s">
        <v>1813</v>
      </c>
      <c r="B2144">
        <v>117686</v>
      </c>
      <c r="C2144">
        <v>4</v>
      </c>
      <c r="D2144" t="s">
        <v>2763</v>
      </c>
      <c r="E2144" t="s">
        <v>508</v>
      </c>
      <c r="F2144">
        <v>56</v>
      </c>
      <c r="G2144">
        <v>20.28</v>
      </c>
      <c r="H2144">
        <v>67.05</v>
      </c>
      <c r="I2144">
        <v>16.18</v>
      </c>
      <c r="J2144">
        <v>53.52</v>
      </c>
      <c r="K2144">
        <v>4</v>
      </c>
      <c r="T2144">
        <v>3</v>
      </c>
      <c r="U2144">
        <v>1</v>
      </c>
      <c r="V2144" t="s">
        <v>93</v>
      </c>
      <c r="W2144">
        <v>67</v>
      </c>
      <c r="X2144">
        <v>12</v>
      </c>
      <c r="Y2144">
        <v>12</v>
      </c>
      <c r="Z2144" t="s">
        <v>2764</v>
      </c>
      <c r="AA2144" t="s">
        <v>2765</v>
      </c>
      <c r="AB2144" t="s">
        <v>96</v>
      </c>
      <c r="AC2144" t="s">
        <v>97</v>
      </c>
      <c r="AD2144" t="s">
        <v>1818</v>
      </c>
      <c r="AG2144" t="s">
        <v>2766</v>
      </c>
      <c r="AH2144">
        <v>0</v>
      </c>
      <c r="AI2144">
        <v>632</v>
      </c>
      <c r="AJ2144">
        <v>73</v>
      </c>
      <c r="AK2144">
        <v>44</v>
      </c>
      <c r="AL2144">
        <v>0.79</v>
      </c>
    </row>
    <row r="2145" spans="1:38" x14ac:dyDescent="0.3">
      <c r="A2145" t="s">
        <v>1813</v>
      </c>
      <c r="B2145">
        <v>117686</v>
      </c>
      <c r="C2145">
        <v>5</v>
      </c>
      <c r="D2145" t="s">
        <v>2763</v>
      </c>
      <c r="E2145" t="s">
        <v>508</v>
      </c>
      <c r="F2145">
        <v>56</v>
      </c>
      <c r="G2145">
        <v>20.58</v>
      </c>
      <c r="H2145">
        <v>68.040000000000006</v>
      </c>
      <c r="I2145">
        <v>16.600000000000001</v>
      </c>
      <c r="J2145">
        <v>54.88</v>
      </c>
      <c r="K2145">
        <v>3</v>
      </c>
      <c r="T2145">
        <v>3</v>
      </c>
      <c r="U2145">
        <v>1</v>
      </c>
      <c r="V2145" t="s">
        <v>93</v>
      </c>
      <c r="W2145" t="s">
        <v>230</v>
      </c>
      <c r="X2145">
        <v>12</v>
      </c>
      <c r="Y2145">
        <v>12</v>
      </c>
      <c r="Z2145" t="s">
        <v>2764</v>
      </c>
      <c r="AA2145" t="s">
        <v>2765</v>
      </c>
      <c r="AB2145" t="s">
        <v>96</v>
      </c>
      <c r="AC2145" t="s">
        <v>97</v>
      </c>
      <c r="AD2145" t="s">
        <v>1818</v>
      </c>
      <c r="AG2145" t="s">
        <v>2766</v>
      </c>
      <c r="AH2145">
        <v>0</v>
      </c>
      <c r="AI2145">
        <v>632</v>
      </c>
      <c r="AJ2145">
        <v>73</v>
      </c>
      <c r="AK2145">
        <v>44</v>
      </c>
      <c r="AL2145">
        <v>0.79</v>
      </c>
    </row>
    <row r="2146" spans="1:38" x14ac:dyDescent="0.3">
      <c r="A2146" t="s">
        <v>1813</v>
      </c>
      <c r="B2146">
        <v>117686</v>
      </c>
      <c r="C2146">
        <v>6</v>
      </c>
      <c r="D2146" t="s">
        <v>2763</v>
      </c>
      <c r="E2146" t="s">
        <v>508</v>
      </c>
      <c r="F2146">
        <v>56</v>
      </c>
      <c r="G2146">
        <v>21.24</v>
      </c>
      <c r="H2146">
        <v>70.22</v>
      </c>
      <c r="I2146">
        <v>16.57</v>
      </c>
      <c r="J2146">
        <v>54.78</v>
      </c>
      <c r="K2146">
        <v>11</v>
      </c>
      <c r="T2146">
        <v>3</v>
      </c>
      <c r="U2146">
        <v>1</v>
      </c>
      <c r="V2146" t="s">
        <v>93</v>
      </c>
      <c r="W2146" t="s">
        <v>979</v>
      </c>
      <c r="X2146">
        <v>12</v>
      </c>
      <c r="Y2146">
        <v>12</v>
      </c>
      <c r="Z2146" t="s">
        <v>2764</v>
      </c>
      <c r="AA2146" t="s">
        <v>2765</v>
      </c>
      <c r="AB2146" t="s">
        <v>96</v>
      </c>
      <c r="AC2146" t="s">
        <v>97</v>
      </c>
      <c r="AD2146" t="s">
        <v>1818</v>
      </c>
      <c r="AG2146" t="s">
        <v>2766</v>
      </c>
      <c r="AH2146">
        <v>0</v>
      </c>
      <c r="AI2146">
        <v>632</v>
      </c>
      <c r="AJ2146">
        <v>73</v>
      </c>
      <c r="AK2146">
        <v>44</v>
      </c>
      <c r="AL2146">
        <v>0.79</v>
      </c>
    </row>
    <row r="2147" spans="1:38" x14ac:dyDescent="0.3">
      <c r="A2147" t="s">
        <v>1813</v>
      </c>
      <c r="B2147">
        <v>117686</v>
      </c>
      <c r="C2147">
        <v>7</v>
      </c>
      <c r="D2147" t="s">
        <v>2763</v>
      </c>
      <c r="E2147" t="s">
        <v>508</v>
      </c>
      <c r="F2147">
        <v>56</v>
      </c>
      <c r="G2147">
        <v>21.49</v>
      </c>
      <c r="H2147">
        <v>71.06</v>
      </c>
      <c r="I2147">
        <v>17.420000000000002</v>
      </c>
      <c r="J2147">
        <v>57.6</v>
      </c>
      <c r="K2147">
        <v>3</v>
      </c>
      <c r="T2147">
        <v>3</v>
      </c>
      <c r="U2147">
        <v>1</v>
      </c>
      <c r="V2147" t="s">
        <v>93</v>
      </c>
      <c r="W2147">
        <v>71</v>
      </c>
      <c r="X2147">
        <v>12</v>
      </c>
      <c r="Y2147">
        <v>12</v>
      </c>
      <c r="Z2147" t="s">
        <v>2764</v>
      </c>
      <c r="AA2147" t="s">
        <v>2765</v>
      </c>
      <c r="AB2147" t="s">
        <v>96</v>
      </c>
      <c r="AC2147" t="s">
        <v>97</v>
      </c>
      <c r="AD2147" t="s">
        <v>1818</v>
      </c>
      <c r="AG2147" t="s">
        <v>2766</v>
      </c>
      <c r="AH2147">
        <v>0</v>
      </c>
      <c r="AI2147">
        <v>632</v>
      </c>
      <c r="AJ2147">
        <v>73</v>
      </c>
      <c r="AK2147">
        <v>44</v>
      </c>
      <c r="AL2147">
        <v>0.79</v>
      </c>
    </row>
    <row r="2148" spans="1:38" x14ac:dyDescent="0.3">
      <c r="A2148" t="s">
        <v>1813</v>
      </c>
      <c r="B2148">
        <v>117686</v>
      </c>
      <c r="C2148">
        <v>8</v>
      </c>
      <c r="D2148" t="s">
        <v>2763</v>
      </c>
      <c r="E2148" t="s">
        <v>508</v>
      </c>
      <c r="F2148">
        <v>56</v>
      </c>
      <c r="G2148">
        <v>25.81</v>
      </c>
      <c r="H2148">
        <v>85.35</v>
      </c>
      <c r="I2148">
        <v>21</v>
      </c>
      <c r="J2148">
        <v>69.430000000000007</v>
      </c>
      <c r="K2148">
        <v>8</v>
      </c>
      <c r="T2148">
        <v>3</v>
      </c>
      <c r="U2148">
        <v>1</v>
      </c>
      <c r="V2148" t="s">
        <v>93</v>
      </c>
      <c r="W2148" t="s">
        <v>222</v>
      </c>
      <c r="X2148">
        <v>12</v>
      </c>
      <c r="Y2148">
        <v>12</v>
      </c>
      <c r="Z2148" t="s">
        <v>2764</v>
      </c>
      <c r="AA2148" t="s">
        <v>2765</v>
      </c>
      <c r="AB2148" t="s">
        <v>96</v>
      </c>
      <c r="AC2148" t="s">
        <v>97</v>
      </c>
      <c r="AD2148" t="s">
        <v>1818</v>
      </c>
      <c r="AG2148" t="s">
        <v>2766</v>
      </c>
      <c r="AH2148">
        <v>0</v>
      </c>
      <c r="AI2148">
        <v>632</v>
      </c>
      <c r="AJ2148">
        <v>73</v>
      </c>
      <c r="AK2148">
        <v>44</v>
      </c>
      <c r="AL2148">
        <v>0.79</v>
      </c>
    </row>
    <row r="2149" spans="1:38" x14ac:dyDescent="0.3">
      <c r="A2149" t="s">
        <v>1813</v>
      </c>
      <c r="B2149">
        <v>117686</v>
      </c>
      <c r="C2149">
        <v>9</v>
      </c>
      <c r="D2149" t="s">
        <v>2763</v>
      </c>
      <c r="E2149" t="s">
        <v>508</v>
      </c>
      <c r="F2149">
        <v>56</v>
      </c>
      <c r="G2149">
        <v>26.23</v>
      </c>
      <c r="H2149">
        <v>86.73</v>
      </c>
      <c r="I2149">
        <v>21.02</v>
      </c>
      <c r="J2149">
        <v>69.52</v>
      </c>
      <c r="K2149">
        <v>8</v>
      </c>
      <c r="T2149">
        <v>3</v>
      </c>
      <c r="U2149">
        <v>1</v>
      </c>
      <c r="V2149" t="s">
        <v>93</v>
      </c>
      <c r="W2149" t="s">
        <v>384</v>
      </c>
      <c r="X2149">
        <v>12</v>
      </c>
      <c r="Y2149">
        <v>12</v>
      </c>
      <c r="Z2149" t="s">
        <v>2764</v>
      </c>
      <c r="AA2149" t="s">
        <v>2765</v>
      </c>
      <c r="AB2149" t="s">
        <v>96</v>
      </c>
      <c r="AC2149" t="s">
        <v>97</v>
      </c>
      <c r="AD2149" t="s">
        <v>1818</v>
      </c>
      <c r="AG2149" t="s">
        <v>2766</v>
      </c>
      <c r="AH2149">
        <v>0</v>
      </c>
      <c r="AI2149">
        <v>632</v>
      </c>
      <c r="AJ2149">
        <v>73</v>
      </c>
      <c r="AK2149">
        <v>44</v>
      </c>
      <c r="AL2149">
        <v>0.79</v>
      </c>
    </row>
    <row r="2150" spans="1:38" x14ac:dyDescent="0.3">
      <c r="A2150" t="s">
        <v>1813</v>
      </c>
      <c r="B2150">
        <v>111990</v>
      </c>
      <c r="C2150">
        <v>1</v>
      </c>
      <c r="D2150" t="s">
        <v>2767</v>
      </c>
      <c r="E2150" t="s">
        <v>595</v>
      </c>
      <c r="F2150">
        <v>18</v>
      </c>
      <c r="G2150">
        <v>24.88</v>
      </c>
      <c r="H2150">
        <v>82.26</v>
      </c>
      <c r="I2150">
        <v>21.82</v>
      </c>
      <c r="J2150">
        <v>72.150000000000006</v>
      </c>
      <c r="K2150">
        <v>18</v>
      </c>
      <c r="T2150">
        <v>3</v>
      </c>
      <c r="U2150">
        <v>2</v>
      </c>
      <c r="V2150" t="s">
        <v>93</v>
      </c>
      <c r="W2150">
        <v>82</v>
      </c>
      <c r="X2150">
        <v>14</v>
      </c>
      <c r="Y2150">
        <v>14</v>
      </c>
      <c r="Z2150" t="s">
        <v>2768</v>
      </c>
      <c r="AA2150" t="s">
        <v>2769</v>
      </c>
      <c r="AB2150" t="s">
        <v>96</v>
      </c>
      <c r="AC2150" t="s">
        <v>97</v>
      </c>
      <c r="AD2150" t="s">
        <v>1818</v>
      </c>
      <c r="AG2150" t="s">
        <v>2770</v>
      </c>
      <c r="AH2150">
        <v>0</v>
      </c>
      <c r="AI2150">
        <v>481</v>
      </c>
      <c r="AJ2150">
        <v>48</v>
      </c>
      <c r="AK2150">
        <v>22</v>
      </c>
      <c r="AL2150">
        <v>1.22</v>
      </c>
    </row>
    <row r="2151" spans="1:38" x14ac:dyDescent="0.3">
      <c r="A2151" t="s">
        <v>1813</v>
      </c>
      <c r="B2151">
        <v>11593</v>
      </c>
      <c r="C2151">
        <v>1</v>
      </c>
      <c r="D2151" t="s">
        <v>2771</v>
      </c>
      <c r="E2151" t="s">
        <v>1597</v>
      </c>
      <c r="F2151">
        <v>96</v>
      </c>
      <c r="G2151">
        <v>16.57</v>
      </c>
      <c r="H2151">
        <v>54.8</v>
      </c>
      <c r="I2151">
        <v>12.17</v>
      </c>
      <c r="J2151">
        <v>40.24</v>
      </c>
      <c r="K2151">
        <v>20</v>
      </c>
      <c r="T2151">
        <v>2</v>
      </c>
      <c r="U2151">
        <v>1</v>
      </c>
      <c r="V2151" t="s">
        <v>93</v>
      </c>
      <c r="W2151">
        <v>54</v>
      </c>
      <c r="X2151">
        <v>6</v>
      </c>
      <c r="Y2151">
        <v>5</v>
      </c>
      <c r="Z2151" t="s">
        <v>2772</v>
      </c>
      <c r="AA2151" t="s">
        <v>2773</v>
      </c>
      <c r="AB2151" t="s">
        <v>96</v>
      </c>
      <c r="AC2151" t="s">
        <v>97</v>
      </c>
      <c r="AD2151" t="s">
        <v>1818</v>
      </c>
      <c r="AG2151" t="s">
        <v>2774</v>
      </c>
      <c r="AH2151">
        <v>0</v>
      </c>
      <c r="AI2151">
        <v>0</v>
      </c>
      <c r="AJ2151">
        <v>0</v>
      </c>
      <c r="AK2151">
        <v>0</v>
      </c>
      <c r="AL2151">
        <v>0</v>
      </c>
    </row>
    <row r="2152" spans="1:38" x14ac:dyDescent="0.3">
      <c r="A2152" t="s">
        <v>1813</v>
      </c>
      <c r="B2152">
        <v>11593</v>
      </c>
      <c r="C2152">
        <v>2</v>
      </c>
      <c r="D2152" t="s">
        <v>2771</v>
      </c>
      <c r="E2152" t="s">
        <v>1597</v>
      </c>
      <c r="F2152">
        <v>96</v>
      </c>
      <c r="G2152">
        <v>17.54</v>
      </c>
      <c r="H2152">
        <v>57.99</v>
      </c>
      <c r="I2152">
        <v>12.97</v>
      </c>
      <c r="J2152">
        <v>42.88</v>
      </c>
      <c r="K2152">
        <v>20</v>
      </c>
      <c r="T2152">
        <v>2</v>
      </c>
      <c r="U2152">
        <v>1</v>
      </c>
      <c r="V2152" t="s">
        <v>93</v>
      </c>
      <c r="W2152">
        <v>57</v>
      </c>
      <c r="X2152">
        <v>6</v>
      </c>
      <c r="Y2152">
        <v>5</v>
      </c>
      <c r="Z2152" t="s">
        <v>2772</v>
      </c>
      <c r="AA2152" t="s">
        <v>2773</v>
      </c>
      <c r="AB2152" t="s">
        <v>96</v>
      </c>
      <c r="AC2152" t="s">
        <v>97</v>
      </c>
      <c r="AD2152" t="s">
        <v>1818</v>
      </c>
      <c r="AG2152" t="s">
        <v>2774</v>
      </c>
      <c r="AH2152">
        <v>0</v>
      </c>
      <c r="AI2152">
        <v>0</v>
      </c>
      <c r="AJ2152">
        <v>0</v>
      </c>
      <c r="AK2152">
        <v>0</v>
      </c>
      <c r="AL2152">
        <v>0</v>
      </c>
    </row>
    <row r="2153" spans="1:38" x14ac:dyDescent="0.3">
      <c r="A2153" t="s">
        <v>1813</v>
      </c>
      <c r="B2153">
        <v>11593</v>
      </c>
      <c r="C2153">
        <v>3</v>
      </c>
      <c r="D2153" t="s">
        <v>2771</v>
      </c>
      <c r="E2153" t="s">
        <v>1597</v>
      </c>
      <c r="F2153">
        <v>96</v>
      </c>
      <c r="G2153">
        <v>19.989999999999998</v>
      </c>
      <c r="H2153">
        <v>66.09</v>
      </c>
      <c r="I2153">
        <v>15.55</v>
      </c>
      <c r="J2153">
        <v>51.42</v>
      </c>
      <c r="K2153">
        <v>12</v>
      </c>
      <c r="T2153">
        <v>2</v>
      </c>
      <c r="U2153">
        <v>1</v>
      </c>
      <c r="V2153" t="s">
        <v>93</v>
      </c>
      <c r="W2153">
        <v>66</v>
      </c>
      <c r="X2153">
        <v>6</v>
      </c>
      <c r="Y2153">
        <v>5</v>
      </c>
      <c r="Z2153" t="s">
        <v>2772</v>
      </c>
      <c r="AA2153" t="s">
        <v>2773</v>
      </c>
      <c r="AB2153" t="s">
        <v>96</v>
      </c>
      <c r="AC2153" t="s">
        <v>97</v>
      </c>
      <c r="AD2153" t="s">
        <v>1818</v>
      </c>
      <c r="AG2153" t="s">
        <v>2774</v>
      </c>
      <c r="AH2153">
        <v>0</v>
      </c>
      <c r="AI2153">
        <v>0</v>
      </c>
      <c r="AJ2153">
        <v>0</v>
      </c>
      <c r="AK2153">
        <v>0</v>
      </c>
      <c r="AL2153">
        <v>0</v>
      </c>
    </row>
    <row r="2154" spans="1:38" x14ac:dyDescent="0.3">
      <c r="A2154" t="s">
        <v>1813</v>
      </c>
      <c r="B2154">
        <v>11593</v>
      </c>
      <c r="C2154">
        <v>4</v>
      </c>
      <c r="D2154" t="s">
        <v>2771</v>
      </c>
      <c r="E2154" t="s">
        <v>1597</v>
      </c>
      <c r="F2154">
        <v>96</v>
      </c>
      <c r="G2154">
        <v>21.56</v>
      </c>
      <c r="H2154">
        <v>71.290000000000006</v>
      </c>
      <c r="I2154">
        <v>16.89</v>
      </c>
      <c r="J2154">
        <v>55.86</v>
      </c>
      <c r="K2154">
        <v>18</v>
      </c>
      <c r="T2154">
        <v>3</v>
      </c>
      <c r="U2154">
        <v>1</v>
      </c>
      <c r="V2154" t="s">
        <v>93</v>
      </c>
      <c r="W2154">
        <v>71</v>
      </c>
      <c r="X2154">
        <v>6</v>
      </c>
      <c r="Y2154">
        <v>5</v>
      </c>
      <c r="Z2154" t="s">
        <v>2772</v>
      </c>
      <c r="AA2154" t="s">
        <v>2773</v>
      </c>
      <c r="AB2154" t="s">
        <v>96</v>
      </c>
      <c r="AC2154" t="s">
        <v>97</v>
      </c>
      <c r="AD2154" t="s">
        <v>1818</v>
      </c>
      <c r="AG2154" t="s">
        <v>2774</v>
      </c>
      <c r="AH2154">
        <v>0</v>
      </c>
      <c r="AI2154">
        <v>0</v>
      </c>
      <c r="AJ2154">
        <v>0</v>
      </c>
      <c r="AK2154">
        <v>0</v>
      </c>
      <c r="AL2154">
        <v>0</v>
      </c>
    </row>
    <row r="2155" spans="1:38" x14ac:dyDescent="0.3">
      <c r="A2155" t="s">
        <v>1813</v>
      </c>
      <c r="B2155">
        <v>11593</v>
      </c>
      <c r="C2155">
        <v>5</v>
      </c>
      <c r="D2155" t="s">
        <v>2771</v>
      </c>
      <c r="E2155" t="s">
        <v>1597</v>
      </c>
      <c r="F2155">
        <v>96</v>
      </c>
      <c r="G2155">
        <v>24.13</v>
      </c>
      <c r="H2155">
        <v>79.790000000000006</v>
      </c>
      <c r="I2155">
        <v>18.53</v>
      </c>
      <c r="J2155">
        <v>61.27</v>
      </c>
      <c r="K2155">
        <v>20</v>
      </c>
      <c r="T2155">
        <v>3</v>
      </c>
      <c r="U2155">
        <v>1</v>
      </c>
      <c r="V2155" t="s">
        <v>93</v>
      </c>
      <c r="W2155">
        <v>79</v>
      </c>
      <c r="X2155">
        <v>6</v>
      </c>
      <c r="Y2155">
        <v>5</v>
      </c>
      <c r="Z2155" t="s">
        <v>2772</v>
      </c>
      <c r="AA2155" t="s">
        <v>2773</v>
      </c>
      <c r="AB2155" t="s">
        <v>96</v>
      </c>
      <c r="AC2155" t="s">
        <v>97</v>
      </c>
      <c r="AD2155" t="s">
        <v>1818</v>
      </c>
      <c r="AG2155" t="s">
        <v>2774</v>
      </c>
      <c r="AH2155">
        <v>0</v>
      </c>
      <c r="AI2155">
        <v>0</v>
      </c>
      <c r="AJ2155">
        <v>0</v>
      </c>
      <c r="AK2155">
        <v>0</v>
      </c>
      <c r="AL2155">
        <v>0</v>
      </c>
    </row>
    <row r="2156" spans="1:38" x14ac:dyDescent="0.3">
      <c r="A2156" t="s">
        <v>1813</v>
      </c>
      <c r="B2156">
        <v>11593</v>
      </c>
      <c r="C2156">
        <v>6</v>
      </c>
      <c r="D2156" t="s">
        <v>2771</v>
      </c>
      <c r="E2156" t="s">
        <v>1597</v>
      </c>
      <c r="F2156">
        <v>96</v>
      </c>
      <c r="G2156">
        <v>28.44</v>
      </c>
      <c r="H2156">
        <v>94.03</v>
      </c>
      <c r="I2156">
        <v>22.76</v>
      </c>
      <c r="J2156">
        <v>75.260000000000005</v>
      </c>
      <c r="K2156">
        <v>6</v>
      </c>
      <c r="T2156">
        <v>3</v>
      </c>
      <c r="U2156">
        <v>1</v>
      </c>
      <c r="V2156" t="s">
        <v>93</v>
      </c>
      <c r="W2156">
        <v>94</v>
      </c>
      <c r="X2156">
        <v>6</v>
      </c>
      <c r="Y2156">
        <v>5</v>
      </c>
      <c r="Z2156" t="s">
        <v>2772</v>
      </c>
      <c r="AA2156" t="s">
        <v>2773</v>
      </c>
      <c r="AB2156" t="s">
        <v>96</v>
      </c>
      <c r="AC2156" t="s">
        <v>97</v>
      </c>
      <c r="AD2156" t="s">
        <v>1818</v>
      </c>
      <c r="AG2156" t="s">
        <v>2774</v>
      </c>
      <c r="AH2156">
        <v>0</v>
      </c>
      <c r="AI2156">
        <v>0</v>
      </c>
      <c r="AJ2156">
        <v>0</v>
      </c>
      <c r="AK2156">
        <v>0</v>
      </c>
      <c r="AL2156">
        <v>0</v>
      </c>
    </row>
    <row r="2157" spans="1:38" x14ac:dyDescent="0.3">
      <c r="A2157" t="s">
        <v>1813</v>
      </c>
      <c r="B2157">
        <v>14071</v>
      </c>
      <c r="C2157">
        <v>1</v>
      </c>
      <c r="D2157" t="s">
        <v>2775</v>
      </c>
      <c r="E2157" t="s">
        <v>2667</v>
      </c>
      <c r="F2157">
        <v>60</v>
      </c>
      <c r="G2157">
        <v>21.34</v>
      </c>
      <c r="H2157">
        <v>70.56</v>
      </c>
      <c r="I2157">
        <v>17.850000000000001</v>
      </c>
      <c r="J2157">
        <v>59.04</v>
      </c>
      <c r="K2157">
        <v>30</v>
      </c>
      <c r="T2157">
        <v>3</v>
      </c>
      <c r="U2157">
        <v>1</v>
      </c>
      <c r="V2157" t="s">
        <v>93</v>
      </c>
      <c r="W2157">
        <v>70</v>
      </c>
      <c r="X2157">
        <v>5</v>
      </c>
      <c r="Y2157">
        <v>5</v>
      </c>
      <c r="Z2157" t="s">
        <v>2776</v>
      </c>
      <c r="AA2157" t="s">
        <v>2777</v>
      </c>
      <c r="AB2157" t="s">
        <v>96</v>
      </c>
      <c r="AC2157" t="s">
        <v>97</v>
      </c>
      <c r="AD2157" t="s">
        <v>1818</v>
      </c>
      <c r="AG2157" t="s">
        <v>2778</v>
      </c>
      <c r="AH2157">
        <v>0</v>
      </c>
      <c r="AI2157">
        <v>0</v>
      </c>
      <c r="AJ2157">
        <v>0</v>
      </c>
      <c r="AK2157">
        <v>0</v>
      </c>
      <c r="AL2157">
        <v>0</v>
      </c>
    </row>
    <row r="2158" spans="1:38" x14ac:dyDescent="0.3">
      <c r="A2158" t="s">
        <v>1813</v>
      </c>
      <c r="B2158">
        <v>14071</v>
      </c>
      <c r="C2158">
        <v>2</v>
      </c>
      <c r="D2158" t="s">
        <v>2775</v>
      </c>
      <c r="E2158" t="s">
        <v>2667</v>
      </c>
      <c r="F2158">
        <v>60</v>
      </c>
      <c r="G2158">
        <v>21.96</v>
      </c>
      <c r="H2158">
        <v>72.599999999999994</v>
      </c>
      <c r="I2158">
        <v>18.36</v>
      </c>
      <c r="J2158">
        <v>60.72</v>
      </c>
      <c r="K2158">
        <v>30</v>
      </c>
      <c r="T2158">
        <v>3</v>
      </c>
      <c r="U2158">
        <v>1</v>
      </c>
      <c r="V2158" t="s">
        <v>93</v>
      </c>
      <c r="W2158">
        <v>72</v>
      </c>
      <c r="X2158">
        <v>5</v>
      </c>
      <c r="Y2158">
        <v>5</v>
      </c>
      <c r="Z2158" t="s">
        <v>2776</v>
      </c>
      <c r="AA2158" t="s">
        <v>2777</v>
      </c>
      <c r="AB2158" t="s">
        <v>96</v>
      </c>
      <c r="AC2158" t="s">
        <v>97</v>
      </c>
      <c r="AD2158" t="s">
        <v>1818</v>
      </c>
      <c r="AG2158" t="s">
        <v>2778</v>
      </c>
      <c r="AH2158">
        <v>0</v>
      </c>
      <c r="AI2158">
        <v>0</v>
      </c>
      <c r="AJ2158">
        <v>0</v>
      </c>
      <c r="AK2158">
        <v>0</v>
      </c>
      <c r="AL2158">
        <v>0</v>
      </c>
    </row>
    <row r="2159" spans="1:38" x14ac:dyDescent="0.3">
      <c r="A2159" t="s">
        <v>1813</v>
      </c>
      <c r="B2159">
        <v>105028</v>
      </c>
      <c r="C2159">
        <v>1</v>
      </c>
      <c r="D2159" t="s">
        <v>2779</v>
      </c>
      <c r="E2159" t="s">
        <v>769</v>
      </c>
      <c r="F2159">
        <v>280</v>
      </c>
      <c r="G2159">
        <v>6.75</v>
      </c>
      <c r="H2159">
        <v>22.33</v>
      </c>
      <c r="I2159">
        <v>4.54</v>
      </c>
      <c r="J2159">
        <v>15.04</v>
      </c>
      <c r="K2159">
        <v>280</v>
      </c>
      <c r="T2159">
        <v>1</v>
      </c>
      <c r="U2159">
        <v>1</v>
      </c>
      <c r="V2159" t="s">
        <v>93</v>
      </c>
      <c r="W2159">
        <v>22</v>
      </c>
      <c r="X2159">
        <v>12</v>
      </c>
      <c r="Y2159">
        <v>12</v>
      </c>
      <c r="Z2159" t="s">
        <v>2780</v>
      </c>
      <c r="AA2159" t="s">
        <v>2781</v>
      </c>
      <c r="AB2159" t="s">
        <v>96</v>
      </c>
      <c r="AC2159" t="s">
        <v>97</v>
      </c>
      <c r="AD2159" t="s">
        <v>1818</v>
      </c>
      <c r="AG2159" t="s">
        <v>2782</v>
      </c>
      <c r="AH2159">
        <v>0</v>
      </c>
      <c r="AI2159">
        <v>755</v>
      </c>
      <c r="AJ2159">
        <v>68</v>
      </c>
      <c r="AK2159">
        <v>135</v>
      </c>
      <c r="AL2159">
        <v>0.48</v>
      </c>
    </row>
    <row r="2160" spans="1:38" x14ac:dyDescent="0.3">
      <c r="A2160" t="s">
        <v>1813</v>
      </c>
      <c r="B2160">
        <v>135808</v>
      </c>
      <c r="C2160">
        <v>1</v>
      </c>
      <c r="D2160" t="s">
        <v>2783</v>
      </c>
      <c r="E2160" t="s">
        <v>1096</v>
      </c>
      <c r="F2160">
        <v>28</v>
      </c>
      <c r="G2160">
        <v>22.25</v>
      </c>
      <c r="H2160">
        <v>73.58</v>
      </c>
      <c r="I2160">
        <v>19.23</v>
      </c>
      <c r="J2160">
        <v>63.58</v>
      </c>
      <c r="K2160">
        <v>14</v>
      </c>
      <c r="T2160">
        <v>3</v>
      </c>
      <c r="U2160">
        <v>2</v>
      </c>
      <c r="V2160" t="s">
        <v>93</v>
      </c>
      <c r="W2160" t="s">
        <v>1243</v>
      </c>
      <c r="X2160">
        <v>8</v>
      </c>
      <c r="Y2160">
        <v>8</v>
      </c>
      <c r="Z2160" t="s">
        <v>2784</v>
      </c>
      <c r="AA2160" t="s">
        <v>2785</v>
      </c>
      <c r="AB2160" t="s">
        <v>96</v>
      </c>
      <c r="AC2160" t="s">
        <v>97</v>
      </c>
      <c r="AD2160" t="s">
        <v>1818</v>
      </c>
      <c r="AG2160" t="s">
        <v>2786</v>
      </c>
      <c r="AH2160">
        <v>0</v>
      </c>
      <c r="AI2160">
        <v>304</v>
      </c>
      <c r="AJ2160">
        <v>49</v>
      </c>
      <c r="AK2160">
        <v>16</v>
      </c>
      <c r="AL2160">
        <v>0.56999999999999995</v>
      </c>
    </row>
    <row r="2161" spans="1:38" x14ac:dyDescent="0.3">
      <c r="A2161" t="s">
        <v>1813</v>
      </c>
      <c r="B2161">
        <v>135808</v>
      </c>
      <c r="C2161">
        <v>2</v>
      </c>
      <c r="D2161" t="s">
        <v>2783</v>
      </c>
      <c r="E2161" t="s">
        <v>1096</v>
      </c>
      <c r="F2161">
        <v>28</v>
      </c>
      <c r="G2161">
        <v>22.48</v>
      </c>
      <c r="H2161">
        <v>74.33</v>
      </c>
      <c r="I2161">
        <v>19.45</v>
      </c>
      <c r="J2161">
        <v>64.33</v>
      </c>
      <c r="K2161">
        <v>14</v>
      </c>
      <c r="T2161">
        <v>3</v>
      </c>
      <c r="U2161">
        <v>2</v>
      </c>
      <c r="V2161" t="s">
        <v>93</v>
      </c>
      <c r="W2161" t="s">
        <v>876</v>
      </c>
      <c r="X2161">
        <v>8</v>
      </c>
      <c r="Y2161">
        <v>8</v>
      </c>
      <c r="Z2161" t="s">
        <v>2784</v>
      </c>
      <c r="AA2161" t="s">
        <v>2785</v>
      </c>
      <c r="AB2161" t="s">
        <v>96</v>
      </c>
      <c r="AC2161" t="s">
        <v>97</v>
      </c>
      <c r="AD2161" t="s">
        <v>1818</v>
      </c>
      <c r="AG2161" t="s">
        <v>2786</v>
      </c>
      <c r="AH2161">
        <v>0</v>
      </c>
      <c r="AI2161">
        <v>304</v>
      </c>
      <c r="AJ2161">
        <v>49</v>
      </c>
      <c r="AK2161">
        <v>16</v>
      </c>
      <c r="AL2161">
        <v>0.56999999999999995</v>
      </c>
    </row>
    <row r="2162" spans="1:38" x14ac:dyDescent="0.3">
      <c r="A2162" t="s">
        <v>1813</v>
      </c>
      <c r="B2162">
        <v>118549</v>
      </c>
      <c r="C2162">
        <v>1</v>
      </c>
      <c r="D2162" t="s">
        <v>2787</v>
      </c>
      <c r="E2162" t="s">
        <v>190</v>
      </c>
      <c r="F2162">
        <v>52</v>
      </c>
      <c r="G2162">
        <v>21.9</v>
      </c>
      <c r="H2162">
        <v>72.400000000000006</v>
      </c>
      <c r="I2162">
        <v>17.61</v>
      </c>
      <c r="J2162">
        <v>58.23</v>
      </c>
      <c r="K2162">
        <v>1</v>
      </c>
      <c r="T2162">
        <v>3</v>
      </c>
      <c r="U2162">
        <v>2</v>
      </c>
      <c r="V2162" t="s">
        <v>93</v>
      </c>
      <c r="W2162" t="s">
        <v>282</v>
      </c>
      <c r="X2162">
        <v>14</v>
      </c>
      <c r="Y2162">
        <v>14</v>
      </c>
      <c r="Z2162" t="s">
        <v>2788</v>
      </c>
      <c r="AA2162" t="s">
        <v>2789</v>
      </c>
      <c r="AB2162" t="s">
        <v>96</v>
      </c>
      <c r="AC2162" t="s">
        <v>97</v>
      </c>
      <c r="AD2162" t="s">
        <v>1818</v>
      </c>
      <c r="AG2162" t="s">
        <v>2790</v>
      </c>
      <c r="AH2162">
        <v>0</v>
      </c>
      <c r="AI2162">
        <v>509</v>
      </c>
      <c r="AJ2162">
        <v>54</v>
      </c>
      <c r="AK2162">
        <v>52</v>
      </c>
      <c r="AL2162">
        <v>1</v>
      </c>
    </row>
    <row r="2163" spans="1:38" x14ac:dyDescent="0.3">
      <c r="A2163" t="s">
        <v>1813</v>
      </c>
      <c r="B2163">
        <v>118549</v>
      </c>
      <c r="C2163">
        <v>2</v>
      </c>
      <c r="D2163" t="s">
        <v>2787</v>
      </c>
      <c r="E2163" t="s">
        <v>190</v>
      </c>
      <c r="F2163">
        <v>52</v>
      </c>
      <c r="G2163">
        <v>22.09</v>
      </c>
      <c r="H2163">
        <v>73.03</v>
      </c>
      <c r="I2163">
        <v>18.13</v>
      </c>
      <c r="J2163">
        <v>59.94</v>
      </c>
      <c r="K2163">
        <v>26</v>
      </c>
      <c r="T2163">
        <v>3</v>
      </c>
      <c r="U2163">
        <v>2</v>
      </c>
      <c r="V2163" t="s">
        <v>93</v>
      </c>
      <c r="W2163" t="s">
        <v>286</v>
      </c>
      <c r="X2163">
        <v>14</v>
      </c>
      <c r="Y2163">
        <v>14</v>
      </c>
      <c r="Z2163" t="s">
        <v>2788</v>
      </c>
      <c r="AA2163" t="s">
        <v>2789</v>
      </c>
      <c r="AB2163" t="s">
        <v>96</v>
      </c>
      <c r="AC2163" t="s">
        <v>97</v>
      </c>
      <c r="AD2163" t="s">
        <v>1818</v>
      </c>
      <c r="AG2163" t="s">
        <v>2790</v>
      </c>
      <c r="AH2163">
        <v>0</v>
      </c>
      <c r="AI2163">
        <v>509</v>
      </c>
      <c r="AJ2163">
        <v>54</v>
      </c>
      <c r="AK2163">
        <v>52</v>
      </c>
      <c r="AL2163">
        <v>1</v>
      </c>
    </row>
    <row r="2164" spans="1:38" x14ac:dyDescent="0.3">
      <c r="A2164" t="s">
        <v>1813</v>
      </c>
      <c r="B2164">
        <v>118549</v>
      </c>
      <c r="C2164">
        <v>3</v>
      </c>
      <c r="D2164" t="s">
        <v>2787</v>
      </c>
      <c r="E2164" t="s">
        <v>190</v>
      </c>
      <c r="F2164">
        <v>52</v>
      </c>
      <c r="G2164">
        <v>22.13</v>
      </c>
      <c r="H2164">
        <v>73.17</v>
      </c>
      <c r="I2164">
        <v>18.14</v>
      </c>
      <c r="J2164">
        <v>59.97</v>
      </c>
      <c r="K2164">
        <v>25</v>
      </c>
      <c r="T2164">
        <v>3</v>
      </c>
      <c r="U2164">
        <v>2</v>
      </c>
      <c r="V2164" t="s">
        <v>93</v>
      </c>
      <c r="W2164" t="s">
        <v>903</v>
      </c>
      <c r="X2164">
        <v>14</v>
      </c>
      <c r="Y2164">
        <v>14</v>
      </c>
      <c r="Z2164" t="s">
        <v>2788</v>
      </c>
      <c r="AA2164" t="s">
        <v>2789</v>
      </c>
      <c r="AB2164" t="s">
        <v>96</v>
      </c>
      <c r="AC2164" t="s">
        <v>97</v>
      </c>
      <c r="AD2164" t="s">
        <v>1818</v>
      </c>
      <c r="AG2164" t="s">
        <v>2790</v>
      </c>
      <c r="AH2164">
        <v>0</v>
      </c>
      <c r="AI2164">
        <v>509</v>
      </c>
      <c r="AJ2164">
        <v>54</v>
      </c>
      <c r="AK2164">
        <v>52</v>
      </c>
      <c r="AL2164">
        <v>1</v>
      </c>
    </row>
    <row r="2165" spans="1:38" x14ac:dyDescent="0.3">
      <c r="A2165" t="s">
        <v>1813</v>
      </c>
      <c r="B2165">
        <v>125070</v>
      </c>
      <c r="C2165">
        <v>1</v>
      </c>
      <c r="D2165" t="s">
        <v>2791</v>
      </c>
      <c r="E2165" t="s">
        <v>981</v>
      </c>
      <c r="F2165">
        <v>59</v>
      </c>
      <c r="G2165">
        <v>19.38</v>
      </c>
      <c r="H2165">
        <v>64.069999999999993</v>
      </c>
      <c r="I2165">
        <v>15.11</v>
      </c>
      <c r="J2165">
        <v>49.96</v>
      </c>
      <c r="K2165">
        <v>7</v>
      </c>
      <c r="T2165">
        <v>3</v>
      </c>
      <c r="U2165">
        <v>2</v>
      </c>
      <c r="V2165" t="s">
        <v>93</v>
      </c>
      <c r="W2165">
        <v>64</v>
      </c>
      <c r="X2165">
        <v>14</v>
      </c>
      <c r="Y2165">
        <v>14</v>
      </c>
      <c r="Z2165" t="s">
        <v>2792</v>
      </c>
      <c r="AA2165" t="s">
        <v>2793</v>
      </c>
      <c r="AB2165" t="s">
        <v>96</v>
      </c>
      <c r="AC2165" t="s">
        <v>97</v>
      </c>
      <c r="AD2165" t="s">
        <v>1818</v>
      </c>
      <c r="AG2165" t="s">
        <v>2794</v>
      </c>
      <c r="AH2165">
        <v>0</v>
      </c>
      <c r="AI2165">
        <v>748</v>
      </c>
      <c r="AJ2165">
        <v>76</v>
      </c>
      <c r="AK2165">
        <v>52</v>
      </c>
      <c r="AL2165">
        <v>0.88</v>
      </c>
    </row>
    <row r="2166" spans="1:38" x14ac:dyDescent="0.3">
      <c r="A2166" t="s">
        <v>1813</v>
      </c>
      <c r="B2166">
        <v>125070</v>
      </c>
      <c r="C2166">
        <v>2</v>
      </c>
      <c r="D2166" t="s">
        <v>2791</v>
      </c>
      <c r="E2166" t="s">
        <v>981</v>
      </c>
      <c r="F2166">
        <v>59</v>
      </c>
      <c r="G2166">
        <v>21.05</v>
      </c>
      <c r="H2166">
        <v>69.599999999999994</v>
      </c>
      <c r="I2166">
        <v>16.670000000000002</v>
      </c>
      <c r="J2166">
        <v>55.12</v>
      </c>
      <c r="K2166">
        <v>13</v>
      </c>
      <c r="T2166">
        <v>3</v>
      </c>
      <c r="U2166">
        <v>2</v>
      </c>
      <c r="V2166" t="s">
        <v>93</v>
      </c>
      <c r="W2166">
        <v>69</v>
      </c>
      <c r="X2166">
        <v>14</v>
      </c>
      <c r="Y2166">
        <v>14</v>
      </c>
      <c r="Z2166" t="s">
        <v>2792</v>
      </c>
      <c r="AA2166" t="s">
        <v>2793</v>
      </c>
      <c r="AB2166" t="s">
        <v>96</v>
      </c>
      <c r="AC2166" t="s">
        <v>97</v>
      </c>
      <c r="AD2166" t="s">
        <v>1818</v>
      </c>
      <c r="AG2166" t="s">
        <v>2794</v>
      </c>
      <c r="AH2166">
        <v>0</v>
      </c>
      <c r="AI2166">
        <v>748</v>
      </c>
      <c r="AJ2166">
        <v>76</v>
      </c>
      <c r="AK2166">
        <v>52</v>
      </c>
      <c r="AL2166">
        <v>0.88</v>
      </c>
    </row>
    <row r="2167" spans="1:38" x14ac:dyDescent="0.3">
      <c r="A2167" t="s">
        <v>1813</v>
      </c>
      <c r="B2167">
        <v>125070</v>
      </c>
      <c r="C2167">
        <v>3</v>
      </c>
      <c r="D2167" t="s">
        <v>2791</v>
      </c>
      <c r="E2167" t="s">
        <v>981</v>
      </c>
      <c r="F2167">
        <v>59</v>
      </c>
      <c r="G2167">
        <v>22.04</v>
      </c>
      <c r="H2167">
        <v>72.87</v>
      </c>
      <c r="I2167">
        <v>17.43</v>
      </c>
      <c r="J2167">
        <v>57.63</v>
      </c>
      <c r="K2167">
        <v>13</v>
      </c>
      <c r="T2167">
        <v>3</v>
      </c>
      <c r="U2167">
        <v>2</v>
      </c>
      <c r="V2167" t="s">
        <v>93</v>
      </c>
      <c r="W2167">
        <v>72</v>
      </c>
      <c r="X2167">
        <v>14</v>
      </c>
      <c r="Y2167">
        <v>14</v>
      </c>
      <c r="Z2167" t="s">
        <v>2792</v>
      </c>
      <c r="AA2167" t="s">
        <v>2793</v>
      </c>
      <c r="AB2167" t="s">
        <v>96</v>
      </c>
      <c r="AC2167" t="s">
        <v>97</v>
      </c>
      <c r="AD2167" t="s">
        <v>1818</v>
      </c>
      <c r="AG2167" t="s">
        <v>2794</v>
      </c>
      <c r="AH2167">
        <v>0</v>
      </c>
      <c r="AI2167">
        <v>748</v>
      </c>
      <c r="AJ2167">
        <v>76</v>
      </c>
      <c r="AK2167">
        <v>52</v>
      </c>
      <c r="AL2167">
        <v>0.88</v>
      </c>
    </row>
    <row r="2168" spans="1:38" x14ac:dyDescent="0.3">
      <c r="A2168" t="s">
        <v>1813</v>
      </c>
      <c r="B2168">
        <v>125070</v>
      </c>
      <c r="C2168">
        <v>4</v>
      </c>
      <c r="D2168" t="s">
        <v>2791</v>
      </c>
      <c r="E2168" t="s">
        <v>981</v>
      </c>
      <c r="F2168">
        <v>59</v>
      </c>
      <c r="G2168">
        <v>24.07</v>
      </c>
      <c r="H2168">
        <v>79.58</v>
      </c>
      <c r="I2168">
        <v>18.54</v>
      </c>
      <c r="J2168">
        <v>61.32</v>
      </c>
      <c r="K2168">
        <v>13</v>
      </c>
      <c r="T2168">
        <v>3</v>
      </c>
      <c r="U2168">
        <v>2</v>
      </c>
      <c r="V2168" t="s">
        <v>93</v>
      </c>
      <c r="W2168">
        <v>79</v>
      </c>
      <c r="X2168">
        <v>14</v>
      </c>
      <c r="Y2168">
        <v>14</v>
      </c>
      <c r="Z2168" t="s">
        <v>2792</v>
      </c>
      <c r="AA2168" t="s">
        <v>2793</v>
      </c>
      <c r="AB2168" t="s">
        <v>96</v>
      </c>
      <c r="AC2168" t="s">
        <v>97</v>
      </c>
      <c r="AD2168" t="s">
        <v>1818</v>
      </c>
      <c r="AG2168" t="s">
        <v>2794</v>
      </c>
      <c r="AH2168">
        <v>0</v>
      </c>
      <c r="AI2168">
        <v>748</v>
      </c>
      <c r="AJ2168">
        <v>76</v>
      </c>
      <c r="AK2168">
        <v>52</v>
      </c>
      <c r="AL2168">
        <v>0.88</v>
      </c>
    </row>
    <row r="2169" spans="1:38" x14ac:dyDescent="0.3">
      <c r="A2169" t="s">
        <v>1813</v>
      </c>
      <c r="B2169">
        <v>125070</v>
      </c>
      <c r="C2169">
        <v>5</v>
      </c>
      <c r="D2169" t="s">
        <v>2791</v>
      </c>
      <c r="E2169" t="s">
        <v>981</v>
      </c>
      <c r="F2169">
        <v>59</v>
      </c>
      <c r="G2169">
        <v>24.93</v>
      </c>
      <c r="H2169">
        <v>82.42</v>
      </c>
      <c r="I2169">
        <v>19.75</v>
      </c>
      <c r="J2169">
        <v>65.290000000000006</v>
      </c>
      <c r="K2169">
        <v>13</v>
      </c>
      <c r="T2169">
        <v>3</v>
      </c>
      <c r="U2169">
        <v>2</v>
      </c>
      <c r="V2169" t="s">
        <v>93</v>
      </c>
      <c r="W2169">
        <v>82</v>
      </c>
      <c r="X2169">
        <v>14</v>
      </c>
      <c r="Y2169">
        <v>14</v>
      </c>
      <c r="Z2169" t="s">
        <v>2792</v>
      </c>
      <c r="AA2169" t="s">
        <v>2793</v>
      </c>
      <c r="AB2169" t="s">
        <v>96</v>
      </c>
      <c r="AC2169" t="s">
        <v>97</v>
      </c>
      <c r="AD2169" t="s">
        <v>1818</v>
      </c>
      <c r="AG2169" t="s">
        <v>2794</v>
      </c>
      <c r="AH2169">
        <v>0</v>
      </c>
      <c r="AI2169">
        <v>748</v>
      </c>
      <c r="AJ2169">
        <v>76</v>
      </c>
      <c r="AK2169">
        <v>52</v>
      </c>
      <c r="AL2169">
        <v>0.88</v>
      </c>
    </row>
    <row r="2170" spans="1:38" x14ac:dyDescent="0.3">
      <c r="A2170" t="s">
        <v>1813</v>
      </c>
      <c r="B2170">
        <v>135359</v>
      </c>
      <c r="C2170">
        <v>1</v>
      </c>
      <c r="D2170" t="s">
        <v>2795</v>
      </c>
      <c r="E2170" t="s">
        <v>1090</v>
      </c>
      <c r="F2170">
        <v>5</v>
      </c>
      <c r="G2170">
        <v>20.22</v>
      </c>
      <c r="H2170">
        <v>66.86</v>
      </c>
      <c r="I2170">
        <v>14.84</v>
      </c>
      <c r="J2170">
        <v>49.08</v>
      </c>
      <c r="K2170">
        <v>1</v>
      </c>
      <c r="T2170">
        <v>3</v>
      </c>
      <c r="U2170">
        <v>1</v>
      </c>
      <c r="V2170" t="s">
        <v>93</v>
      </c>
      <c r="W2170" t="s">
        <v>257</v>
      </c>
      <c r="X2170">
        <v>7</v>
      </c>
      <c r="Y2170">
        <v>4</v>
      </c>
      <c r="Z2170" t="s">
        <v>2796</v>
      </c>
      <c r="AA2170" t="s">
        <v>2797</v>
      </c>
      <c r="AB2170" t="s">
        <v>96</v>
      </c>
      <c r="AC2170" t="s">
        <v>97</v>
      </c>
      <c r="AD2170" t="s">
        <v>1818</v>
      </c>
      <c r="AG2170" t="s">
        <v>2798</v>
      </c>
      <c r="AH2170">
        <v>0</v>
      </c>
      <c r="AI2170">
        <v>330</v>
      </c>
      <c r="AJ2170">
        <v>71</v>
      </c>
      <c r="AK2170">
        <v>3</v>
      </c>
      <c r="AL2170">
        <v>0.6</v>
      </c>
    </row>
    <row r="2171" spans="1:38" x14ac:dyDescent="0.3">
      <c r="A2171" t="s">
        <v>1813</v>
      </c>
      <c r="B2171">
        <v>135359</v>
      </c>
      <c r="C2171">
        <v>2</v>
      </c>
      <c r="D2171" t="s">
        <v>2795</v>
      </c>
      <c r="E2171" t="s">
        <v>1090</v>
      </c>
      <c r="F2171">
        <v>5</v>
      </c>
      <c r="G2171">
        <v>20.36</v>
      </c>
      <c r="H2171">
        <v>67.319999999999993</v>
      </c>
      <c r="I2171">
        <v>14.87</v>
      </c>
      <c r="J2171">
        <v>49.16</v>
      </c>
      <c r="K2171">
        <v>3</v>
      </c>
      <c r="T2171">
        <v>3</v>
      </c>
      <c r="U2171">
        <v>1</v>
      </c>
      <c r="V2171" t="s">
        <v>93</v>
      </c>
      <c r="W2171" t="s">
        <v>858</v>
      </c>
      <c r="X2171">
        <v>7</v>
      </c>
      <c r="Y2171">
        <v>4</v>
      </c>
      <c r="Z2171" t="s">
        <v>2796</v>
      </c>
      <c r="AA2171" t="s">
        <v>2797</v>
      </c>
      <c r="AB2171" t="s">
        <v>96</v>
      </c>
      <c r="AC2171" t="s">
        <v>97</v>
      </c>
      <c r="AD2171" t="s">
        <v>1818</v>
      </c>
      <c r="AG2171" t="s">
        <v>2798</v>
      </c>
      <c r="AH2171">
        <v>0</v>
      </c>
      <c r="AI2171">
        <v>330</v>
      </c>
      <c r="AJ2171">
        <v>71</v>
      </c>
      <c r="AK2171">
        <v>3</v>
      </c>
      <c r="AL2171">
        <v>0.6</v>
      </c>
    </row>
    <row r="2172" spans="1:38" x14ac:dyDescent="0.3">
      <c r="A2172" t="s">
        <v>1813</v>
      </c>
      <c r="B2172">
        <v>135359</v>
      </c>
      <c r="C2172">
        <v>3</v>
      </c>
      <c r="D2172" t="s">
        <v>2795</v>
      </c>
      <c r="E2172" t="s">
        <v>1090</v>
      </c>
      <c r="F2172">
        <v>5</v>
      </c>
      <c r="G2172">
        <v>20.51</v>
      </c>
      <c r="H2172">
        <v>67.819999999999993</v>
      </c>
      <c r="I2172">
        <v>14.93</v>
      </c>
      <c r="J2172">
        <v>49.38</v>
      </c>
      <c r="K2172">
        <v>1</v>
      </c>
      <c r="T2172">
        <v>3</v>
      </c>
      <c r="U2172">
        <v>1</v>
      </c>
      <c r="V2172" t="s">
        <v>93</v>
      </c>
      <c r="W2172">
        <v>67</v>
      </c>
      <c r="X2172">
        <v>7</v>
      </c>
      <c r="Y2172">
        <v>4</v>
      </c>
      <c r="Z2172" t="s">
        <v>2796</v>
      </c>
      <c r="AA2172" t="s">
        <v>2797</v>
      </c>
      <c r="AB2172" t="s">
        <v>96</v>
      </c>
      <c r="AC2172" t="s">
        <v>97</v>
      </c>
      <c r="AD2172" t="s">
        <v>1818</v>
      </c>
      <c r="AG2172" t="s">
        <v>2798</v>
      </c>
      <c r="AH2172">
        <v>0</v>
      </c>
      <c r="AI2172">
        <v>330</v>
      </c>
      <c r="AJ2172">
        <v>71</v>
      </c>
      <c r="AK2172">
        <v>3</v>
      </c>
      <c r="AL2172">
        <v>0.6</v>
      </c>
    </row>
    <row r="2173" spans="1:38" x14ac:dyDescent="0.3">
      <c r="A2173" t="s">
        <v>1813</v>
      </c>
      <c r="B2173">
        <v>22348</v>
      </c>
      <c r="C2173">
        <v>1</v>
      </c>
      <c r="D2173" t="s">
        <v>2799</v>
      </c>
      <c r="E2173" t="s">
        <v>2800</v>
      </c>
      <c r="F2173">
        <v>3158</v>
      </c>
      <c r="G2173">
        <v>27.15</v>
      </c>
      <c r="H2173">
        <v>89.76</v>
      </c>
      <c r="I2173">
        <v>18.14</v>
      </c>
      <c r="J2173">
        <v>59.99</v>
      </c>
      <c r="K2173">
        <v>1232</v>
      </c>
      <c r="T2173">
        <v>3</v>
      </c>
      <c r="U2173">
        <v>2</v>
      </c>
      <c r="V2173" t="s">
        <v>93</v>
      </c>
      <c r="W2173" t="s">
        <v>305</v>
      </c>
      <c r="X2173">
        <v>35</v>
      </c>
      <c r="Y2173">
        <v>14</v>
      </c>
      <c r="Z2173" t="s">
        <v>2801</v>
      </c>
      <c r="AA2173" t="s">
        <v>2802</v>
      </c>
      <c r="AB2173" t="s">
        <v>96</v>
      </c>
      <c r="AC2173" t="s">
        <v>97</v>
      </c>
      <c r="AD2173" t="s">
        <v>1818</v>
      </c>
      <c r="AG2173" t="s">
        <v>2803</v>
      </c>
      <c r="AH2173">
        <v>0</v>
      </c>
      <c r="AI2173">
        <v>317</v>
      </c>
      <c r="AJ2173">
        <v>18</v>
      </c>
      <c r="AK2173">
        <v>3288</v>
      </c>
      <c r="AL2173">
        <v>1.04</v>
      </c>
    </row>
    <row r="2174" spans="1:38" x14ac:dyDescent="0.3">
      <c r="A2174" t="s">
        <v>1813</v>
      </c>
      <c r="B2174">
        <v>22348</v>
      </c>
      <c r="C2174">
        <v>2</v>
      </c>
      <c r="D2174" t="s">
        <v>2799</v>
      </c>
      <c r="E2174" t="s">
        <v>2800</v>
      </c>
      <c r="F2174">
        <v>3158</v>
      </c>
      <c r="G2174">
        <v>27.4</v>
      </c>
      <c r="H2174">
        <v>90.61</v>
      </c>
      <c r="I2174">
        <v>18.14</v>
      </c>
      <c r="J2174">
        <v>59.99</v>
      </c>
      <c r="K2174">
        <v>23</v>
      </c>
      <c r="T2174">
        <v>3</v>
      </c>
      <c r="U2174">
        <v>2</v>
      </c>
      <c r="V2174" t="s">
        <v>93</v>
      </c>
      <c r="W2174" t="s">
        <v>830</v>
      </c>
      <c r="X2174">
        <v>35</v>
      </c>
      <c r="Y2174">
        <v>14</v>
      </c>
      <c r="Z2174" t="s">
        <v>2801</v>
      </c>
      <c r="AA2174" t="s">
        <v>2802</v>
      </c>
      <c r="AB2174" t="s">
        <v>96</v>
      </c>
      <c r="AC2174" t="s">
        <v>97</v>
      </c>
      <c r="AD2174" t="s">
        <v>1818</v>
      </c>
      <c r="AG2174" t="s">
        <v>2803</v>
      </c>
      <c r="AH2174">
        <v>0</v>
      </c>
      <c r="AI2174">
        <v>317</v>
      </c>
      <c r="AJ2174">
        <v>18</v>
      </c>
      <c r="AK2174">
        <v>3288</v>
      </c>
      <c r="AL2174">
        <v>1.04</v>
      </c>
    </row>
    <row r="2175" spans="1:38" x14ac:dyDescent="0.3">
      <c r="A2175" t="s">
        <v>1813</v>
      </c>
      <c r="B2175">
        <v>22348</v>
      </c>
      <c r="C2175">
        <v>3</v>
      </c>
      <c r="D2175" t="s">
        <v>2799</v>
      </c>
      <c r="E2175" t="s">
        <v>2800</v>
      </c>
      <c r="F2175">
        <v>3158</v>
      </c>
      <c r="G2175">
        <v>28.32</v>
      </c>
      <c r="H2175">
        <v>93.65</v>
      </c>
      <c r="I2175">
        <v>18.14</v>
      </c>
      <c r="J2175">
        <v>59.99</v>
      </c>
      <c r="K2175">
        <v>118</v>
      </c>
      <c r="T2175">
        <v>3</v>
      </c>
      <c r="U2175">
        <v>2</v>
      </c>
      <c r="V2175" t="s">
        <v>93</v>
      </c>
      <c r="W2175">
        <v>93</v>
      </c>
      <c r="X2175">
        <v>35</v>
      </c>
      <c r="Y2175">
        <v>14</v>
      </c>
      <c r="Z2175" t="s">
        <v>2801</v>
      </c>
      <c r="AA2175" t="s">
        <v>2802</v>
      </c>
      <c r="AB2175" t="s">
        <v>96</v>
      </c>
      <c r="AC2175" t="s">
        <v>97</v>
      </c>
      <c r="AD2175" t="s">
        <v>1818</v>
      </c>
      <c r="AG2175" t="s">
        <v>2803</v>
      </c>
      <c r="AH2175">
        <v>0</v>
      </c>
      <c r="AI2175">
        <v>317</v>
      </c>
      <c r="AJ2175">
        <v>18</v>
      </c>
      <c r="AK2175">
        <v>3288</v>
      </c>
      <c r="AL2175">
        <v>1.04</v>
      </c>
    </row>
    <row r="2176" spans="1:38" x14ac:dyDescent="0.3">
      <c r="A2176" t="s">
        <v>1813</v>
      </c>
      <c r="B2176">
        <v>22348</v>
      </c>
      <c r="C2176">
        <v>4</v>
      </c>
      <c r="D2176" t="s">
        <v>2799</v>
      </c>
      <c r="E2176" t="s">
        <v>2800</v>
      </c>
      <c r="F2176">
        <v>3158</v>
      </c>
      <c r="G2176">
        <v>35.03</v>
      </c>
      <c r="H2176">
        <v>115.83</v>
      </c>
      <c r="I2176">
        <v>25.7</v>
      </c>
      <c r="J2176">
        <v>84.97</v>
      </c>
      <c r="K2176">
        <v>831</v>
      </c>
      <c r="T2176">
        <v>3</v>
      </c>
      <c r="U2176">
        <v>2</v>
      </c>
      <c r="V2176" t="s">
        <v>93</v>
      </c>
      <c r="W2176">
        <v>115</v>
      </c>
      <c r="X2176">
        <v>35</v>
      </c>
      <c r="Y2176">
        <v>14</v>
      </c>
      <c r="Z2176" t="s">
        <v>2801</v>
      </c>
      <c r="AA2176" t="s">
        <v>2802</v>
      </c>
      <c r="AB2176" t="s">
        <v>96</v>
      </c>
      <c r="AC2176" t="s">
        <v>97</v>
      </c>
      <c r="AD2176" t="s">
        <v>1818</v>
      </c>
      <c r="AG2176" t="s">
        <v>2803</v>
      </c>
      <c r="AH2176">
        <v>0</v>
      </c>
      <c r="AI2176">
        <v>317</v>
      </c>
      <c r="AJ2176">
        <v>18</v>
      </c>
      <c r="AK2176">
        <v>3288</v>
      </c>
      <c r="AL2176">
        <v>1.04</v>
      </c>
    </row>
    <row r="2177" spans="1:38" x14ac:dyDescent="0.3">
      <c r="A2177" t="s">
        <v>1813</v>
      </c>
      <c r="B2177">
        <v>22348</v>
      </c>
      <c r="C2177">
        <v>5</v>
      </c>
      <c r="D2177" t="s">
        <v>2799</v>
      </c>
      <c r="E2177" t="s">
        <v>2800</v>
      </c>
      <c r="F2177">
        <v>3158</v>
      </c>
      <c r="G2177">
        <v>35.71</v>
      </c>
      <c r="H2177">
        <v>118.07</v>
      </c>
      <c r="I2177">
        <v>25.7</v>
      </c>
      <c r="J2177">
        <v>84.99</v>
      </c>
      <c r="K2177">
        <v>74</v>
      </c>
      <c r="T2177">
        <v>3</v>
      </c>
      <c r="U2177">
        <v>2</v>
      </c>
      <c r="V2177" t="s">
        <v>93</v>
      </c>
      <c r="W2177" t="s">
        <v>1658</v>
      </c>
      <c r="X2177">
        <v>35</v>
      </c>
      <c r="Y2177">
        <v>14</v>
      </c>
      <c r="Z2177" t="s">
        <v>2801</v>
      </c>
      <c r="AA2177" t="s">
        <v>2802</v>
      </c>
      <c r="AB2177" t="s">
        <v>96</v>
      </c>
      <c r="AC2177" t="s">
        <v>97</v>
      </c>
      <c r="AD2177" t="s">
        <v>1818</v>
      </c>
      <c r="AG2177" t="s">
        <v>2803</v>
      </c>
      <c r="AH2177">
        <v>0</v>
      </c>
      <c r="AI2177">
        <v>317</v>
      </c>
      <c r="AJ2177">
        <v>18</v>
      </c>
      <c r="AK2177">
        <v>3288</v>
      </c>
      <c r="AL2177">
        <v>1.04</v>
      </c>
    </row>
    <row r="2178" spans="1:38" x14ac:dyDescent="0.3">
      <c r="A2178" t="s">
        <v>1813</v>
      </c>
      <c r="B2178">
        <v>22348</v>
      </c>
      <c r="C2178">
        <v>6</v>
      </c>
      <c r="D2178" t="s">
        <v>2799</v>
      </c>
      <c r="E2178" t="s">
        <v>2800</v>
      </c>
      <c r="F2178">
        <v>3158</v>
      </c>
      <c r="G2178">
        <v>35.71</v>
      </c>
      <c r="H2178">
        <v>118.07</v>
      </c>
      <c r="I2178">
        <v>25.7</v>
      </c>
      <c r="J2178">
        <v>84.98</v>
      </c>
      <c r="K2178">
        <v>66</v>
      </c>
      <c r="T2178">
        <v>3</v>
      </c>
      <c r="U2178">
        <v>2</v>
      </c>
      <c r="V2178" t="s">
        <v>93</v>
      </c>
      <c r="W2178" t="s">
        <v>1659</v>
      </c>
      <c r="X2178">
        <v>35</v>
      </c>
      <c r="Y2178">
        <v>14</v>
      </c>
      <c r="Z2178" t="s">
        <v>2801</v>
      </c>
      <c r="AA2178" t="s">
        <v>2802</v>
      </c>
      <c r="AB2178" t="s">
        <v>96</v>
      </c>
      <c r="AC2178" t="s">
        <v>97</v>
      </c>
      <c r="AD2178" t="s">
        <v>1818</v>
      </c>
      <c r="AG2178" t="s">
        <v>2803</v>
      </c>
      <c r="AH2178">
        <v>0</v>
      </c>
      <c r="AI2178">
        <v>317</v>
      </c>
      <c r="AJ2178">
        <v>18</v>
      </c>
      <c r="AK2178">
        <v>3288</v>
      </c>
      <c r="AL2178">
        <v>1.04</v>
      </c>
    </row>
    <row r="2179" spans="1:38" x14ac:dyDescent="0.3">
      <c r="A2179" t="s">
        <v>1813</v>
      </c>
      <c r="B2179">
        <v>22348</v>
      </c>
      <c r="C2179">
        <v>7</v>
      </c>
      <c r="D2179" t="s">
        <v>2799</v>
      </c>
      <c r="E2179" t="s">
        <v>2800</v>
      </c>
      <c r="F2179">
        <v>3158</v>
      </c>
      <c r="G2179">
        <v>36.14</v>
      </c>
      <c r="H2179">
        <v>119.49</v>
      </c>
      <c r="I2179">
        <v>25.7</v>
      </c>
      <c r="J2179">
        <v>84.97</v>
      </c>
      <c r="K2179">
        <v>280</v>
      </c>
      <c r="T2179">
        <v>3</v>
      </c>
      <c r="U2179">
        <v>2</v>
      </c>
      <c r="V2179" t="s">
        <v>93</v>
      </c>
      <c r="W2179" t="s">
        <v>2804</v>
      </c>
      <c r="X2179">
        <v>35</v>
      </c>
      <c r="Y2179">
        <v>14</v>
      </c>
      <c r="Z2179" t="s">
        <v>2801</v>
      </c>
      <c r="AA2179" t="s">
        <v>2802</v>
      </c>
      <c r="AB2179" t="s">
        <v>96</v>
      </c>
      <c r="AC2179" t="s">
        <v>97</v>
      </c>
      <c r="AD2179" t="s">
        <v>1818</v>
      </c>
      <c r="AG2179" t="s">
        <v>2803</v>
      </c>
      <c r="AH2179">
        <v>0</v>
      </c>
      <c r="AI2179">
        <v>317</v>
      </c>
      <c r="AJ2179">
        <v>18</v>
      </c>
      <c r="AK2179">
        <v>3288</v>
      </c>
      <c r="AL2179">
        <v>1.04</v>
      </c>
    </row>
    <row r="2180" spans="1:38" x14ac:dyDescent="0.3">
      <c r="A2180" t="s">
        <v>1813</v>
      </c>
      <c r="B2180">
        <v>22348</v>
      </c>
      <c r="C2180">
        <v>8</v>
      </c>
      <c r="D2180" t="s">
        <v>2799</v>
      </c>
      <c r="E2180" t="s">
        <v>2800</v>
      </c>
      <c r="F2180">
        <v>3158</v>
      </c>
      <c r="G2180">
        <v>42.32</v>
      </c>
      <c r="H2180">
        <v>139.91</v>
      </c>
      <c r="I2180">
        <v>33.520000000000003</v>
      </c>
      <c r="J2180">
        <v>110.81</v>
      </c>
      <c r="K2180">
        <v>2</v>
      </c>
      <c r="T2180">
        <v>4</v>
      </c>
      <c r="U2180">
        <v>2</v>
      </c>
      <c r="V2180" t="s">
        <v>93</v>
      </c>
      <c r="W2180">
        <v>139</v>
      </c>
      <c r="X2180">
        <v>35</v>
      </c>
      <c r="Y2180">
        <v>14</v>
      </c>
      <c r="Z2180" t="s">
        <v>2801</v>
      </c>
      <c r="AA2180" t="s">
        <v>2802</v>
      </c>
      <c r="AB2180" t="s">
        <v>96</v>
      </c>
      <c r="AC2180" t="s">
        <v>97</v>
      </c>
      <c r="AD2180" t="s">
        <v>1818</v>
      </c>
      <c r="AG2180" t="s">
        <v>2803</v>
      </c>
      <c r="AH2180">
        <v>0</v>
      </c>
      <c r="AI2180">
        <v>317</v>
      </c>
      <c r="AJ2180">
        <v>18</v>
      </c>
      <c r="AK2180">
        <v>3288</v>
      </c>
      <c r="AL2180">
        <v>1.04</v>
      </c>
    </row>
    <row r="2181" spans="1:38" x14ac:dyDescent="0.3">
      <c r="A2181" t="s">
        <v>1813</v>
      </c>
      <c r="B2181">
        <v>22348</v>
      </c>
      <c r="C2181">
        <v>9</v>
      </c>
      <c r="D2181" t="s">
        <v>2799</v>
      </c>
      <c r="E2181" t="s">
        <v>2800</v>
      </c>
      <c r="F2181">
        <v>3158</v>
      </c>
      <c r="G2181">
        <v>47.89</v>
      </c>
      <c r="H2181">
        <v>158.32</v>
      </c>
      <c r="I2181">
        <v>38.39</v>
      </c>
      <c r="J2181">
        <v>126.91</v>
      </c>
      <c r="K2181">
        <v>427</v>
      </c>
      <c r="T2181">
        <v>4</v>
      </c>
      <c r="U2181">
        <v>2</v>
      </c>
      <c r="V2181" t="s">
        <v>93</v>
      </c>
      <c r="W2181" t="s">
        <v>2805</v>
      </c>
      <c r="X2181">
        <v>35</v>
      </c>
      <c r="Y2181">
        <v>14</v>
      </c>
      <c r="Z2181" t="s">
        <v>2801</v>
      </c>
      <c r="AA2181" t="s">
        <v>2802</v>
      </c>
      <c r="AB2181" t="s">
        <v>96</v>
      </c>
      <c r="AC2181" t="s">
        <v>97</v>
      </c>
      <c r="AD2181" t="s">
        <v>1818</v>
      </c>
      <c r="AG2181" t="s">
        <v>2803</v>
      </c>
      <c r="AH2181">
        <v>0</v>
      </c>
      <c r="AI2181">
        <v>317</v>
      </c>
      <c r="AJ2181">
        <v>18</v>
      </c>
      <c r="AK2181">
        <v>3288</v>
      </c>
      <c r="AL2181">
        <v>1.04</v>
      </c>
    </row>
    <row r="2182" spans="1:38" x14ac:dyDescent="0.3">
      <c r="A2182" t="s">
        <v>1813</v>
      </c>
      <c r="B2182">
        <v>22348</v>
      </c>
      <c r="C2182">
        <v>10</v>
      </c>
      <c r="D2182" t="s">
        <v>2799</v>
      </c>
      <c r="E2182" t="s">
        <v>2800</v>
      </c>
      <c r="F2182">
        <v>3158</v>
      </c>
      <c r="G2182">
        <v>48.44</v>
      </c>
      <c r="H2182">
        <v>160.13999999999999</v>
      </c>
      <c r="I2182">
        <v>38.39</v>
      </c>
      <c r="J2182">
        <v>126.91</v>
      </c>
      <c r="K2182">
        <v>105</v>
      </c>
      <c r="T2182">
        <v>4</v>
      </c>
      <c r="U2182">
        <v>2</v>
      </c>
      <c r="V2182" t="s">
        <v>93</v>
      </c>
      <c r="W2182" t="s">
        <v>2806</v>
      </c>
      <c r="X2182">
        <v>35</v>
      </c>
      <c r="Y2182">
        <v>14</v>
      </c>
      <c r="Z2182" t="s">
        <v>2801</v>
      </c>
      <c r="AA2182" t="s">
        <v>2802</v>
      </c>
      <c r="AB2182" t="s">
        <v>96</v>
      </c>
      <c r="AC2182" t="s">
        <v>97</v>
      </c>
      <c r="AD2182" t="s">
        <v>1818</v>
      </c>
      <c r="AG2182" t="s">
        <v>2803</v>
      </c>
      <c r="AH2182">
        <v>0</v>
      </c>
      <c r="AI2182">
        <v>317</v>
      </c>
      <c r="AJ2182">
        <v>18</v>
      </c>
      <c r="AK2182">
        <v>3288</v>
      </c>
      <c r="AL2182">
        <v>1.04</v>
      </c>
    </row>
    <row r="2183" spans="1:38" x14ac:dyDescent="0.3">
      <c r="A2183" t="s">
        <v>1813</v>
      </c>
      <c r="B2183">
        <v>136883</v>
      </c>
      <c r="C2183">
        <v>1</v>
      </c>
      <c r="D2183" t="s">
        <v>2807</v>
      </c>
      <c r="E2183" t="s">
        <v>759</v>
      </c>
      <c r="F2183">
        <v>13</v>
      </c>
      <c r="G2183">
        <v>16.77</v>
      </c>
      <c r="H2183">
        <v>55.47</v>
      </c>
      <c r="I2183">
        <v>13</v>
      </c>
      <c r="J2183">
        <v>43</v>
      </c>
      <c r="K2183">
        <v>2</v>
      </c>
      <c r="T2183">
        <v>2</v>
      </c>
      <c r="U2183">
        <v>1</v>
      </c>
      <c r="V2183" t="s">
        <v>93</v>
      </c>
      <c r="W2183" t="s">
        <v>1986</v>
      </c>
      <c r="X2183">
        <v>9</v>
      </c>
      <c r="Y2183">
        <v>7</v>
      </c>
      <c r="Z2183" t="s">
        <v>2808</v>
      </c>
      <c r="AA2183" t="s">
        <v>2809</v>
      </c>
      <c r="AB2183" t="s">
        <v>96</v>
      </c>
      <c r="AC2183" t="s">
        <v>97</v>
      </c>
      <c r="AD2183" t="s">
        <v>1818</v>
      </c>
      <c r="AG2183" t="s">
        <v>2810</v>
      </c>
      <c r="AH2183">
        <v>0</v>
      </c>
      <c r="AI2183">
        <v>487</v>
      </c>
      <c r="AJ2183">
        <v>75</v>
      </c>
      <c r="AK2183">
        <v>11</v>
      </c>
      <c r="AL2183">
        <v>0.85</v>
      </c>
    </row>
    <row r="2184" spans="1:38" x14ac:dyDescent="0.3">
      <c r="A2184" t="s">
        <v>1813</v>
      </c>
      <c r="B2184">
        <v>136883</v>
      </c>
      <c r="C2184">
        <v>2</v>
      </c>
      <c r="D2184" t="s">
        <v>2807</v>
      </c>
      <c r="E2184" t="s">
        <v>759</v>
      </c>
      <c r="F2184">
        <v>13</v>
      </c>
      <c r="G2184">
        <v>16.87</v>
      </c>
      <c r="H2184">
        <v>55.77</v>
      </c>
      <c r="I2184">
        <v>13.01</v>
      </c>
      <c r="J2184">
        <v>43.04</v>
      </c>
      <c r="K2184">
        <v>1</v>
      </c>
      <c r="T2184">
        <v>2</v>
      </c>
      <c r="U2184">
        <v>1</v>
      </c>
      <c r="V2184" t="s">
        <v>93</v>
      </c>
      <c r="W2184" t="s">
        <v>177</v>
      </c>
      <c r="X2184">
        <v>9</v>
      </c>
      <c r="Y2184">
        <v>7</v>
      </c>
      <c r="Z2184" t="s">
        <v>2808</v>
      </c>
      <c r="AA2184" t="s">
        <v>2809</v>
      </c>
      <c r="AB2184" t="s">
        <v>96</v>
      </c>
      <c r="AC2184" t="s">
        <v>97</v>
      </c>
      <c r="AD2184" t="s">
        <v>1818</v>
      </c>
      <c r="AG2184" t="s">
        <v>2810</v>
      </c>
      <c r="AH2184">
        <v>0</v>
      </c>
      <c r="AI2184">
        <v>487</v>
      </c>
      <c r="AJ2184">
        <v>75</v>
      </c>
      <c r="AK2184">
        <v>11</v>
      </c>
      <c r="AL2184">
        <v>0.85</v>
      </c>
    </row>
    <row r="2185" spans="1:38" x14ac:dyDescent="0.3">
      <c r="A2185" t="s">
        <v>1813</v>
      </c>
      <c r="B2185">
        <v>136883</v>
      </c>
      <c r="C2185">
        <v>3</v>
      </c>
      <c r="D2185" t="s">
        <v>2807</v>
      </c>
      <c r="E2185" t="s">
        <v>759</v>
      </c>
      <c r="F2185">
        <v>13</v>
      </c>
      <c r="G2185">
        <v>19.260000000000002</v>
      </c>
      <c r="H2185">
        <v>63.69</v>
      </c>
      <c r="I2185">
        <v>15.01</v>
      </c>
      <c r="J2185">
        <v>49.65</v>
      </c>
      <c r="K2185">
        <v>2</v>
      </c>
      <c r="T2185">
        <v>2</v>
      </c>
      <c r="U2185">
        <v>1</v>
      </c>
      <c r="V2185" t="s">
        <v>93</v>
      </c>
      <c r="W2185" t="s">
        <v>195</v>
      </c>
      <c r="X2185">
        <v>9</v>
      </c>
      <c r="Y2185">
        <v>7</v>
      </c>
      <c r="Z2185" t="s">
        <v>2808</v>
      </c>
      <c r="AA2185" t="s">
        <v>2809</v>
      </c>
      <c r="AB2185" t="s">
        <v>96</v>
      </c>
      <c r="AC2185" t="s">
        <v>97</v>
      </c>
      <c r="AD2185" t="s">
        <v>1818</v>
      </c>
      <c r="AG2185" t="s">
        <v>2810</v>
      </c>
      <c r="AH2185">
        <v>0</v>
      </c>
      <c r="AI2185">
        <v>487</v>
      </c>
      <c r="AJ2185">
        <v>75</v>
      </c>
      <c r="AK2185">
        <v>11</v>
      </c>
      <c r="AL2185">
        <v>0.85</v>
      </c>
    </row>
    <row r="2186" spans="1:38" x14ac:dyDescent="0.3">
      <c r="A2186" t="s">
        <v>1813</v>
      </c>
      <c r="B2186">
        <v>136883</v>
      </c>
      <c r="C2186">
        <v>4</v>
      </c>
      <c r="D2186" t="s">
        <v>2807</v>
      </c>
      <c r="E2186" t="s">
        <v>759</v>
      </c>
      <c r="F2186">
        <v>13</v>
      </c>
      <c r="G2186">
        <v>19.510000000000002</v>
      </c>
      <c r="H2186">
        <v>64.5</v>
      </c>
      <c r="I2186">
        <v>15.07</v>
      </c>
      <c r="J2186">
        <v>49.85</v>
      </c>
      <c r="K2186">
        <v>2</v>
      </c>
      <c r="T2186">
        <v>2</v>
      </c>
      <c r="U2186">
        <v>1</v>
      </c>
      <c r="V2186" t="s">
        <v>93</v>
      </c>
      <c r="W2186" t="s">
        <v>279</v>
      </c>
      <c r="X2186">
        <v>9</v>
      </c>
      <c r="Y2186">
        <v>7</v>
      </c>
      <c r="Z2186" t="s">
        <v>2808</v>
      </c>
      <c r="AA2186" t="s">
        <v>2809</v>
      </c>
      <c r="AB2186" t="s">
        <v>96</v>
      </c>
      <c r="AC2186" t="s">
        <v>97</v>
      </c>
      <c r="AD2186" t="s">
        <v>1818</v>
      </c>
      <c r="AG2186" t="s">
        <v>2810</v>
      </c>
      <c r="AH2186">
        <v>0</v>
      </c>
      <c r="AI2186">
        <v>487</v>
      </c>
      <c r="AJ2186">
        <v>75</v>
      </c>
      <c r="AK2186">
        <v>11</v>
      </c>
      <c r="AL2186">
        <v>0.85</v>
      </c>
    </row>
    <row r="2187" spans="1:38" x14ac:dyDescent="0.3">
      <c r="A2187" t="s">
        <v>1813</v>
      </c>
      <c r="B2187">
        <v>136883</v>
      </c>
      <c r="C2187">
        <v>5</v>
      </c>
      <c r="D2187" t="s">
        <v>2807</v>
      </c>
      <c r="E2187" t="s">
        <v>759</v>
      </c>
      <c r="F2187">
        <v>13</v>
      </c>
      <c r="G2187">
        <v>19.45</v>
      </c>
      <c r="H2187">
        <v>64.3</v>
      </c>
      <c r="I2187">
        <v>15.07</v>
      </c>
      <c r="J2187">
        <v>49.83</v>
      </c>
      <c r="K2187">
        <v>2</v>
      </c>
      <c r="T2187">
        <v>2</v>
      </c>
      <c r="U2187">
        <v>1</v>
      </c>
      <c r="V2187" t="s">
        <v>93</v>
      </c>
      <c r="W2187" t="s">
        <v>468</v>
      </c>
      <c r="X2187">
        <v>9</v>
      </c>
      <c r="Y2187">
        <v>7</v>
      </c>
      <c r="Z2187" t="s">
        <v>2808</v>
      </c>
      <c r="AA2187" t="s">
        <v>2809</v>
      </c>
      <c r="AB2187" t="s">
        <v>96</v>
      </c>
      <c r="AC2187" t="s">
        <v>97</v>
      </c>
      <c r="AD2187" t="s">
        <v>1818</v>
      </c>
      <c r="AG2187" t="s">
        <v>2810</v>
      </c>
      <c r="AH2187">
        <v>0</v>
      </c>
      <c r="AI2187">
        <v>487</v>
      </c>
      <c r="AJ2187">
        <v>75</v>
      </c>
      <c r="AK2187">
        <v>11</v>
      </c>
      <c r="AL2187">
        <v>0.85</v>
      </c>
    </row>
    <row r="2188" spans="1:38" x14ac:dyDescent="0.3">
      <c r="A2188" t="s">
        <v>1813</v>
      </c>
      <c r="B2188">
        <v>136883</v>
      </c>
      <c r="C2188">
        <v>6</v>
      </c>
      <c r="D2188" t="s">
        <v>2807</v>
      </c>
      <c r="E2188" t="s">
        <v>759</v>
      </c>
      <c r="F2188">
        <v>13</v>
      </c>
      <c r="G2188">
        <v>19.43</v>
      </c>
      <c r="H2188">
        <v>64.239999999999995</v>
      </c>
      <c r="I2188">
        <v>15.01</v>
      </c>
      <c r="J2188">
        <v>49.63</v>
      </c>
      <c r="K2188">
        <v>1</v>
      </c>
      <c r="T2188">
        <v>2</v>
      </c>
      <c r="U2188">
        <v>1</v>
      </c>
      <c r="V2188" t="s">
        <v>93</v>
      </c>
      <c r="W2188" t="s">
        <v>279</v>
      </c>
      <c r="X2188">
        <v>9</v>
      </c>
      <c r="Y2188">
        <v>7</v>
      </c>
      <c r="Z2188" t="s">
        <v>2808</v>
      </c>
      <c r="AA2188" t="s">
        <v>2809</v>
      </c>
      <c r="AB2188" t="s">
        <v>96</v>
      </c>
      <c r="AC2188" t="s">
        <v>97</v>
      </c>
      <c r="AD2188" t="s">
        <v>1818</v>
      </c>
      <c r="AG2188" t="s">
        <v>2810</v>
      </c>
      <c r="AH2188">
        <v>0</v>
      </c>
      <c r="AI2188">
        <v>487</v>
      </c>
      <c r="AJ2188">
        <v>75</v>
      </c>
      <c r="AK2188">
        <v>11</v>
      </c>
      <c r="AL2188">
        <v>0.85</v>
      </c>
    </row>
    <row r="2189" spans="1:38" x14ac:dyDescent="0.3">
      <c r="A2189" t="s">
        <v>1813</v>
      </c>
      <c r="B2189">
        <v>136883</v>
      </c>
      <c r="C2189">
        <v>7</v>
      </c>
      <c r="D2189" t="s">
        <v>2807</v>
      </c>
      <c r="E2189" t="s">
        <v>759</v>
      </c>
      <c r="F2189">
        <v>13</v>
      </c>
      <c r="G2189">
        <v>19.59</v>
      </c>
      <c r="H2189">
        <v>64.790000000000006</v>
      </c>
      <c r="I2189">
        <v>15.08</v>
      </c>
      <c r="J2189">
        <v>49.88</v>
      </c>
      <c r="K2189">
        <v>1</v>
      </c>
      <c r="T2189">
        <v>3</v>
      </c>
      <c r="U2189">
        <v>2</v>
      </c>
      <c r="V2189" t="s">
        <v>93</v>
      </c>
      <c r="W2189" t="s">
        <v>275</v>
      </c>
      <c r="X2189">
        <v>9</v>
      </c>
      <c r="Y2189">
        <v>7</v>
      </c>
      <c r="Z2189" t="s">
        <v>2808</v>
      </c>
      <c r="AA2189" t="s">
        <v>2809</v>
      </c>
      <c r="AB2189" t="s">
        <v>96</v>
      </c>
      <c r="AC2189" t="s">
        <v>97</v>
      </c>
      <c r="AD2189" t="s">
        <v>1818</v>
      </c>
      <c r="AG2189" t="s">
        <v>2810</v>
      </c>
      <c r="AH2189">
        <v>0</v>
      </c>
      <c r="AI2189">
        <v>487</v>
      </c>
      <c r="AJ2189">
        <v>75</v>
      </c>
      <c r="AK2189">
        <v>11</v>
      </c>
      <c r="AL2189">
        <v>0.85</v>
      </c>
    </row>
    <row r="2190" spans="1:38" x14ac:dyDescent="0.3">
      <c r="A2190" t="s">
        <v>1813</v>
      </c>
      <c r="B2190">
        <v>136883</v>
      </c>
      <c r="C2190">
        <v>8</v>
      </c>
      <c r="D2190" t="s">
        <v>2807</v>
      </c>
      <c r="E2190" t="s">
        <v>759</v>
      </c>
      <c r="F2190">
        <v>13</v>
      </c>
      <c r="G2190">
        <v>19.440000000000001</v>
      </c>
      <c r="H2190">
        <v>64.290000000000006</v>
      </c>
      <c r="I2190">
        <v>15.02</v>
      </c>
      <c r="J2190">
        <v>49.67</v>
      </c>
      <c r="K2190">
        <v>1</v>
      </c>
      <c r="T2190">
        <v>2</v>
      </c>
      <c r="U2190">
        <v>1</v>
      </c>
      <c r="V2190" t="s">
        <v>93</v>
      </c>
      <c r="W2190" t="s">
        <v>467</v>
      </c>
      <c r="X2190">
        <v>9</v>
      </c>
      <c r="Y2190">
        <v>7</v>
      </c>
      <c r="Z2190" t="s">
        <v>2808</v>
      </c>
      <c r="AA2190" t="s">
        <v>2809</v>
      </c>
      <c r="AB2190" t="s">
        <v>96</v>
      </c>
      <c r="AC2190" t="s">
        <v>97</v>
      </c>
      <c r="AD2190" t="s">
        <v>1818</v>
      </c>
      <c r="AG2190" t="s">
        <v>2810</v>
      </c>
      <c r="AH2190">
        <v>0</v>
      </c>
      <c r="AI2190">
        <v>487</v>
      </c>
      <c r="AJ2190">
        <v>75</v>
      </c>
      <c r="AK2190">
        <v>11</v>
      </c>
      <c r="AL2190">
        <v>0.85</v>
      </c>
    </row>
    <row r="2191" spans="1:38" x14ac:dyDescent="0.3">
      <c r="A2191" t="s">
        <v>1813</v>
      </c>
      <c r="B2191">
        <v>136883</v>
      </c>
      <c r="C2191">
        <v>9</v>
      </c>
      <c r="D2191" t="s">
        <v>2807</v>
      </c>
      <c r="E2191" t="s">
        <v>759</v>
      </c>
      <c r="F2191">
        <v>13</v>
      </c>
      <c r="G2191">
        <v>19.46</v>
      </c>
      <c r="H2191">
        <v>64.36</v>
      </c>
      <c r="I2191">
        <v>15.08</v>
      </c>
      <c r="J2191">
        <v>49.86</v>
      </c>
      <c r="K2191">
        <v>1</v>
      </c>
      <c r="T2191">
        <v>2</v>
      </c>
      <c r="U2191">
        <v>1</v>
      </c>
      <c r="V2191" t="s">
        <v>93</v>
      </c>
      <c r="W2191" t="s">
        <v>1449</v>
      </c>
      <c r="X2191">
        <v>9</v>
      </c>
      <c r="Y2191">
        <v>7</v>
      </c>
      <c r="Z2191" t="s">
        <v>2808</v>
      </c>
      <c r="AA2191" t="s">
        <v>2809</v>
      </c>
      <c r="AB2191" t="s">
        <v>96</v>
      </c>
      <c r="AC2191" t="s">
        <v>97</v>
      </c>
      <c r="AD2191" t="s">
        <v>1818</v>
      </c>
      <c r="AG2191" t="s">
        <v>2810</v>
      </c>
      <c r="AH2191">
        <v>0</v>
      </c>
      <c r="AI2191">
        <v>487</v>
      </c>
      <c r="AJ2191">
        <v>75</v>
      </c>
      <c r="AK2191">
        <v>11</v>
      </c>
      <c r="AL2191">
        <v>0.85</v>
      </c>
    </row>
    <row r="2192" spans="1:38" x14ac:dyDescent="0.3">
      <c r="A2192" t="s">
        <v>1813</v>
      </c>
      <c r="B2192">
        <v>137367</v>
      </c>
      <c r="C2192">
        <v>1</v>
      </c>
      <c r="D2192" t="s">
        <v>2811</v>
      </c>
      <c r="E2192" t="s">
        <v>2812</v>
      </c>
      <c r="F2192">
        <v>10</v>
      </c>
      <c r="G2192">
        <v>18.239999999999998</v>
      </c>
      <c r="H2192">
        <v>60.31</v>
      </c>
      <c r="I2192">
        <v>15.23</v>
      </c>
      <c r="J2192">
        <v>50.36</v>
      </c>
      <c r="K2192">
        <v>2</v>
      </c>
      <c r="T2192">
        <v>2</v>
      </c>
      <c r="U2192">
        <v>1</v>
      </c>
      <c r="V2192" t="s">
        <v>211</v>
      </c>
      <c r="W2192" t="s">
        <v>254</v>
      </c>
      <c r="X2192">
        <v>8</v>
      </c>
      <c r="Y2192">
        <v>6</v>
      </c>
      <c r="Z2192" t="s">
        <v>2813</v>
      </c>
      <c r="AA2192" t="s">
        <v>2814</v>
      </c>
      <c r="AB2192" t="s">
        <v>96</v>
      </c>
      <c r="AC2192" t="s">
        <v>97</v>
      </c>
      <c r="AD2192" t="s">
        <v>1818</v>
      </c>
      <c r="AG2192" t="s">
        <v>2815</v>
      </c>
      <c r="AH2192">
        <v>0</v>
      </c>
      <c r="AI2192">
        <v>466</v>
      </c>
      <c r="AJ2192">
        <v>75</v>
      </c>
      <c r="AK2192">
        <v>10</v>
      </c>
      <c r="AL2192">
        <v>1</v>
      </c>
    </row>
    <row r="2193" spans="1:38" x14ac:dyDescent="0.3">
      <c r="A2193" t="s">
        <v>1813</v>
      </c>
      <c r="B2193">
        <v>137367</v>
      </c>
      <c r="C2193">
        <v>2</v>
      </c>
      <c r="D2193" t="s">
        <v>2811</v>
      </c>
      <c r="E2193" t="s">
        <v>2812</v>
      </c>
      <c r="F2193">
        <v>10</v>
      </c>
      <c r="G2193">
        <v>18.329999999999998</v>
      </c>
      <c r="H2193">
        <v>60.61</v>
      </c>
      <c r="I2193">
        <v>15.3</v>
      </c>
      <c r="J2193">
        <v>50.61</v>
      </c>
      <c r="K2193">
        <v>1</v>
      </c>
      <c r="T2193">
        <v>2</v>
      </c>
      <c r="U2193">
        <v>1</v>
      </c>
      <c r="V2193" t="s">
        <v>211</v>
      </c>
      <c r="W2193" t="s">
        <v>179</v>
      </c>
      <c r="X2193">
        <v>8</v>
      </c>
      <c r="Y2193">
        <v>6</v>
      </c>
      <c r="Z2193" t="s">
        <v>2813</v>
      </c>
      <c r="AA2193" t="s">
        <v>2814</v>
      </c>
      <c r="AB2193" t="s">
        <v>96</v>
      </c>
      <c r="AC2193" t="s">
        <v>97</v>
      </c>
      <c r="AD2193" t="s">
        <v>1818</v>
      </c>
      <c r="AG2193" t="s">
        <v>2815</v>
      </c>
      <c r="AH2193">
        <v>0</v>
      </c>
      <c r="AI2193">
        <v>466</v>
      </c>
      <c r="AJ2193">
        <v>75</v>
      </c>
      <c r="AK2193">
        <v>10</v>
      </c>
      <c r="AL2193">
        <v>1</v>
      </c>
    </row>
    <row r="2194" spans="1:38" x14ac:dyDescent="0.3">
      <c r="A2194" t="s">
        <v>1813</v>
      </c>
      <c r="B2194">
        <v>137367</v>
      </c>
      <c r="C2194">
        <v>3</v>
      </c>
      <c r="D2194" t="s">
        <v>2811</v>
      </c>
      <c r="E2194" t="s">
        <v>2812</v>
      </c>
      <c r="F2194">
        <v>10</v>
      </c>
      <c r="G2194">
        <v>18.7</v>
      </c>
      <c r="H2194">
        <v>61.85</v>
      </c>
      <c r="I2194">
        <v>15.62</v>
      </c>
      <c r="J2194">
        <v>51.65</v>
      </c>
      <c r="K2194">
        <v>2</v>
      </c>
      <c r="T2194">
        <v>2</v>
      </c>
      <c r="U2194">
        <v>1</v>
      </c>
      <c r="V2194" t="s">
        <v>93</v>
      </c>
      <c r="W2194">
        <v>61</v>
      </c>
      <c r="X2194">
        <v>8</v>
      </c>
      <c r="Y2194">
        <v>6</v>
      </c>
      <c r="Z2194" t="s">
        <v>2813</v>
      </c>
      <c r="AA2194" t="s">
        <v>2814</v>
      </c>
      <c r="AB2194" t="s">
        <v>96</v>
      </c>
      <c r="AC2194" t="s">
        <v>97</v>
      </c>
      <c r="AD2194" t="s">
        <v>1818</v>
      </c>
      <c r="AG2194" t="s">
        <v>2815</v>
      </c>
      <c r="AH2194">
        <v>0</v>
      </c>
      <c r="AI2194">
        <v>466</v>
      </c>
      <c r="AJ2194">
        <v>75</v>
      </c>
      <c r="AK2194">
        <v>10</v>
      </c>
      <c r="AL2194">
        <v>1</v>
      </c>
    </row>
    <row r="2195" spans="1:38" x14ac:dyDescent="0.3">
      <c r="A2195" t="s">
        <v>1813</v>
      </c>
      <c r="B2195">
        <v>137367</v>
      </c>
      <c r="C2195">
        <v>4</v>
      </c>
      <c r="D2195" t="s">
        <v>2811</v>
      </c>
      <c r="E2195" t="s">
        <v>2812</v>
      </c>
      <c r="F2195">
        <v>10</v>
      </c>
      <c r="G2195">
        <v>18.97</v>
      </c>
      <c r="H2195">
        <v>62.72</v>
      </c>
      <c r="I2195">
        <v>15.84</v>
      </c>
      <c r="J2195">
        <v>52.38</v>
      </c>
      <c r="K2195">
        <v>2</v>
      </c>
      <c r="T2195">
        <v>2</v>
      </c>
      <c r="U2195">
        <v>1</v>
      </c>
      <c r="V2195" t="s">
        <v>93</v>
      </c>
      <c r="W2195">
        <v>62</v>
      </c>
      <c r="X2195">
        <v>8</v>
      </c>
      <c r="Y2195">
        <v>6</v>
      </c>
      <c r="Z2195" t="s">
        <v>2813</v>
      </c>
      <c r="AA2195" t="s">
        <v>2814</v>
      </c>
      <c r="AB2195" t="s">
        <v>96</v>
      </c>
      <c r="AC2195" t="s">
        <v>97</v>
      </c>
      <c r="AD2195" t="s">
        <v>1818</v>
      </c>
      <c r="AG2195" t="s">
        <v>2815</v>
      </c>
      <c r="AH2195">
        <v>0</v>
      </c>
      <c r="AI2195">
        <v>466</v>
      </c>
      <c r="AJ2195">
        <v>75</v>
      </c>
      <c r="AK2195">
        <v>10</v>
      </c>
      <c r="AL2195">
        <v>1</v>
      </c>
    </row>
    <row r="2196" spans="1:38" x14ac:dyDescent="0.3">
      <c r="A2196" t="s">
        <v>1813</v>
      </c>
      <c r="B2196">
        <v>137367</v>
      </c>
      <c r="C2196">
        <v>5</v>
      </c>
      <c r="D2196" t="s">
        <v>2811</v>
      </c>
      <c r="E2196" t="s">
        <v>2812</v>
      </c>
      <c r="F2196">
        <v>10</v>
      </c>
      <c r="G2196">
        <v>19.489999999999998</v>
      </c>
      <c r="H2196">
        <v>64.44</v>
      </c>
      <c r="I2196">
        <v>16.27</v>
      </c>
      <c r="J2196">
        <v>53.81</v>
      </c>
      <c r="K2196">
        <v>1</v>
      </c>
      <c r="T2196">
        <v>2</v>
      </c>
      <c r="U2196">
        <v>1</v>
      </c>
      <c r="V2196" t="s">
        <v>93</v>
      </c>
      <c r="W2196">
        <v>64</v>
      </c>
      <c r="X2196">
        <v>8</v>
      </c>
      <c r="Y2196">
        <v>6</v>
      </c>
      <c r="Z2196" t="s">
        <v>2813</v>
      </c>
      <c r="AA2196" t="s">
        <v>2814</v>
      </c>
      <c r="AB2196" t="s">
        <v>96</v>
      </c>
      <c r="AC2196" t="s">
        <v>97</v>
      </c>
      <c r="AD2196" t="s">
        <v>1818</v>
      </c>
      <c r="AG2196" t="s">
        <v>2815</v>
      </c>
      <c r="AH2196">
        <v>0</v>
      </c>
      <c r="AI2196">
        <v>466</v>
      </c>
      <c r="AJ2196">
        <v>75</v>
      </c>
      <c r="AK2196">
        <v>10</v>
      </c>
      <c r="AL2196">
        <v>1</v>
      </c>
    </row>
    <row r="2197" spans="1:38" x14ac:dyDescent="0.3">
      <c r="A2197" t="s">
        <v>1813</v>
      </c>
      <c r="B2197">
        <v>137367</v>
      </c>
      <c r="C2197">
        <v>6</v>
      </c>
      <c r="D2197" t="s">
        <v>2811</v>
      </c>
      <c r="E2197" t="s">
        <v>2812</v>
      </c>
      <c r="F2197">
        <v>10</v>
      </c>
      <c r="G2197">
        <v>20.440000000000001</v>
      </c>
      <c r="H2197">
        <v>67.599999999999994</v>
      </c>
      <c r="I2197">
        <v>17.07</v>
      </c>
      <c r="J2197">
        <v>56.45</v>
      </c>
      <c r="K2197">
        <v>1</v>
      </c>
      <c r="T2197">
        <v>3</v>
      </c>
      <c r="U2197">
        <v>1</v>
      </c>
      <c r="V2197" t="s">
        <v>93</v>
      </c>
      <c r="W2197">
        <v>67</v>
      </c>
      <c r="X2197">
        <v>8</v>
      </c>
      <c r="Y2197">
        <v>6</v>
      </c>
      <c r="Z2197" t="s">
        <v>2813</v>
      </c>
      <c r="AA2197" t="s">
        <v>2814</v>
      </c>
      <c r="AB2197" t="s">
        <v>96</v>
      </c>
      <c r="AC2197" t="s">
        <v>97</v>
      </c>
      <c r="AD2197" t="s">
        <v>1818</v>
      </c>
      <c r="AG2197" t="s">
        <v>2815</v>
      </c>
      <c r="AH2197">
        <v>0</v>
      </c>
      <c r="AI2197">
        <v>466</v>
      </c>
      <c r="AJ2197">
        <v>75</v>
      </c>
      <c r="AK2197">
        <v>10</v>
      </c>
      <c r="AL2197">
        <v>1</v>
      </c>
    </row>
    <row r="2198" spans="1:38" x14ac:dyDescent="0.3">
      <c r="A2198" t="s">
        <v>1813</v>
      </c>
      <c r="B2198">
        <v>137367</v>
      </c>
      <c r="C2198">
        <v>7</v>
      </c>
      <c r="D2198" t="s">
        <v>2811</v>
      </c>
      <c r="E2198" t="s">
        <v>2812</v>
      </c>
      <c r="F2198">
        <v>10</v>
      </c>
      <c r="G2198">
        <v>21.08</v>
      </c>
      <c r="H2198">
        <v>69.69</v>
      </c>
      <c r="I2198">
        <v>17.600000000000001</v>
      </c>
      <c r="J2198">
        <v>58.2</v>
      </c>
      <c r="K2198">
        <v>1</v>
      </c>
      <c r="T2198">
        <v>3</v>
      </c>
      <c r="U2198">
        <v>1</v>
      </c>
      <c r="V2198" t="s">
        <v>93</v>
      </c>
      <c r="W2198">
        <v>69</v>
      </c>
      <c r="X2198">
        <v>8</v>
      </c>
      <c r="Y2198">
        <v>6</v>
      </c>
      <c r="Z2198" t="s">
        <v>2813</v>
      </c>
      <c r="AA2198" t="s">
        <v>2814</v>
      </c>
      <c r="AB2198" t="s">
        <v>96</v>
      </c>
      <c r="AC2198" t="s">
        <v>97</v>
      </c>
      <c r="AD2198" t="s">
        <v>1818</v>
      </c>
      <c r="AG2198" t="s">
        <v>2815</v>
      </c>
      <c r="AH2198">
        <v>0</v>
      </c>
      <c r="AI2198">
        <v>466</v>
      </c>
      <c r="AJ2198">
        <v>75</v>
      </c>
      <c r="AK2198">
        <v>10</v>
      </c>
      <c r="AL2198">
        <v>1</v>
      </c>
    </row>
    <row r="2199" spans="1:38" x14ac:dyDescent="0.3">
      <c r="A2199" t="s">
        <v>1813</v>
      </c>
      <c r="B2199">
        <v>10532</v>
      </c>
      <c r="C2199">
        <v>1</v>
      </c>
      <c r="D2199" t="s">
        <v>2816</v>
      </c>
      <c r="E2199" t="s">
        <v>2155</v>
      </c>
      <c r="F2199">
        <v>235</v>
      </c>
      <c r="G2199">
        <v>17.47</v>
      </c>
      <c r="H2199">
        <v>57.78</v>
      </c>
      <c r="I2199">
        <v>15.84</v>
      </c>
      <c r="J2199">
        <v>52.38</v>
      </c>
      <c r="K2199">
        <v>140</v>
      </c>
      <c r="T2199">
        <v>3</v>
      </c>
      <c r="U2199">
        <v>1</v>
      </c>
      <c r="V2199" t="s">
        <v>93</v>
      </c>
      <c r="W2199">
        <v>57</v>
      </c>
      <c r="X2199">
        <v>5</v>
      </c>
      <c r="Y2199">
        <v>5</v>
      </c>
      <c r="Z2199" t="s">
        <v>2817</v>
      </c>
      <c r="AA2199" t="s">
        <v>2818</v>
      </c>
      <c r="AB2199" t="s">
        <v>96</v>
      </c>
      <c r="AC2199" t="s">
        <v>97</v>
      </c>
      <c r="AD2199" t="s">
        <v>1818</v>
      </c>
      <c r="AG2199" t="s">
        <v>2819</v>
      </c>
      <c r="AH2199">
        <v>0</v>
      </c>
      <c r="AI2199">
        <v>263</v>
      </c>
      <c r="AJ2199">
        <v>56</v>
      </c>
      <c r="AK2199">
        <v>90</v>
      </c>
      <c r="AL2199">
        <v>0.38</v>
      </c>
    </row>
    <row r="2200" spans="1:38" x14ac:dyDescent="0.3">
      <c r="A2200" t="s">
        <v>1813</v>
      </c>
      <c r="B2200">
        <v>10532</v>
      </c>
      <c r="C2200">
        <v>2</v>
      </c>
      <c r="D2200" t="s">
        <v>2816</v>
      </c>
      <c r="E2200" t="s">
        <v>2155</v>
      </c>
      <c r="F2200">
        <v>235</v>
      </c>
      <c r="G2200">
        <v>20.37</v>
      </c>
      <c r="H2200">
        <v>67.36</v>
      </c>
      <c r="I2200">
        <v>18.739999999999998</v>
      </c>
      <c r="J2200">
        <v>61.96</v>
      </c>
      <c r="K2200">
        <v>90</v>
      </c>
      <c r="T2200">
        <v>3</v>
      </c>
      <c r="U2200">
        <v>1</v>
      </c>
      <c r="V2200" t="s">
        <v>93</v>
      </c>
      <c r="W2200">
        <v>67</v>
      </c>
      <c r="X2200">
        <v>5</v>
      </c>
      <c r="Y2200">
        <v>5</v>
      </c>
      <c r="Z2200" t="s">
        <v>2817</v>
      </c>
      <c r="AA2200" t="s">
        <v>2818</v>
      </c>
      <c r="AB2200" t="s">
        <v>96</v>
      </c>
      <c r="AC2200" t="s">
        <v>97</v>
      </c>
      <c r="AD2200" t="s">
        <v>1818</v>
      </c>
      <c r="AG2200" t="s">
        <v>2819</v>
      </c>
      <c r="AH2200">
        <v>0</v>
      </c>
      <c r="AI2200">
        <v>263</v>
      </c>
      <c r="AJ2200">
        <v>56</v>
      </c>
      <c r="AK2200">
        <v>90</v>
      </c>
      <c r="AL2200">
        <v>0.38</v>
      </c>
    </row>
    <row r="2201" spans="1:38" x14ac:dyDescent="0.3">
      <c r="A2201" t="s">
        <v>1813</v>
      </c>
      <c r="B2201">
        <v>10532</v>
      </c>
      <c r="C2201">
        <v>3</v>
      </c>
      <c r="D2201" t="s">
        <v>2816</v>
      </c>
      <c r="E2201" t="s">
        <v>2155</v>
      </c>
      <c r="F2201">
        <v>235</v>
      </c>
      <c r="G2201">
        <v>22.28</v>
      </c>
      <c r="H2201">
        <v>73.66</v>
      </c>
      <c r="I2201">
        <v>19.010000000000002</v>
      </c>
      <c r="J2201">
        <v>62.86</v>
      </c>
      <c r="K2201">
        <v>5</v>
      </c>
      <c r="T2201">
        <v>3</v>
      </c>
      <c r="U2201">
        <v>1</v>
      </c>
      <c r="V2201" t="s">
        <v>93</v>
      </c>
      <c r="W2201">
        <v>73</v>
      </c>
      <c r="X2201">
        <v>5</v>
      </c>
      <c r="Y2201">
        <v>5</v>
      </c>
      <c r="Z2201" t="s">
        <v>2817</v>
      </c>
      <c r="AA2201" t="s">
        <v>2818</v>
      </c>
      <c r="AB2201" t="s">
        <v>96</v>
      </c>
      <c r="AC2201" t="s">
        <v>97</v>
      </c>
      <c r="AD2201" t="s">
        <v>1818</v>
      </c>
      <c r="AG2201" t="s">
        <v>2819</v>
      </c>
      <c r="AH2201">
        <v>0</v>
      </c>
      <c r="AI2201">
        <v>263</v>
      </c>
      <c r="AJ2201">
        <v>56</v>
      </c>
      <c r="AK2201">
        <v>90</v>
      </c>
      <c r="AL2201">
        <v>0.38</v>
      </c>
    </row>
    <row r="2202" spans="1:38" x14ac:dyDescent="0.3">
      <c r="A2202" t="s">
        <v>1813</v>
      </c>
      <c r="B2202">
        <v>123319</v>
      </c>
      <c r="C2202">
        <v>1</v>
      </c>
      <c r="D2202" t="s">
        <v>2820</v>
      </c>
      <c r="E2202" t="s">
        <v>2821</v>
      </c>
      <c r="F2202">
        <v>1458</v>
      </c>
      <c r="G2202">
        <v>21.74</v>
      </c>
      <c r="H2202">
        <v>71.900000000000006</v>
      </c>
      <c r="I2202">
        <v>14.5</v>
      </c>
      <c r="J2202">
        <v>47.95</v>
      </c>
      <c r="K2202">
        <v>87</v>
      </c>
      <c r="T2202">
        <v>2</v>
      </c>
      <c r="U2202">
        <v>1</v>
      </c>
      <c r="V2202" t="s">
        <v>93</v>
      </c>
      <c r="W2202" t="s">
        <v>2127</v>
      </c>
      <c r="X2202">
        <v>29</v>
      </c>
      <c r="Y2202">
        <v>26</v>
      </c>
      <c r="Z2202" t="s">
        <v>2822</v>
      </c>
      <c r="AA2202" t="s">
        <v>2823</v>
      </c>
      <c r="AB2202" t="s">
        <v>96</v>
      </c>
      <c r="AC2202" t="s">
        <v>97</v>
      </c>
      <c r="AD2202" t="s">
        <v>1818</v>
      </c>
      <c r="AG2202" t="s">
        <v>2824</v>
      </c>
      <c r="AH2202">
        <v>46</v>
      </c>
      <c r="AI2202">
        <v>241</v>
      </c>
      <c r="AJ2202">
        <v>15</v>
      </c>
      <c r="AK2202">
        <v>0</v>
      </c>
      <c r="AL2202">
        <v>0</v>
      </c>
    </row>
    <row r="2203" spans="1:38" x14ac:dyDescent="0.3">
      <c r="A2203" t="s">
        <v>1813</v>
      </c>
      <c r="B2203">
        <v>123319</v>
      </c>
      <c r="C2203">
        <v>2</v>
      </c>
      <c r="D2203" t="s">
        <v>2820</v>
      </c>
      <c r="E2203" t="s">
        <v>2821</v>
      </c>
      <c r="F2203">
        <v>1458</v>
      </c>
      <c r="G2203">
        <v>24.8</v>
      </c>
      <c r="H2203">
        <v>81.99</v>
      </c>
      <c r="I2203">
        <v>18.14</v>
      </c>
      <c r="J2203">
        <v>59.98</v>
      </c>
      <c r="K2203">
        <v>167</v>
      </c>
      <c r="T2203">
        <v>3</v>
      </c>
      <c r="U2203">
        <v>2</v>
      </c>
      <c r="V2203" t="s">
        <v>93</v>
      </c>
      <c r="W2203" t="s">
        <v>2825</v>
      </c>
      <c r="X2203">
        <v>29</v>
      </c>
      <c r="Y2203">
        <v>26</v>
      </c>
      <c r="Z2203" t="s">
        <v>2822</v>
      </c>
      <c r="AA2203" t="s">
        <v>2823</v>
      </c>
      <c r="AB2203" t="s">
        <v>96</v>
      </c>
      <c r="AC2203" t="s">
        <v>97</v>
      </c>
      <c r="AD2203" t="s">
        <v>1818</v>
      </c>
      <c r="AG2203" t="s">
        <v>2824</v>
      </c>
      <c r="AH2203">
        <v>46</v>
      </c>
      <c r="AI2203">
        <v>241</v>
      </c>
      <c r="AJ2203">
        <v>15</v>
      </c>
      <c r="AK2203">
        <v>0</v>
      </c>
      <c r="AL2203">
        <v>0</v>
      </c>
    </row>
    <row r="2204" spans="1:38" x14ac:dyDescent="0.3">
      <c r="A2204" t="s">
        <v>1813</v>
      </c>
      <c r="B2204">
        <v>123319</v>
      </c>
      <c r="C2204">
        <v>3</v>
      </c>
      <c r="D2204" t="s">
        <v>2820</v>
      </c>
      <c r="E2204" t="s">
        <v>2821</v>
      </c>
      <c r="F2204">
        <v>1458</v>
      </c>
      <c r="G2204">
        <v>24.85</v>
      </c>
      <c r="H2204">
        <v>82.15</v>
      </c>
      <c r="I2204">
        <v>18.14</v>
      </c>
      <c r="J2204">
        <v>59.97</v>
      </c>
      <c r="K2204">
        <v>172</v>
      </c>
      <c r="T2204">
        <v>3</v>
      </c>
      <c r="U2204">
        <v>2</v>
      </c>
      <c r="V2204" t="s">
        <v>93</v>
      </c>
      <c r="W2204" t="s">
        <v>1074</v>
      </c>
      <c r="X2204">
        <v>29</v>
      </c>
      <c r="Y2204">
        <v>26</v>
      </c>
      <c r="Z2204" t="s">
        <v>2822</v>
      </c>
      <c r="AA2204" t="s">
        <v>2823</v>
      </c>
      <c r="AB2204" t="s">
        <v>96</v>
      </c>
      <c r="AC2204" t="s">
        <v>97</v>
      </c>
      <c r="AD2204" t="s">
        <v>1818</v>
      </c>
      <c r="AG2204" t="s">
        <v>2824</v>
      </c>
      <c r="AH2204">
        <v>46</v>
      </c>
      <c r="AI2204">
        <v>241</v>
      </c>
      <c r="AJ2204">
        <v>15</v>
      </c>
      <c r="AK2204">
        <v>0</v>
      </c>
      <c r="AL2204">
        <v>0</v>
      </c>
    </row>
    <row r="2205" spans="1:38" x14ac:dyDescent="0.3">
      <c r="A2205" t="s">
        <v>1813</v>
      </c>
      <c r="B2205">
        <v>123319</v>
      </c>
      <c r="C2205">
        <v>4</v>
      </c>
      <c r="D2205" t="s">
        <v>2820</v>
      </c>
      <c r="E2205" t="s">
        <v>2821</v>
      </c>
      <c r="F2205">
        <v>1458</v>
      </c>
      <c r="G2205">
        <v>25.83</v>
      </c>
      <c r="H2205">
        <v>85.4</v>
      </c>
      <c r="I2205">
        <v>18.14</v>
      </c>
      <c r="J2205">
        <v>59.98</v>
      </c>
      <c r="K2205">
        <v>390</v>
      </c>
      <c r="T2205">
        <v>3</v>
      </c>
      <c r="U2205">
        <v>2</v>
      </c>
      <c r="V2205" t="s">
        <v>93</v>
      </c>
      <c r="W2205" t="s">
        <v>434</v>
      </c>
      <c r="X2205">
        <v>29</v>
      </c>
      <c r="Y2205">
        <v>26</v>
      </c>
      <c r="Z2205" t="s">
        <v>2822</v>
      </c>
      <c r="AA2205" t="s">
        <v>2823</v>
      </c>
      <c r="AB2205" t="s">
        <v>96</v>
      </c>
      <c r="AC2205" t="s">
        <v>97</v>
      </c>
      <c r="AD2205" t="s">
        <v>1818</v>
      </c>
      <c r="AG2205" t="s">
        <v>2824</v>
      </c>
      <c r="AH2205">
        <v>46</v>
      </c>
      <c r="AI2205">
        <v>241</v>
      </c>
      <c r="AJ2205">
        <v>15</v>
      </c>
      <c r="AK2205">
        <v>0</v>
      </c>
      <c r="AL2205">
        <v>0</v>
      </c>
    </row>
    <row r="2206" spans="1:38" x14ac:dyDescent="0.3">
      <c r="A2206" t="s">
        <v>1813</v>
      </c>
      <c r="B2206">
        <v>123319</v>
      </c>
      <c r="C2206">
        <v>5</v>
      </c>
      <c r="D2206" t="s">
        <v>2820</v>
      </c>
      <c r="E2206" t="s">
        <v>2821</v>
      </c>
      <c r="F2206">
        <v>1458</v>
      </c>
      <c r="G2206">
        <v>26.27</v>
      </c>
      <c r="H2206">
        <v>86.87</v>
      </c>
      <c r="I2206">
        <v>18.13</v>
      </c>
      <c r="J2206">
        <v>59.96</v>
      </c>
      <c r="K2206">
        <v>109</v>
      </c>
      <c r="T2206">
        <v>3</v>
      </c>
      <c r="U2206">
        <v>2</v>
      </c>
      <c r="V2206" t="s">
        <v>93</v>
      </c>
      <c r="W2206" t="s">
        <v>991</v>
      </c>
      <c r="X2206">
        <v>29</v>
      </c>
      <c r="Y2206">
        <v>26</v>
      </c>
      <c r="Z2206" t="s">
        <v>2822</v>
      </c>
      <c r="AA2206" t="s">
        <v>2823</v>
      </c>
      <c r="AB2206" t="s">
        <v>96</v>
      </c>
      <c r="AC2206" t="s">
        <v>97</v>
      </c>
      <c r="AD2206" t="s">
        <v>1818</v>
      </c>
      <c r="AG2206" t="s">
        <v>2824</v>
      </c>
      <c r="AH2206">
        <v>46</v>
      </c>
      <c r="AI2206">
        <v>241</v>
      </c>
      <c r="AJ2206">
        <v>15</v>
      </c>
      <c r="AK2206">
        <v>0</v>
      </c>
      <c r="AL2206">
        <v>0</v>
      </c>
    </row>
    <row r="2207" spans="1:38" x14ac:dyDescent="0.3">
      <c r="A2207" t="s">
        <v>1813</v>
      </c>
      <c r="B2207">
        <v>123319</v>
      </c>
      <c r="C2207">
        <v>6</v>
      </c>
      <c r="D2207" t="s">
        <v>2820</v>
      </c>
      <c r="E2207" t="s">
        <v>2821</v>
      </c>
      <c r="F2207">
        <v>1458</v>
      </c>
      <c r="G2207">
        <v>30.01</v>
      </c>
      <c r="H2207">
        <v>99.22</v>
      </c>
      <c r="I2207">
        <v>22.67</v>
      </c>
      <c r="J2207">
        <v>74.959999999999994</v>
      </c>
      <c r="K2207">
        <v>114</v>
      </c>
      <c r="T2207">
        <v>3</v>
      </c>
      <c r="U2207">
        <v>2</v>
      </c>
      <c r="V2207" t="s">
        <v>93</v>
      </c>
      <c r="W2207" t="s">
        <v>1053</v>
      </c>
      <c r="X2207">
        <v>29</v>
      </c>
      <c r="Y2207">
        <v>26</v>
      </c>
      <c r="Z2207" t="s">
        <v>2822</v>
      </c>
      <c r="AA2207" t="s">
        <v>2823</v>
      </c>
      <c r="AB2207" t="s">
        <v>96</v>
      </c>
      <c r="AC2207" t="s">
        <v>97</v>
      </c>
      <c r="AD2207" t="s">
        <v>1818</v>
      </c>
      <c r="AG2207" t="s">
        <v>2824</v>
      </c>
      <c r="AH2207">
        <v>46</v>
      </c>
      <c r="AI2207">
        <v>241</v>
      </c>
      <c r="AJ2207">
        <v>15</v>
      </c>
      <c r="AK2207">
        <v>0</v>
      </c>
      <c r="AL2207">
        <v>0</v>
      </c>
    </row>
    <row r="2208" spans="1:38" x14ac:dyDescent="0.3">
      <c r="A2208" t="s">
        <v>1813</v>
      </c>
      <c r="B2208">
        <v>123319</v>
      </c>
      <c r="C2208">
        <v>7</v>
      </c>
      <c r="D2208" t="s">
        <v>2820</v>
      </c>
      <c r="E2208" t="s">
        <v>2821</v>
      </c>
      <c r="F2208">
        <v>1458</v>
      </c>
      <c r="G2208">
        <v>30.28</v>
      </c>
      <c r="H2208">
        <v>100.12</v>
      </c>
      <c r="I2208">
        <v>22.66</v>
      </c>
      <c r="J2208">
        <v>74.92</v>
      </c>
      <c r="K2208">
        <v>111</v>
      </c>
      <c r="T2208">
        <v>3</v>
      </c>
      <c r="U2208">
        <v>2</v>
      </c>
      <c r="V2208" t="s">
        <v>93</v>
      </c>
      <c r="W2208" t="s">
        <v>601</v>
      </c>
      <c r="X2208">
        <v>29</v>
      </c>
      <c r="Y2208">
        <v>26</v>
      </c>
      <c r="Z2208" t="s">
        <v>2822</v>
      </c>
      <c r="AA2208" t="s">
        <v>2823</v>
      </c>
      <c r="AB2208" t="s">
        <v>96</v>
      </c>
      <c r="AC2208" t="s">
        <v>97</v>
      </c>
      <c r="AD2208" t="s">
        <v>1818</v>
      </c>
      <c r="AG2208" t="s">
        <v>2824</v>
      </c>
      <c r="AH2208">
        <v>46</v>
      </c>
      <c r="AI2208">
        <v>241</v>
      </c>
      <c r="AJ2208">
        <v>15</v>
      </c>
      <c r="AK2208">
        <v>0</v>
      </c>
      <c r="AL2208">
        <v>0</v>
      </c>
    </row>
    <row r="2209" spans="1:38" x14ac:dyDescent="0.3">
      <c r="A2209" t="s">
        <v>1813</v>
      </c>
      <c r="B2209">
        <v>123319</v>
      </c>
      <c r="C2209">
        <v>8</v>
      </c>
      <c r="D2209" t="s">
        <v>2820</v>
      </c>
      <c r="E2209" t="s">
        <v>2821</v>
      </c>
      <c r="F2209">
        <v>1458</v>
      </c>
      <c r="G2209">
        <v>33.229999999999997</v>
      </c>
      <c r="H2209">
        <v>109.87</v>
      </c>
      <c r="I2209">
        <v>25.65</v>
      </c>
      <c r="J2209">
        <v>84.81</v>
      </c>
      <c r="K2209">
        <v>132</v>
      </c>
      <c r="T2209">
        <v>3</v>
      </c>
      <c r="U2209">
        <v>2</v>
      </c>
      <c r="V2209" t="s">
        <v>93</v>
      </c>
      <c r="W2209" t="s">
        <v>864</v>
      </c>
      <c r="X2209">
        <v>29</v>
      </c>
      <c r="Y2209">
        <v>26</v>
      </c>
      <c r="Z2209" t="s">
        <v>2822</v>
      </c>
      <c r="AA2209" t="s">
        <v>2823</v>
      </c>
      <c r="AB2209" t="s">
        <v>96</v>
      </c>
      <c r="AC2209" t="s">
        <v>97</v>
      </c>
      <c r="AD2209" t="s">
        <v>1818</v>
      </c>
      <c r="AG2209" t="s">
        <v>2824</v>
      </c>
      <c r="AH2209">
        <v>46</v>
      </c>
      <c r="AI2209">
        <v>241</v>
      </c>
      <c r="AJ2209">
        <v>15</v>
      </c>
      <c r="AK2209">
        <v>0</v>
      </c>
      <c r="AL2209">
        <v>0</v>
      </c>
    </row>
    <row r="2210" spans="1:38" x14ac:dyDescent="0.3">
      <c r="A2210" t="s">
        <v>1813</v>
      </c>
      <c r="B2210">
        <v>123319</v>
      </c>
      <c r="C2210">
        <v>9</v>
      </c>
      <c r="D2210" t="s">
        <v>2820</v>
      </c>
      <c r="E2210" t="s">
        <v>2821</v>
      </c>
      <c r="F2210">
        <v>1458</v>
      </c>
      <c r="G2210">
        <v>33.53</v>
      </c>
      <c r="H2210">
        <v>110.85</v>
      </c>
      <c r="I2210">
        <v>25.7</v>
      </c>
      <c r="J2210">
        <v>84.98</v>
      </c>
      <c r="K2210">
        <v>130</v>
      </c>
      <c r="T2210">
        <v>3</v>
      </c>
      <c r="U2210">
        <v>2</v>
      </c>
      <c r="V2210" t="s">
        <v>93</v>
      </c>
      <c r="W2210" t="s">
        <v>440</v>
      </c>
      <c r="X2210">
        <v>29</v>
      </c>
      <c r="Y2210">
        <v>26</v>
      </c>
      <c r="Z2210" t="s">
        <v>2822</v>
      </c>
      <c r="AA2210" t="s">
        <v>2823</v>
      </c>
      <c r="AB2210" t="s">
        <v>96</v>
      </c>
      <c r="AC2210" t="s">
        <v>97</v>
      </c>
      <c r="AD2210" t="s">
        <v>1818</v>
      </c>
      <c r="AG2210" t="s">
        <v>2824</v>
      </c>
      <c r="AH2210">
        <v>46</v>
      </c>
      <c r="AI2210">
        <v>241</v>
      </c>
      <c r="AJ2210">
        <v>15</v>
      </c>
      <c r="AK2210">
        <v>0</v>
      </c>
      <c r="AL2210">
        <v>0</v>
      </c>
    </row>
    <row r="2211" spans="1:38" x14ac:dyDescent="0.3">
      <c r="A2211" t="s">
        <v>1813</v>
      </c>
      <c r="B2211">
        <v>14803</v>
      </c>
      <c r="C2211">
        <v>1</v>
      </c>
      <c r="D2211" t="s">
        <v>2826</v>
      </c>
      <c r="E2211" t="s">
        <v>2827</v>
      </c>
      <c r="F2211">
        <v>60</v>
      </c>
      <c r="G2211">
        <v>17.41</v>
      </c>
      <c r="H2211">
        <v>57.58</v>
      </c>
      <c r="I2211">
        <v>14.34</v>
      </c>
      <c r="J2211">
        <v>47.43</v>
      </c>
      <c r="K2211">
        <v>40</v>
      </c>
      <c r="T2211">
        <v>2</v>
      </c>
      <c r="U2211">
        <v>1</v>
      </c>
      <c r="V2211" t="s">
        <v>93</v>
      </c>
      <c r="W2211">
        <v>57</v>
      </c>
      <c r="X2211">
        <v>5</v>
      </c>
      <c r="Y2211">
        <v>5</v>
      </c>
      <c r="Z2211" t="s">
        <v>2828</v>
      </c>
      <c r="AA2211" t="s">
        <v>2829</v>
      </c>
      <c r="AB2211" t="s">
        <v>96</v>
      </c>
      <c r="AC2211" t="s">
        <v>97</v>
      </c>
      <c r="AD2211" t="s">
        <v>1818</v>
      </c>
      <c r="AG2211" t="s">
        <v>2830</v>
      </c>
      <c r="AH2211">
        <v>0</v>
      </c>
      <c r="AI2211">
        <v>0</v>
      </c>
      <c r="AJ2211">
        <v>0</v>
      </c>
      <c r="AK2211">
        <v>0</v>
      </c>
      <c r="AL2211">
        <v>0</v>
      </c>
    </row>
    <row r="2212" spans="1:38" x14ac:dyDescent="0.3">
      <c r="A2212" t="s">
        <v>1813</v>
      </c>
      <c r="B2212">
        <v>14803</v>
      </c>
      <c r="C2212">
        <v>2</v>
      </c>
      <c r="D2212" t="s">
        <v>2826</v>
      </c>
      <c r="E2212" t="s">
        <v>2827</v>
      </c>
      <c r="F2212">
        <v>60</v>
      </c>
      <c r="G2212">
        <v>17.510000000000002</v>
      </c>
      <c r="H2212">
        <v>57.91</v>
      </c>
      <c r="I2212">
        <v>14.44</v>
      </c>
      <c r="J2212">
        <v>47.76</v>
      </c>
      <c r="K2212">
        <v>20</v>
      </c>
      <c r="T2212">
        <v>2</v>
      </c>
      <c r="U2212">
        <v>1</v>
      </c>
      <c r="V2212" t="s">
        <v>211</v>
      </c>
      <c r="W2212">
        <v>57</v>
      </c>
      <c r="X2212">
        <v>5</v>
      </c>
      <c r="Y2212">
        <v>5</v>
      </c>
      <c r="Z2212" t="s">
        <v>2828</v>
      </c>
      <c r="AA2212" t="s">
        <v>2829</v>
      </c>
      <c r="AB2212" t="s">
        <v>96</v>
      </c>
      <c r="AC2212" t="s">
        <v>97</v>
      </c>
      <c r="AD2212" t="s">
        <v>1818</v>
      </c>
      <c r="AG2212" t="s">
        <v>2830</v>
      </c>
      <c r="AH2212">
        <v>0</v>
      </c>
      <c r="AI2212">
        <v>0</v>
      </c>
      <c r="AJ2212">
        <v>0</v>
      </c>
      <c r="AK2212">
        <v>0</v>
      </c>
      <c r="AL2212">
        <v>0</v>
      </c>
    </row>
    <row r="2213" spans="1:38" x14ac:dyDescent="0.3">
      <c r="A2213" t="s">
        <v>1813</v>
      </c>
      <c r="B2213">
        <v>117745</v>
      </c>
      <c r="C2213">
        <v>1</v>
      </c>
      <c r="D2213" t="s">
        <v>2831</v>
      </c>
      <c r="E2213" t="s">
        <v>619</v>
      </c>
      <c r="F2213">
        <v>52</v>
      </c>
      <c r="G2213">
        <v>19.91</v>
      </c>
      <c r="H2213">
        <v>65.819999999999993</v>
      </c>
      <c r="I2213">
        <v>16.13</v>
      </c>
      <c r="J2213">
        <v>53.34</v>
      </c>
      <c r="K2213">
        <v>10</v>
      </c>
      <c r="T2213">
        <v>3</v>
      </c>
      <c r="U2213">
        <v>1</v>
      </c>
      <c r="V2213" t="s">
        <v>132</v>
      </c>
      <c r="W2213">
        <v>65</v>
      </c>
      <c r="X2213">
        <v>15</v>
      </c>
      <c r="Y2213">
        <v>15</v>
      </c>
      <c r="Z2213" t="s">
        <v>2832</v>
      </c>
      <c r="AA2213" t="s">
        <v>2833</v>
      </c>
      <c r="AB2213" t="s">
        <v>96</v>
      </c>
      <c r="AC2213" t="s">
        <v>97</v>
      </c>
      <c r="AD2213" t="s">
        <v>1818</v>
      </c>
      <c r="AG2213" t="s">
        <v>2834</v>
      </c>
      <c r="AH2213">
        <v>0</v>
      </c>
      <c r="AI2213">
        <v>699</v>
      </c>
      <c r="AJ2213">
        <v>77</v>
      </c>
      <c r="AK2213">
        <v>46</v>
      </c>
      <c r="AL2213">
        <v>0.88</v>
      </c>
    </row>
    <row r="2214" spans="1:38" x14ac:dyDescent="0.3">
      <c r="A2214" t="s">
        <v>1813</v>
      </c>
      <c r="B2214">
        <v>117745</v>
      </c>
      <c r="C2214">
        <v>2</v>
      </c>
      <c r="D2214" t="s">
        <v>2831</v>
      </c>
      <c r="E2214" t="s">
        <v>619</v>
      </c>
      <c r="F2214">
        <v>52</v>
      </c>
      <c r="G2214">
        <v>21.48</v>
      </c>
      <c r="H2214">
        <v>71.02</v>
      </c>
      <c r="I2214">
        <v>17.05</v>
      </c>
      <c r="J2214">
        <v>56.39</v>
      </c>
      <c r="K2214">
        <v>4</v>
      </c>
      <c r="T2214">
        <v>3</v>
      </c>
      <c r="U2214">
        <v>1</v>
      </c>
      <c r="V2214" t="s">
        <v>132</v>
      </c>
      <c r="W2214">
        <v>71</v>
      </c>
      <c r="X2214">
        <v>15</v>
      </c>
      <c r="Y2214">
        <v>15</v>
      </c>
      <c r="Z2214" t="s">
        <v>2832</v>
      </c>
      <c r="AA2214" t="s">
        <v>2833</v>
      </c>
      <c r="AB2214" t="s">
        <v>96</v>
      </c>
      <c r="AC2214" t="s">
        <v>97</v>
      </c>
      <c r="AD2214" t="s">
        <v>1818</v>
      </c>
      <c r="AG2214" t="s">
        <v>2834</v>
      </c>
      <c r="AH2214">
        <v>0</v>
      </c>
      <c r="AI2214">
        <v>699</v>
      </c>
      <c r="AJ2214">
        <v>77</v>
      </c>
      <c r="AK2214">
        <v>46</v>
      </c>
      <c r="AL2214">
        <v>0.88</v>
      </c>
    </row>
    <row r="2215" spans="1:38" x14ac:dyDescent="0.3">
      <c r="A2215" t="s">
        <v>1813</v>
      </c>
      <c r="B2215">
        <v>117745</v>
      </c>
      <c r="C2215">
        <v>3</v>
      </c>
      <c r="D2215" t="s">
        <v>2831</v>
      </c>
      <c r="E2215" t="s">
        <v>619</v>
      </c>
      <c r="F2215">
        <v>52</v>
      </c>
      <c r="G2215">
        <v>22.17</v>
      </c>
      <c r="H2215">
        <v>73.31</v>
      </c>
      <c r="I2215">
        <v>18</v>
      </c>
      <c r="J2215">
        <v>59.52</v>
      </c>
      <c r="K2215">
        <v>10</v>
      </c>
      <c r="T2215">
        <v>3</v>
      </c>
      <c r="U2215">
        <v>1</v>
      </c>
      <c r="V2215" t="s">
        <v>132</v>
      </c>
      <c r="W2215" t="s">
        <v>1243</v>
      </c>
      <c r="X2215">
        <v>15</v>
      </c>
      <c r="Y2215">
        <v>15</v>
      </c>
      <c r="Z2215" t="s">
        <v>2832</v>
      </c>
      <c r="AA2215" t="s">
        <v>2833</v>
      </c>
      <c r="AB2215" t="s">
        <v>96</v>
      </c>
      <c r="AC2215" t="s">
        <v>97</v>
      </c>
      <c r="AD2215" t="s">
        <v>1818</v>
      </c>
      <c r="AG2215" t="s">
        <v>2834</v>
      </c>
      <c r="AH2215">
        <v>0</v>
      </c>
      <c r="AI2215">
        <v>699</v>
      </c>
      <c r="AJ2215">
        <v>77</v>
      </c>
      <c r="AK2215">
        <v>46</v>
      </c>
      <c r="AL2215">
        <v>0.88</v>
      </c>
    </row>
    <row r="2216" spans="1:38" x14ac:dyDescent="0.3">
      <c r="A2216" t="s">
        <v>1813</v>
      </c>
      <c r="B2216">
        <v>117745</v>
      </c>
      <c r="C2216">
        <v>4</v>
      </c>
      <c r="D2216" t="s">
        <v>2831</v>
      </c>
      <c r="E2216" t="s">
        <v>619</v>
      </c>
      <c r="F2216">
        <v>52</v>
      </c>
      <c r="G2216">
        <v>22.48</v>
      </c>
      <c r="H2216">
        <v>74.319999999999993</v>
      </c>
      <c r="I2216">
        <v>18.13</v>
      </c>
      <c r="J2216">
        <v>59.96</v>
      </c>
      <c r="K2216">
        <v>4</v>
      </c>
      <c r="T2216">
        <v>3</v>
      </c>
      <c r="U2216">
        <v>1</v>
      </c>
      <c r="V2216" t="s">
        <v>132</v>
      </c>
      <c r="W2216" t="s">
        <v>876</v>
      </c>
      <c r="X2216">
        <v>15</v>
      </c>
      <c r="Y2216">
        <v>15</v>
      </c>
      <c r="Z2216" t="s">
        <v>2832</v>
      </c>
      <c r="AA2216" t="s">
        <v>2833</v>
      </c>
      <c r="AB2216" t="s">
        <v>96</v>
      </c>
      <c r="AC2216" t="s">
        <v>97</v>
      </c>
      <c r="AD2216" t="s">
        <v>1818</v>
      </c>
      <c r="AG2216" t="s">
        <v>2834</v>
      </c>
      <c r="AH2216">
        <v>0</v>
      </c>
      <c r="AI2216">
        <v>699</v>
      </c>
      <c r="AJ2216">
        <v>77</v>
      </c>
      <c r="AK2216">
        <v>46</v>
      </c>
      <c r="AL2216">
        <v>0.88</v>
      </c>
    </row>
    <row r="2217" spans="1:38" x14ac:dyDescent="0.3">
      <c r="A2217" t="s">
        <v>1813</v>
      </c>
      <c r="B2217">
        <v>117745</v>
      </c>
      <c r="C2217">
        <v>5</v>
      </c>
      <c r="D2217" t="s">
        <v>2831</v>
      </c>
      <c r="E2217" t="s">
        <v>619</v>
      </c>
      <c r="F2217">
        <v>52</v>
      </c>
      <c r="G2217">
        <v>25.72</v>
      </c>
      <c r="H2217">
        <v>85.05</v>
      </c>
      <c r="I2217">
        <v>21.04</v>
      </c>
      <c r="J2217">
        <v>69.569999999999993</v>
      </c>
      <c r="K2217">
        <v>14</v>
      </c>
      <c r="T2217">
        <v>3</v>
      </c>
      <c r="U2217">
        <v>2</v>
      </c>
      <c r="V2217" t="s">
        <v>132</v>
      </c>
      <c r="W2217">
        <v>85</v>
      </c>
      <c r="X2217">
        <v>15</v>
      </c>
      <c r="Y2217">
        <v>15</v>
      </c>
      <c r="Z2217" t="s">
        <v>2832</v>
      </c>
      <c r="AA2217" t="s">
        <v>2833</v>
      </c>
      <c r="AB2217" t="s">
        <v>96</v>
      </c>
      <c r="AC2217" t="s">
        <v>97</v>
      </c>
      <c r="AD2217" t="s">
        <v>1818</v>
      </c>
      <c r="AG2217" t="s">
        <v>2834</v>
      </c>
      <c r="AH2217">
        <v>0</v>
      </c>
      <c r="AI2217">
        <v>699</v>
      </c>
      <c r="AJ2217">
        <v>77</v>
      </c>
      <c r="AK2217">
        <v>46</v>
      </c>
      <c r="AL2217">
        <v>0.88</v>
      </c>
    </row>
    <row r="2218" spans="1:38" x14ac:dyDescent="0.3">
      <c r="A2218" t="s">
        <v>1813</v>
      </c>
      <c r="B2218">
        <v>117745</v>
      </c>
      <c r="C2218">
        <v>6</v>
      </c>
      <c r="D2218" t="s">
        <v>2831</v>
      </c>
      <c r="E2218" t="s">
        <v>619</v>
      </c>
      <c r="F2218">
        <v>52</v>
      </c>
      <c r="G2218">
        <v>26.92</v>
      </c>
      <c r="H2218">
        <v>89.02</v>
      </c>
      <c r="I2218">
        <v>21.46</v>
      </c>
      <c r="J2218">
        <v>70.959999999999994</v>
      </c>
      <c r="K2218">
        <v>10</v>
      </c>
      <c r="T2218">
        <v>3</v>
      </c>
      <c r="U2218">
        <v>2</v>
      </c>
      <c r="V2218" t="s">
        <v>132</v>
      </c>
      <c r="W2218">
        <v>89</v>
      </c>
      <c r="X2218">
        <v>15</v>
      </c>
      <c r="Y2218">
        <v>15</v>
      </c>
      <c r="Z2218" t="s">
        <v>2832</v>
      </c>
      <c r="AA2218" t="s">
        <v>2833</v>
      </c>
      <c r="AB2218" t="s">
        <v>96</v>
      </c>
      <c r="AC2218" t="s">
        <v>97</v>
      </c>
      <c r="AD2218" t="s">
        <v>1818</v>
      </c>
      <c r="AG2218" t="s">
        <v>2834</v>
      </c>
      <c r="AH2218">
        <v>0</v>
      </c>
      <c r="AI2218">
        <v>699</v>
      </c>
      <c r="AJ2218">
        <v>77</v>
      </c>
      <c r="AK2218">
        <v>46</v>
      </c>
      <c r="AL2218">
        <v>0.88</v>
      </c>
    </row>
    <row r="2219" spans="1:38" x14ac:dyDescent="0.3">
      <c r="A2219" t="s">
        <v>1813</v>
      </c>
      <c r="B2219">
        <v>138983</v>
      </c>
      <c r="C2219">
        <v>1</v>
      </c>
      <c r="D2219" t="s">
        <v>2835</v>
      </c>
      <c r="E2219" t="s">
        <v>2371</v>
      </c>
      <c r="F2219">
        <v>29</v>
      </c>
      <c r="G2219">
        <v>12.58</v>
      </c>
      <c r="H2219">
        <v>41.61</v>
      </c>
      <c r="I2219">
        <v>9.73</v>
      </c>
      <c r="J2219">
        <v>32.17</v>
      </c>
      <c r="K2219">
        <v>1</v>
      </c>
      <c r="T2219">
        <v>2</v>
      </c>
      <c r="U2219">
        <v>1</v>
      </c>
      <c r="V2219" t="s">
        <v>93</v>
      </c>
      <c r="W2219">
        <v>41</v>
      </c>
      <c r="X2219">
        <v>12</v>
      </c>
      <c r="Y2219">
        <v>12</v>
      </c>
      <c r="Z2219" t="s">
        <v>2836</v>
      </c>
      <c r="AA2219" t="s">
        <v>2837</v>
      </c>
      <c r="AB2219" t="s">
        <v>96</v>
      </c>
      <c r="AC2219" t="s">
        <v>97</v>
      </c>
      <c r="AD2219" t="s">
        <v>1818</v>
      </c>
      <c r="AG2219" t="s">
        <v>2838</v>
      </c>
      <c r="AH2219">
        <v>0</v>
      </c>
      <c r="AI2219">
        <v>583</v>
      </c>
      <c r="AJ2219">
        <v>67</v>
      </c>
      <c r="AK2219">
        <v>22</v>
      </c>
      <c r="AL2219">
        <v>0.76</v>
      </c>
    </row>
    <row r="2220" spans="1:38" x14ac:dyDescent="0.3">
      <c r="A2220" t="s">
        <v>1813</v>
      </c>
      <c r="B2220">
        <v>138983</v>
      </c>
      <c r="C2220">
        <v>2</v>
      </c>
      <c r="D2220" t="s">
        <v>2835</v>
      </c>
      <c r="E2220" t="s">
        <v>2371</v>
      </c>
      <c r="F2220">
        <v>29</v>
      </c>
      <c r="G2220">
        <v>13.79</v>
      </c>
      <c r="H2220">
        <v>45.61</v>
      </c>
      <c r="I2220">
        <v>10.7</v>
      </c>
      <c r="J2220">
        <v>35.380000000000003</v>
      </c>
      <c r="K2220">
        <v>1</v>
      </c>
      <c r="T2220">
        <v>2</v>
      </c>
      <c r="U2220">
        <v>1</v>
      </c>
      <c r="V2220" t="s">
        <v>93</v>
      </c>
      <c r="W2220" t="s">
        <v>965</v>
      </c>
      <c r="X2220">
        <v>12</v>
      </c>
      <c r="Y2220">
        <v>12</v>
      </c>
      <c r="Z2220" t="s">
        <v>2836</v>
      </c>
      <c r="AA2220" t="s">
        <v>2837</v>
      </c>
      <c r="AB2220" t="s">
        <v>96</v>
      </c>
      <c r="AC2220" t="s">
        <v>97</v>
      </c>
      <c r="AD2220" t="s">
        <v>1818</v>
      </c>
      <c r="AG2220" t="s">
        <v>2838</v>
      </c>
      <c r="AH2220">
        <v>0</v>
      </c>
      <c r="AI2220">
        <v>583</v>
      </c>
      <c r="AJ2220">
        <v>67</v>
      </c>
      <c r="AK2220">
        <v>22</v>
      </c>
      <c r="AL2220">
        <v>0.76</v>
      </c>
    </row>
    <row r="2221" spans="1:38" x14ac:dyDescent="0.3">
      <c r="A2221" t="s">
        <v>1813</v>
      </c>
      <c r="B2221">
        <v>138983</v>
      </c>
      <c r="C2221">
        <v>3</v>
      </c>
      <c r="D2221" t="s">
        <v>2835</v>
      </c>
      <c r="E2221" t="s">
        <v>2371</v>
      </c>
      <c r="F2221">
        <v>29</v>
      </c>
      <c r="G2221">
        <v>14.06</v>
      </c>
      <c r="H2221">
        <v>46.49</v>
      </c>
      <c r="I2221">
        <v>10.95</v>
      </c>
      <c r="J2221">
        <v>36.229999999999997</v>
      </c>
      <c r="K2221">
        <v>1</v>
      </c>
      <c r="T2221">
        <v>2</v>
      </c>
      <c r="U2221">
        <v>1</v>
      </c>
      <c r="V2221" t="s">
        <v>93</v>
      </c>
      <c r="W2221" t="s">
        <v>2686</v>
      </c>
      <c r="X2221">
        <v>12</v>
      </c>
      <c r="Y2221">
        <v>12</v>
      </c>
      <c r="Z2221" t="s">
        <v>2836</v>
      </c>
      <c r="AA2221" t="s">
        <v>2837</v>
      </c>
      <c r="AB2221" t="s">
        <v>96</v>
      </c>
      <c r="AC2221" t="s">
        <v>97</v>
      </c>
      <c r="AD2221" t="s">
        <v>1818</v>
      </c>
      <c r="AG2221" t="s">
        <v>2838</v>
      </c>
      <c r="AH2221">
        <v>0</v>
      </c>
      <c r="AI2221">
        <v>583</v>
      </c>
      <c r="AJ2221">
        <v>67</v>
      </c>
      <c r="AK2221">
        <v>22</v>
      </c>
      <c r="AL2221">
        <v>0.76</v>
      </c>
    </row>
    <row r="2222" spans="1:38" x14ac:dyDescent="0.3">
      <c r="A2222" t="s">
        <v>1813</v>
      </c>
      <c r="B2222">
        <v>138983</v>
      </c>
      <c r="C2222">
        <v>4</v>
      </c>
      <c r="D2222" t="s">
        <v>2835</v>
      </c>
      <c r="E2222" t="s">
        <v>2371</v>
      </c>
      <c r="F2222">
        <v>29</v>
      </c>
      <c r="G2222">
        <v>15.31</v>
      </c>
      <c r="H2222">
        <v>50.63</v>
      </c>
      <c r="I2222">
        <v>11.94</v>
      </c>
      <c r="J2222">
        <v>39.479999999999997</v>
      </c>
      <c r="K2222">
        <v>1</v>
      </c>
      <c r="T2222">
        <v>2</v>
      </c>
      <c r="U2222">
        <v>1</v>
      </c>
      <c r="V2222" t="s">
        <v>93</v>
      </c>
      <c r="W2222">
        <v>50</v>
      </c>
      <c r="X2222">
        <v>12</v>
      </c>
      <c r="Y2222">
        <v>12</v>
      </c>
      <c r="Z2222" t="s">
        <v>2836</v>
      </c>
      <c r="AA2222" t="s">
        <v>2837</v>
      </c>
      <c r="AB2222" t="s">
        <v>96</v>
      </c>
      <c r="AC2222" t="s">
        <v>97</v>
      </c>
      <c r="AD2222" t="s">
        <v>1818</v>
      </c>
      <c r="AG2222" t="s">
        <v>2838</v>
      </c>
      <c r="AH2222">
        <v>0</v>
      </c>
      <c r="AI2222">
        <v>583</v>
      </c>
      <c r="AJ2222">
        <v>67</v>
      </c>
      <c r="AK2222">
        <v>22</v>
      </c>
      <c r="AL2222">
        <v>0.76</v>
      </c>
    </row>
    <row r="2223" spans="1:38" x14ac:dyDescent="0.3">
      <c r="A2223" t="s">
        <v>1813</v>
      </c>
      <c r="B2223">
        <v>138983</v>
      </c>
      <c r="C2223">
        <v>5</v>
      </c>
      <c r="D2223" t="s">
        <v>2835</v>
      </c>
      <c r="E2223" t="s">
        <v>2371</v>
      </c>
      <c r="F2223">
        <v>29</v>
      </c>
      <c r="G2223">
        <v>17.100000000000001</v>
      </c>
      <c r="H2223">
        <v>56.56</v>
      </c>
      <c r="I2223">
        <v>13.37</v>
      </c>
      <c r="J2223">
        <v>44.21</v>
      </c>
      <c r="K2223">
        <v>1</v>
      </c>
      <c r="T2223">
        <v>2</v>
      </c>
      <c r="U2223">
        <v>1</v>
      </c>
      <c r="V2223" t="s">
        <v>93</v>
      </c>
      <c r="W2223">
        <v>56</v>
      </c>
      <c r="X2223">
        <v>12</v>
      </c>
      <c r="Y2223">
        <v>12</v>
      </c>
      <c r="Z2223" t="s">
        <v>2836</v>
      </c>
      <c r="AA2223" t="s">
        <v>2837</v>
      </c>
      <c r="AB2223" t="s">
        <v>96</v>
      </c>
      <c r="AC2223" t="s">
        <v>97</v>
      </c>
      <c r="AD2223" t="s">
        <v>1818</v>
      </c>
      <c r="AG2223" t="s">
        <v>2838</v>
      </c>
      <c r="AH2223">
        <v>0</v>
      </c>
      <c r="AI2223">
        <v>583</v>
      </c>
      <c r="AJ2223">
        <v>67</v>
      </c>
      <c r="AK2223">
        <v>22</v>
      </c>
      <c r="AL2223">
        <v>0.76</v>
      </c>
    </row>
    <row r="2224" spans="1:38" x14ac:dyDescent="0.3">
      <c r="A2224" t="s">
        <v>1813</v>
      </c>
      <c r="B2224">
        <v>138983</v>
      </c>
      <c r="C2224">
        <v>6</v>
      </c>
      <c r="D2224" t="s">
        <v>2835</v>
      </c>
      <c r="E2224" t="s">
        <v>2371</v>
      </c>
      <c r="F2224">
        <v>29</v>
      </c>
      <c r="G2224">
        <v>19.03</v>
      </c>
      <c r="H2224">
        <v>62.91</v>
      </c>
      <c r="I2224">
        <v>15.08</v>
      </c>
      <c r="J2224">
        <v>49.87</v>
      </c>
      <c r="K2224">
        <v>6</v>
      </c>
      <c r="T2224">
        <v>2</v>
      </c>
      <c r="U2224">
        <v>1</v>
      </c>
      <c r="V2224" t="s">
        <v>93</v>
      </c>
      <c r="W2224" t="s">
        <v>255</v>
      </c>
      <c r="X2224">
        <v>12</v>
      </c>
      <c r="Y2224">
        <v>12</v>
      </c>
      <c r="Z2224" t="s">
        <v>2836</v>
      </c>
      <c r="AA2224" t="s">
        <v>2837</v>
      </c>
      <c r="AB2224" t="s">
        <v>96</v>
      </c>
      <c r="AC2224" t="s">
        <v>97</v>
      </c>
      <c r="AD2224" t="s">
        <v>1818</v>
      </c>
      <c r="AG2224" t="s">
        <v>2838</v>
      </c>
      <c r="AH2224">
        <v>0</v>
      </c>
      <c r="AI2224">
        <v>583</v>
      </c>
      <c r="AJ2224">
        <v>67</v>
      </c>
      <c r="AK2224">
        <v>22</v>
      </c>
      <c r="AL2224">
        <v>0.76</v>
      </c>
    </row>
    <row r="2225" spans="1:38" x14ac:dyDescent="0.3">
      <c r="A2225" t="s">
        <v>1813</v>
      </c>
      <c r="B2225">
        <v>138983</v>
      </c>
      <c r="C2225">
        <v>7</v>
      </c>
      <c r="D2225" t="s">
        <v>2835</v>
      </c>
      <c r="E2225" t="s">
        <v>2371</v>
      </c>
      <c r="F2225">
        <v>29</v>
      </c>
      <c r="G2225">
        <v>19.3</v>
      </c>
      <c r="H2225">
        <v>63.81</v>
      </c>
      <c r="I2225">
        <v>15.01</v>
      </c>
      <c r="J2225">
        <v>49.62</v>
      </c>
      <c r="K2225">
        <v>6</v>
      </c>
      <c r="T2225">
        <v>2</v>
      </c>
      <c r="U2225">
        <v>1</v>
      </c>
      <c r="V2225" t="s">
        <v>93</v>
      </c>
      <c r="W2225" t="s">
        <v>194</v>
      </c>
      <c r="X2225">
        <v>12</v>
      </c>
      <c r="Y2225">
        <v>12</v>
      </c>
      <c r="Z2225" t="s">
        <v>2836</v>
      </c>
      <c r="AA2225" t="s">
        <v>2837</v>
      </c>
      <c r="AB2225" t="s">
        <v>96</v>
      </c>
      <c r="AC2225" t="s">
        <v>97</v>
      </c>
      <c r="AD2225" t="s">
        <v>1818</v>
      </c>
      <c r="AG2225" t="s">
        <v>2838</v>
      </c>
      <c r="AH2225">
        <v>0</v>
      </c>
      <c r="AI2225">
        <v>583</v>
      </c>
      <c r="AJ2225">
        <v>67</v>
      </c>
      <c r="AK2225">
        <v>22</v>
      </c>
      <c r="AL2225">
        <v>0.76</v>
      </c>
    </row>
    <row r="2226" spans="1:38" x14ac:dyDescent="0.3">
      <c r="A2226" t="s">
        <v>1813</v>
      </c>
      <c r="B2226">
        <v>138983</v>
      </c>
      <c r="C2226">
        <v>8</v>
      </c>
      <c r="D2226" t="s">
        <v>2835</v>
      </c>
      <c r="E2226" t="s">
        <v>2371</v>
      </c>
      <c r="F2226">
        <v>29</v>
      </c>
      <c r="G2226">
        <v>19.170000000000002</v>
      </c>
      <c r="H2226">
        <v>63.38</v>
      </c>
      <c r="I2226">
        <v>15.09</v>
      </c>
      <c r="J2226">
        <v>49.9</v>
      </c>
      <c r="K2226">
        <v>6</v>
      </c>
      <c r="T2226">
        <v>2</v>
      </c>
      <c r="U2226">
        <v>1</v>
      </c>
      <c r="V2226" t="s">
        <v>93</v>
      </c>
      <c r="W2226" t="s">
        <v>721</v>
      </c>
      <c r="X2226">
        <v>12</v>
      </c>
      <c r="Y2226">
        <v>12</v>
      </c>
      <c r="Z2226" t="s">
        <v>2836</v>
      </c>
      <c r="AA2226" t="s">
        <v>2837</v>
      </c>
      <c r="AB2226" t="s">
        <v>96</v>
      </c>
      <c r="AC2226" t="s">
        <v>97</v>
      </c>
      <c r="AD2226" t="s">
        <v>1818</v>
      </c>
      <c r="AG2226" t="s">
        <v>2838</v>
      </c>
      <c r="AH2226">
        <v>0</v>
      </c>
      <c r="AI2226">
        <v>583</v>
      </c>
      <c r="AJ2226">
        <v>67</v>
      </c>
      <c r="AK2226">
        <v>22</v>
      </c>
      <c r="AL2226">
        <v>0.76</v>
      </c>
    </row>
    <row r="2227" spans="1:38" x14ac:dyDescent="0.3">
      <c r="A2227" t="s">
        <v>1813</v>
      </c>
      <c r="B2227">
        <v>138983</v>
      </c>
      <c r="C2227">
        <v>9</v>
      </c>
      <c r="D2227" t="s">
        <v>2835</v>
      </c>
      <c r="E2227" t="s">
        <v>2371</v>
      </c>
      <c r="F2227">
        <v>29</v>
      </c>
      <c r="G2227">
        <v>19.2</v>
      </c>
      <c r="H2227">
        <v>63.5</v>
      </c>
      <c r="I2227">
        <v>15.12</v>
      </c>
      <c r="J2227">
        <v>50</v>
      </c>
      <c r="K2227">
        <v>6</v>
      </c>
      <c r="T2227">
        <v>2</v>
      </c>
      <c r="U2227">
        <v>1</v>
      </c>
      <c r="V2227" t="s">
        <v>93</v>
      </c>
      <c r="W2227" t="s">
        <v>722</v>
      </c>
      <c r="X2227">
        <v>12</v>
      </c>
      <c r="Y2227">
        <v>12</v>
      </c>
      <c r="Z2227" t="s">
        <v>2836</v>
      </c>
      <c r="AA2227" t="s">
        <v>2837</v>
      </c>
      <c r="AB2227" t="s">
        <v>96</v>
      </c>
      <c r="AC2227" t="s">
        <v>97</v>
      </c>
      <c r="AD2227" t="s">
        <v>1818</v>
      </c>
      <c r="AG2227" t="s">
        <v>2838</v>
      </c>
      <c r="AH2227">
        <v>0</v>
      </c>
      <c r="AI2227">
        <v>583</v>
      </c>
      <c r="AJ2227">
        <v>67</v>
      </c>
      <c r="AK2227">
        <v>22</v>
      </c>
      <c r="AL2227">
        <v>0.76</v>
      </c>
    </row>
    <row r="2228" spans="1:38" x14ac:dyDescent="0.3">
      <c r="A2228" t="s">
        <v>1813</v>
      </c>
      <c r="B2228">
        <v>24124</v>
      </c>
      <c r="C2228">
        <v>1</v>
      </c>
      <c r="D2228" t="s">
        <v>2839</v>
      </c>
      <c r="E2228" t="s">
        <v>264</v>
      </c>
      <c r="F2228">
        <v>70</v>
      </c>
      <c r="G2228">
        <v>21.51</v>
      </c>
      <c r="H2228">
        <v>71.14</v>
      </c>
      <c r="I2228">
        <v>18.68</v>
      </c>
      <c r="J2228">
        <v>61.77</v>
      </c>
      <c r="K2228">
        <v>30</v>
      </c>
      <c r="T2228">
        <v>3</v>
      </c>
      <c r="U2228">
        <v>1</v>
      </c>
      <c r="V2228" t="s">
        <v>93</v>
      </c>
      <c r="W2228">
        <v>71</v>
      </c>
      <c r="X2228">
        <v>5</v>
      </c>
      <c r="Y2228">
        <v>5</v>
      </c>
      <c r="Z2228" t="s">
        <v>2840</v>
      </c>
      <c r="AA2228" t="s">
        <v>2841</v>
      </c>
      <c r="AB2228" t="s">
        <v>96</v>
      </c>
      <c r="AC2228" t="s">
        <v>97</v>
      </c>
      <c r="AD2228" t="s">
        <v>1818</v>
      </c>
      <c r="AG2228" t="s">
        <v>2842</v>
      </c>
      <c r="AH2228">
        <v>0</v>
      </c>
      <c r="AI2228">
        <v>0</v>
      </c>
      <c r="AJ2228">
        <v>0</v>
      </c>
      <c r="AK2228">
        <v>0</v>
      </c>
      <c r="AL2228">
        <v>0</v>
      </c>
    </row>
    <row r="2229" spans="1:38" x14ac:dyDescent="0.3">
      <c r="A2229" t="s">
        <v>1813</v>
      </c>
      <c r="B2229">
        <v>24124</v>
      </c>
      <c r="C2229">
        <v>2</v>
      </c>
      <c r="D2229" t="s">
        <v>2839</v>
      </c>
      <c r="E2229" t="s">
        <v>264</v>
      </c>
      <c r="F2229">
        <v>70</v>
      </c>
      <c r="G2229">
        <v>22.72</v>
      </c>
      <c r="H2229">
        <v>75.14</v>
      </c>
      <c r="I2229">
        <v>19.71</v>
      </c>
      <c r="J2229">
        <v>65.19</v>
      </c>
      <c r="K2229">
        <v>30</v>
      </c>
      <c r="T2229">
        <v>3</v>
      </c>
      <c r="U2229">
        <v>1</v>
      </c>
      <c r="V2229" t="s">
        <v>93</v>
      </c>
      <c r="W2229" t="s">
        <v>882</v>
      </c>
      <c r="X2229">
        <v>5</v>
      </c>
      <c r="Y2229">
        <v>5</v>
      </c>
      <c r="Z2229" t="s">
        <v>2840</v>
      </c>
      <c r="AA2229" t="s">
        <v>2841</v>
      </c>
      <c r="AB2229" t="s">
        <v>96</v>
      </c>
      <c r="AC2229" t="s">
        <v>97</v>
      </c>
      <c r="AD2229" t="s">
        <v>1818</v>
      </c>
      <c r="AG2229" t="s">
        <v>2842</v>
      </c>
      <c r="AH2229">
        <v>0</v>
      </c>
      <c r="AI2229">
        <v>0</v>
      </c>
      <c r="AJ2229">
        <v>0</v>
      </c>
      <c r="AK2229">
        <v>0</v>
      </c>
      <c r="AL2229">
        <v>0</v>
      </c>
    </row>
    <row r="2230" spans="1:38" x14ac:dyDescent="0.3">
      <c r="A2230" t="s">
        <v>1813</v>
      </c>
      <c r="B2230">
        <v>24124</v>
      </c>
      <c r="C2230">
        <v>3</v>
      </c>
      <c r="D2230" t="s">
        <v>2839</v>
      </c>
      <c r="E2230" t="s">
        <v>264</v>
      </c>
      <c r="F2230">
        <v>70</v>
      </c>
      <c r="G2230">
        <v>23.26</v>
      </c>
      <c r="H2230">
        <v>76.900000000000006</v>
      </c>
      <c r="I2230">
        <v>20.420000000000002</v>
      </c>
      <c r="J2230">
        <v>67.53</v>
      </c>
      <c r="K2230">
        <v>5</v>
      </c>
      <c r="T2230">
        <v>3</v>
      </c>
      <c r="U2230">
        <v>1</v>
      </c>
      <c r="V2230" t="s">
        <v>93</v>
      </c>
      <c r="W2230" t="s">
        <v>1126</v>
      </c>
      <c r="X2230">
        <v>5</v>
      </c>
      <c r="Y2230">
        <v>5</v>
      </c>
      <c r="Z2230" t="s">
        <v>2840</v>
      </c>
      <c r="AA2230" t="s">
        <v>2841</v>
      </c>
      <c r="AB2230" t="s">
        <v>96</v>
      </c>
      <c r="AC2230" t="s">
        <v>97</v>
      </c>
      <c r="AD2230" t="s">
        <v>1818</v>
      </c>
      <c r="AG2230" t="s">
        <v>2842</v>
      </c>
      <c r="AH2230">
        <v>0</v>
      </c>
      <c r="AI2230">
        <v>0</v>
      </c>
      <c r="AJ2230">
        <v>0</v>
      </c>
      <c r="AK2230">
        <v>0</v>
      </c>
      <c r="AL2230">
        <v>0</v>
      </c>
    </row>
    <row r="2231" spans="1:38" x14ac:dyDescent="0.3">
      <c r="A2231" t="s">
        <v>1813</v>
      </c>
      <c r="B2231">
        <v>24124</v>
      </c>
      <c r="C2231">
        <v>4</v>
      </c>
      <c r="D2231" t="s">
        <v>2839</v>
      </c>
      <c r="E2231" t="s">
        <v>264</v>
      </c>
      <c r="F2231">
        <v>70</v>
      </c>
      <c r="G2231">
        <v>24.47</v>
      </c>
      <c r="H2231">
        <v>80.900000000000006</v>
      </c>
      <c r="I2231">
        <v>21.46</v>
      </c>
      <c r="J2231">
        <v>70.95</v>
      </c>
      <c r="K2231">
        <v>5</v>
      </c>
      <c r="T2231">
        <v>3</v>
      </c>
      <c r="U2231">
        <v>1</v>
      </c>
      <c r="V2231" t="s">
        <v>93</v>
      </c>
      <c r="W2231">
        <v>80</v>
      </c>
      <c r="X2231">
        <v>5</v>
      </c>
      <c r="Y2231">
        <v>5</v>
      </c>
      <c r="Z2231" t="s">
        <v>2840</v>
      </c>
      <c r="AA2231" t="s">
        <v>2841</v>
      </c>
      <c r="AB2231" t="s">
        <v>96</v>
      </c>
      <c r="AC2231" t="s">
        <v>97</v>
      </c>
      <c r="AD2231" t="s">
        <v>1818</v>
      </c>
      <c r="AG2231" t="s">
        <v>2842</v>
      </c>
      <c r="AH2231">
        <v>0</v>
      </c>
      <c r="AI2231">
        <v>0</v>
      </c>
      <c r="AJ2231">
        <v>0</v>
      </c>
      <c r="AK2231">
        <v>0</v>
      </c>
      <c r="AL2231">
        <v>0</v>
      </c>
    </row>
    <row r="2232" spans="1:38" x14ac:dyDescent="0.3">
      <c r="A2232" t="s">
        <v>1813</v>
      </c>
      <c r="B2232">
        <v>113190</v>
      </c>
      <c r="C2232">
        <v>1</v>
      </c>
      <c r="D2232" t="s">
        <v>215</v>
      </c>
      <c r="E2232" t="s">
        <v>1003</v>
      </c>
      <c r="F2232">
        <v>55</v>
      </c>
      <c r="G2232">
        <v>24.25</v>
      </c>
      <c r="H2232">
        <v>80.19</v>
      </c>
      <c r="I2232">
        <v>17.649999999999999</v>
      </c>
      <c r="J2232">
        <v>58.35</v>
      </c>
      <c r="K2232">
        <v>8</v>
      </c>
      <c r="T2232">
        <v>3</v>
      </c>
      <c r="U2232">
        <v>2</v>
      </c>
      <c r="V2232" t="s">
        <v>132</v>
      </c>
      <c r="W2232" t="s">
        <v>1020</v>
      </c>
      <c r="X2232">
        <v>15</v>
      </c>
      <c r="Y2232">
        <v>14</v>
      </c>
      <c r="Z2232" t="s">
        <v>2843</v>
      </c>
      <c r="AA2232" t="s">
        <v>2844</v>
      </c>
      <c r="AB2232" t="s">
        <v>96</v>
      </c>
      <c r="AC2232" t="s">
        <v>97</v>
      </c>
      <c r="AD2232" t="s">
        <v>1818</v>
      </c>
      <c r="AG2232" t="s">
        <v>2845</v>
      </c>
      <c r="AH2232">
        <v>0</v>
      </c>
      <c r="AI2232">
        <v>776</v>
      </c>
      <c r="AJ2232">
        <v>70</v>
      </c>
      <c r="AK2232">
        <v>47</v>
      </c>
      <c r="AL2232">
        <v>0.85</v>
      </c>
    </row>
    <row r="2233" spans="1:38" x14ac:dyDescent="0.3">
      <c r="A2233" t="s">
        <v>1813</v>
      </c>
      <c r="B2233">
        <v>113190</v>
      </c>
      <c r="C2233">
        <v>2</v>
      </c>
      <c r="D2233" t="s">
        <v>215</v>
      </c>
      <c r="E2233" t="s">
        <v>1003</v>
      </c>
      <c r="F2233">
        <v>55</v>
      </c>
      <c r="G2233">
        <v>24.45</v>
      </c>
      <c r="H2233">
        <v>80.83</v>
      </c>
      <c r="I2233">
        <v>17.79</v>
      </c>
      <c r="J2233">
        <v>58.82</v>
      </c>
      <c r="K2233">
        <v>8</v>
      </c>
      <c r="T2233">
        <v>3</v>
      </c>
      <c r="U2233">
        <v>2</v>
      </c>
      <c r="V2233" t="s">
        <v>132</v>
      </c>
      <c r="W2233" t="s">
        <v>633</v>
      </c>
      <c r="X2233">
        <v>15</v>
      </c>
      <c r="Y2233">
        <v>14</v>
      </c>
      <c r="Z2233" t="s">
        <v>2843</v>
      </c>
      <c r="AA2233" t="s">
        <v>2844</v>
      </c>
      <c r="AB2233" t="s">
        <v>96</v>
      </c>
      <c r="AC2233" t="s">
        <v>97</v>
      </c>
      <c r="AD2233" t="s">
        <v>1818</v>
      </c>
      <c r="AG2233" t="s">
        <v>2845</v>
      </c>
      <c r="AH2233">
        <v>0</v>
      </c>
      <c r="AI2233">
        <v>776</v>
      </c>
      <c r="AJ2233">
        <v>70</v>
      </c>
      <c r="AK2233">
        <v>47</v>
      </c>
      <c r="AL2233">
        <v>0.85</v>
      </c>
    </row>
    <row r="2234" spans="1:38" x14ac:dyDescent="0.3">
      <c r="A2234" t="s">
        <v>1813</v>
      </c>
      <c r="B2234">
        <v>113190</v>
      </c>
      <c r="C2234">
        <v>3</v>
      </c>
      <c r="D2234" t="s">
        <v>215</v>
      </c>
      <c r="E2234" t="s">
        <v>1003</v>
      </c>
      <c r="F2234">
        <v>55</v>
      </c>
      <c r="G2234">
        <v>24.39</v>
      </c>
      <c r="H2234">
        <v>80.650000000000006</v>
      </c>
      <c r="I2234">
        <v>17.75</v>
      </c>
      <c r="J2234">
        <v>58.69</v>
      </c>
      <c r="K2234">
        <v>7</v>
      </c>
      <c r="T2234">
        <v>3</v>
      </c>
      <c r="U2234">
        <v>2</v>
      </c>
      <c r="V2234" t="s">
        <v>132</v>
      </c>
      <c r="W2234" t="s">
        <v>322</v>
      </c>
      <c r="X2234">
        <v>15</v>
      </c>
      <c r="Y2234">
        <v>14</v>
      </c>
      <c r="Z2234" t="s">
        <v>2843</v>
      </c>
      <c r="AA2234" t="s">
        <v>2844</v>
      </c>
      <c r="AB2234" t="s">
        <v>96</v>
      </c>
      <c r="AC2234" t="s">
        <v>97</v>
      </c>
      <c r="AD2234" t="s">
        <v>1818</v>
      </c>
      <c r="AG2234" t="s">
        <v>2845</v>
      </c>
      <c r="AH2234">
        <v>0</v>
      </c>
      <c r="AI2234">
        <v>776</v>
      </c>
      <c r="AJ2234">
        <v>70</v>
      </c>
      <c r="AK2234">
        <v>47</v>
      </c>
      <c r="AL2234">
        <v>0.85</v>
      </c>
    </row>
    <row r="2235" spans="1:38" x14ac:dyDescent="0.3">
      <c r="A2235" t="s">
        <v>1813</v>
      </c>
      <c r="B2235">
        <v>113190</v>
      </c>
      <c r="C2235">
        <v>4</v>
      </c>
      <c r="D2235" t="s">
        <v>215</v>
      </c>
      <c r="E2235" t="s">
        <v>1003</v>
      </c>
      <c r="F2235">
        <v>55</v>
      </c>
      <c r="G2235">
        <v>24.46</v>
      </c>
      <c r="H2235">
        <v>80.89</v>
      </c>
      <c r="I2235">
        <v>17.8</v>
      </c>
      <c r="J2235">
        <v>58.86</v>
      </c>
      <c r="K2235">
        <v>7</v>
      </c>
      <c r="T2235">
        <v>3</v>
      </c>
      <c r="U2235">
        <v>2</v>
      </c>
      <c r="V2235" t="s">
        <v>132</v>
      </c>
      <c r="W2235" t="s">
        <v>2221</v>
      </c>
      <c r="X2235">
        <v>15</v>
      </c>
      <c r="Y2235">
        <v>14</v>
      </c>
      <c r="Z2235" t="s">
        <v>2843</v>
      </c>
      <c r="AA2235" t="s">
        <v>2844</v>
      </c>
      <c r="AB2235" t="s">
        <v>96</v>
      </c>
      <c r="AC2235" t="s">
        <v>97</v>
      </c>
      <c r="AD2235" t="s">
        <v>1818</v>
      </c>
      <c r="AG2235" t="s">
        <v>2845</v>
      </c>
      <c r="AH2235">
        <v>0</v>
      </c>
      <c r="AI2235">
        <v>776</v>
      </c>
      <c r="AJ2235">
        <v>70</v>
      </c>
      <c r="AK2235">
        <v>47</v>
      </c>
      <c r="AL2235">
        <v>0.85</v>
      </c>
    </row>
    <row r="2236" spans="1:38" x14ac:dyDescent="0.3">
      <c r="A2236" t="s">
        <v>1813</v>
      </c>
      <c r="B2236">
        <v>113190</v>
      </c>
      <c r="C2236">
        <v>5</v>
      </c>
      <c r="D2236" t="s">
        <v>215</v>
      </c>
      <c r="E2236" t="s">
        <v>1003</v>
      </c>
      <c r="F2236">
        <v>55</v>
      </c>
      <c r="G2236">
        <v>24.77</v>
      </c>
      <c r="H2236">
        <v>81.91</v>
      </c>
      <c r="I2236">
        <v>18.02</v>
      </c>
      <c r="J2236">
        <v>59.6</v>
      </c>
      <c r="K2236">
        <v>7</v>
      </c>
      <c r="T2236">
        <v>3</v>
      </c>
      <c r="U2236">
        <v>2</v>
      </c>
      <c r="V2236" t="s">
        <v>132</v>
      </c>
      <c r="W2236" t="s">
        <v>502</v>
      </c>
      <c r="X2236">
        <v>15</v>
      </c>
      <c r="Y2236">
        <v>14</v>
      </c>
      <c r="Z2236" t="s">
        <v>2843</v>
      </c>
      <c r="AA2236" t="s">
        <v>2844</v>
      </c>
      <c r="AB2236" t="s">
        <v>96</v>
      </c>
      <c r="AC2236" t="s">
        <v>97</v>
      </c>
      <c r="AD2236" t="s">
        <v>1818</v>
      </c>
      <c r="AG2236" t="s">
        <v>2845</v>
      </c>
      <c r="AH2236">
        <v>0</v>
      </c>
      <c r="AI2236">
        <v>776</v>
      </c>
      <c r="AJ2236">
        <v>70</v>
      </c>
      <c r="AK2236">
        <v>47</v>
      </c>
      <c r="AL2236">
        <v>0.85</v>
      </c>
    </row>
    <row r="2237" spans="1:38" x14ac:dyDescent="0.3">
      <c r="A2237" t="s">
        <v>1813</v>
      </c>
      <c r="B2237">
        <v>113190</v>
      </c>
      <c r="C2237">
        <v>6</v>
      </c>
      <c r="D2237" t="s">
        <v>215</v>
      </c>
      <c r="E2237" t="s">
        <v>1003</v>
      </c>
      <c r="F2237">
        <v>55</v>
      </c>
      <c r="G2237">
        <v>24.78</v>
      </c>
      <c r="H2237">
        <v>81.93</v>
      </c>
      <c r="I2237">
        <v>18.03</v>
      </c>
      <c r="J2237">
        <v>59.62</v>
      </c>
      <c r="K2237">
        <v>1</v>
      </c>
      <c r="T2237">
        <v>3</v>
      </c>
      <c r="U2237">
        <v>2</v>
      </c>
      <c r="V2237" t="s">
        <v>132</v>
      </c>
      <c r="W2237" t="s">
        <v>746</v>
      </c>
      <c r="X2237">
        <v>15</v>
      </c>
      <c r="Y2237">
        <v>14</v>
      </c>
      <c r="Z2237" t="s">
        <v>2843</v>
      </c>
      <c r="AA2237" t="s">
        <v>2844</v>
      </c>
      <c r="AB2237" t="s">
        <v>96</v>
      </c>
      <c r="AC2237" t="s">
        <v>97</v>
      </c>
      <c r="AD2237" t="s">
        <v>1818</v>
      </c>
      <c r="AG2237" t="s">
        <v>2845</v>
      </c>
      <c r="AH2237">
        <v>0</v>
      </c>
      <c r="AI2237">
        <v>776</v>
      </c>
      <c r="AJ2237">
        <v>70</v>
      </c>
      <c r="AK2237">
        <v>47</v>
      </c>
      <c r="AL2237">
        <v>0.85</v>
      </c>
    </row>
    <row r="2238" spans="1:38" x14ac:dyDescent="0.3">
      <c r="A2238" t="s">
        <v>1813</v>
      </c>
      <c r="B2238">
        <v>113190</v>
      </c>
      <c r="C2238">
        <v>7</v>
      </c>
      <c r="D2238" t="s">
        <v>215</v>
      </c>
      <c r="E2238" t="s">
        <v>1003</v>
      </c>
      <c r="F2238">
        <v>55</v>
      </c>
      <c r="G2238">
        <v>24.85</v>
      </c>
      <c r="H2238">
        <v>82.18</v>
      </c>
      <c r="I2238">
        <v>18.079999999999998</v>
      </c>
      <c r="J2238">
        <v>59.8</v>
      </c>
      <c r="K2238">
        <v>8</v>
      </c>
      <c r="T2238">
        <v>3</v>
      </c>
      <c r="U2238">
        <v>1</v>
      </c>
      <c r="V2238" t="s">
        <v>93</v>
      </c>
      <c r="W2238" t="s">
        <v>748</v>
      </c>
      <c r="X2238">
        <v>15</v>
      </c>
      <c r="Y2238">
        <v>14</v>
      </c>
      <c r="Z2238" t="s">
        <v>2843</v>
      </c>
      <c r="AA2238" t="s">
        <v>2844</v>
      </c>
      <c r="AB2238" t="s">
        <v>96</v>
      </c>
      <c r="AC2238" t="s">
        <v>97</v>
      </c>
      <c r="AD2238" t="s">
        <v>1818</v>
      </c>
      <c r="AG2238" t="s">
        <v>2845</v>
      </c>
      <c r="AH2238">
        <v>0</v>
      </c>
      <c r="AI2238">
        <v>776</v>
      </c>
      <c r="AJ2238">
        <v>70</v>
      </c>
      <c r="AK2238">
        <v>47</v>
      </c>
      <c r="AL2238">
        <v>0.85</v>
      </c>
    </row>
    <row r="2239" spans="1:38" x14ac:dyDescent="0.3">
      <c r="A2239" t="s">
        <v>1813</v>
      </c>
      <c r="B2239">
        <v>113190</v>
      </c>
      <c r="C2239">
        <v>8</v>
      </c>
      <c r="D2239" t="s">
        <v>215</v>
      </c>
      <c r="E2239" t="s">
        <v>1003</v>
      </c>
      <c r="F2239">
        <v>55</v>
      </c>
      <c r="G2239">
        <v>24.81</v>
      </c>
      <c r="H2239">
        <v>82.04</v>
      </c>
      <c r="I2239">
        <v>18.05</v>
      </c>
      <c r="J2239">
        <v>59.7</v>
      </c>
      <c r="K2239">
        <v>1</v>
      </c>
      <c r="T2239">
        <v>3</v>
      </c>
      <c r="U2239">
        <v>2</v>
      </c>
      <c r="V2239" t="s">
        <v>132</v>
      </c>
      <c r="W2239" t="s">
        <v>1074</v>
      </c>
      <c r="X2239">
        <v>15</v>
      </c>
      <c r="Y2239">
        <v>14</v>
      </c>
      <c r="Z2239" t="s">
        <v>2843</v>
      </c>
      <c r="AA2239" t="s">
        <v>2844</v>
      </c>
      <c r="AB2239" t="s">
        <v>96</v>
      </c>
      <c r="AC2239" t="s">
        <v>97</v>
      </c>
      <c r="AD2239" t="s">
        <v>1818</v>
      </c>
      <c r="AG2239" t="s">
        <v>2845</v>
      </c>
      <c r="AH2239">
        <v>0</v>
      </c>
      <c r="AI2239">
        <v>776</v>
      </c>
      <c r="AJ2239">
        <v>70</v>
      </c>
      <c r="AK2239">
        <v>47</v>
      </c>
      <c r="AL2239">
        <v>0.85</v>
      </c>
    </row>
    <row r="2240" spans="1:38" x14ac:dyDescent="0.3">
      <c r="A2240" t="s">
        <v>1813</v>
      </c>
      <c r="B2240">
        <v>113190</v>
      </c>
      <c r="C2240">
        <v>9</v>
      </c>
      <c r="D2240" t="s">
        <v>215</v>
      </c>
      <c r="E2240" t="s">
        <v>1003</v>
      </c>
      <c r="F2240">
        <v>55</v>
      </c>
      <c r="G2240">
        <v>26.83</v>
      </c>
      <c r="H2240">
        <v>88.72</v>
      </c>
      <c r="I2240">
        <v>19.52</v>
      </c>
      <c r="J2240">
        <v>64.56</v>
      </c>
      <c r="K2240">
        <v>8</v>
      </c>
      <c r="T2240">
        <v>3</v>
      </c>
      <c r="U2240">
        <v>2</v>
      </c>
      <c r="V2240" t="s">
        <v>93</v>
      </c>
      <c r="W2240">
        <v>88</v>
      </c>
      <c r="X2240">
        <v>15</v>
      </c>
      <c r="Y2240">
        <v>14</v>
      </c>
      <c r="Z2240" t="s">
        <v>2843</v>
      </c>
      <c r="AA2240" t="s">
        <v>2844</v>
      </c>
      <c r="AB2240" t="s">
        <v>96</v>
      </c>
      <c r="AC2240" t="s">
        <v>97</v>
      </c>
      <c r="AD2240" t="s">
        <v>1818</v>
      </c>
      <c r="AG2240" t="s">
        <v>2845</v>
      </c>
      <c r="AH2240">
        <v>0</v>
      </c>
      <c r="AI2240">
        <v>776</v>
      </c>
      <c r="AJ2240">
        <v>70</v>
      </c>
      <c r="AK2240">
        <v>47</v>
      </c>
      <c r="AL2240">
        <v>0.85</v>
      </c>
    </row>
    <row r="2241" spans="1:38" x14ac:dyDescent="0.3">
      <c r="A2241" t="s">
        <v>1813</v>
      </c>
      <c r="B2241">
        <v>10487</v>
      </c>
      <c r="C2241">
        <v>1</v>
      </c>
      <c r="D2241" t="s">
        <v>2846</v>
      </c>
      <c r="E2241" t="s">
        <v>665</v>
      </c>
      <c r="F2241">
        <v>70</v>
      </c>
      <c r="G2241">
        <v>24.33</v>
      </c>
      <c r="H2241">
        <v>80.45</v>
      </c>
      <c r="I2241">
        <v>18.14</v>
      </c>
      <c r="J2241">
        <v>59.99</v>
      </c>
      <c r="K2241">
        <v>42</v>
      </c>
      <c r="T2241">
        <v>3</v>
      </c>
      <c r="U2241">
        <v>2</v>
      </c>
      <c r="V2241" t="s">
        <v>93</v>
      </c>
      <c r="W2241">
        <v>80</v>
      </c>
      <c r="X2241">
        <v>15</v>
      </c>
      <c r="Y2241">
        <v>15</v>
      </c>
      <c r="Z2241" t="s">
        <v>2847</v>
      </c>
      <c r="AA2241" t="s">
        <v>2848</v>
      </c>
      <c r="AB2241" t="s">
        <v>96</v>
      </c>
      <c r="AC2241" t="s">
        <v>97</v>
      </c>
      <c r="AD2241" t="s">
        <v>1818</v>
      </c>
      <c r="AG2241" t="s">
        <v>2849</v>
      </c>
      <c r="AH2241">
        <v>0</v>
      </c>
      <c r="AI2241">
        <v>578</v>
      </c>
      <c r="AJ2241">
        <v>64</v>
      </c>
      <c r="AK2241">
        <v>54</v>
      </c>
      <c r="AL2241">
        <v>0.77</v>
      </c>
    </row>
    <row r="2242" spans="1:38" x14ac:dyDescent="0.3">
      <c r="A2242" t="s">
        <v>1813</v>
      </c>
      <c r="B2242">
        <v>10487</v>
      </c>
      <c r="C2242">
        <v>2</v>
      </c>
      <c r="D2242" t="s">
        <v>2846</v>
      </c>
      <c r="E2242" t="s">
        <v>665</v>
      </c>
      <c r="F2242">
        <v>70</v>
      </c>
      <c r="G2242">
        <v>33.049999999999997</v>
      </c>
      <c r="H2242">
        <v>109.28</v>
      </c>
      <c r="I2242">
        <v>25.7</v>
      </c>
      <c r="J2242">
        <v>84.97</v>
      </c>
      <c r="K2242">
        <v>28</v>
      </c>
      <c r="T2242">
        <v>3</v>
      </c>
      <c r="U2242">
        <v>2</v>
      </c>
      <c r="V2242" t="s">
        <v>93</v>
      </c>
      <c r="W2242">
        <v>109</v>
      </c>
      <c r="X2242">
        <v>15</v>
      </c>
      <c r="Y2242">
        <v>15</v>
      </c>
      <c r="Z2242" t="s">
        <v>2847</v>
      </c>
      <c r="AA2242" t="s">
        <v>2848</v>
      </c>
      <c r="AB2242" t="s">
        <v>96</v>
      </c>
      <c r="AC2242" t="s">
        <v>97</v>
      </c>
      <c r="AD2242" t="s">
        <v>1818</v>
      </c>
      <c r="AG2242" t="s">
        <v>2849</v>
      </c>
      <c r="AH2242">
        <v>0</v>
      </c>
      <c r="AI2242">
        <v>578</v>
      </c>
      <c r="AJ2242">
        <v>64</v>
      </c>
      <c r="AK2242">
        <v>54</v>
      </c>
      <c r="AL2242">
        <v>0.77</v>
      </c>
    </row>
    <row r="2243" spans="1:38" x14ac:dyDescent="0.3">
      <c r="A2243" t="s">
        <v>1813</v>
      </c>
      <c r="B2243">
        <v>117844</v>
      </c>
      <c r="C2243">
        <v>1</v>
      </c>
      <c r="D2243" t="s">
        <v>2850</v>
      </c>
      <c r="E2243" t="s">
        <v>1279</v>
      </c>
      <c r="F2243">
        <v>149</v>
      </c>
      <c r="G2243">
        <v>7.03</v>
      </c>
      <c r="H2243">
        <v>23.25</v>
      </c>
      <c r="I2243">
        <v>4.5</v>
      </c>
      <c r="J2243">
        <v>14.9</v>
      </c>
      <c r="K2243">
        <v>148</v>
      </c>
      <c r="T2243">
        <v>1</v>
      </c>
      <c r="U2243">
        <v>1</v>
      </c>
      <c r="V2243" t="s">
        <v>132</v>
      </c>
      <c r="W2243">
        <v>23</v>
      </c>
      <c r="X2243">
        <v>7</v>
      </c>
      <c r="Y2243">
        <v>6</v>
      </c>
      <c r="Z2243" t="s">
        <v>2851</v>
      </c>
      <c r="AA2243" t="s">
        <v>2852</v>
      </c>
      <c r="AB2243" t="s">
        <v>96</v>
      </c>
      <c r="AC2243" t="s">
        <v>97</v>
      </c>
      <c r="AD2243" t="s">
        <v>1818</v>
      </c>
      <c r="AG2243" t="s">
        <v>2853</v>
      </c>
      <c r="AH2243">
        <v>0</v>
      </c>
      <c r="AI2243">
        <v>249</v>
      </c>
      <c r="AJ2243">
        <v>52</v>
      </c>
      <c r="AK2243">
        <v>69</v>
      </c>
      <c r="AL2243">
        <v>0.46</v>
      </c>
    </row>
    <row r="2244" spans="1:38" x14ac:dyDescent="0.3">
      <c r="A2244" t="s">
        <v>1813</v>
      </c>
      <c r="B2244">
        <v>117844</v>
      </c>
      <c r="C2244">
        <v>2</v>
      </c>
      <c r="D2244" t="s">
        <v>2850</v>
      </c>
      <c r="E2244" t="s">
        <v>1279</v>
      </c>
      <c r="F2244">
        <v>149</v>
      </c>
      <c r="G2244">
        <v>14.14</v>
      </c>
      <c r="H2244">
        <v>46.77</v>
      </c>
      <c r="I2244">
        <v>9.23</v>
      </c>
      <c r="J2244">
        <v>30.52</v>
      </c>
      <c r="K2244">
        <v>1</v>
      </c>
      <c r="T2244">
        <v>1</v>
      </c>
      <c r="U2244">
        <v>1</v>
      </c>
      <c r="V2244" t="s">
        <v>132</v>
      </c>
      <c r="W2244">
        <v>46</v>
      </c>
      <c r="X2244">
        <v>7</v>
      </c>
      <c r="Y2244">
        <v>6</v>
      </c>
      <c r="Z2244" t="s">
        <v>2851</v>
      </c>
      <c r="AA2244" t="s">
        <v>2852</v>
      </c>
      <c r="AB2244" t="s">
        <v>96</v>
      </c>
      <c r="AC2244" t="s">
        <v>97</v>
      </c>
      <c r="AD2244" t="s">
        <v>1818</v>
      </c>
      <c r="AG2244" t="s">
        <v>2853</v>
      </c>
      <c r="AH2244">
        <v>0</v>
      </c>
      <c r="AI2244">
        <v>249</v>
      </c>
      <c r="AJ2244">
        <v>52</v>
      </c>
      <c r="AK2244">
        <v>69</v>
      </c>
      <c r="AL2244">
        <v>0.46</v>
      </c>
    </row>
    <row r="2245" spans="1:38" x14ac:dyDescent="0.3">
      <c r="A2245" t="s">
        <v>2854</v>
      </c>
      <c r="B2245">
        <v>2464</v>
      </c>
      <c r="C2245">
        <v>1</v>
      </c>
      <c r="D2245" t="s">
        <v>2855</v>
      </c>
      <c r="E2245" t="s">
        <v>2856</v>
      </c>
      <c r="F2245">
        <v>894</v>
      </c>
      <c r="G2245">
        <v>15.87</v>
      </c>
      <c r="H2245">
        <v>52.47</v>
      </c>
      <c r="I2245">
        <v>13.25</v>
      </c>
      <c r="J2245">
        <v>43.82</v>
      </c>
      <c r="K2245">
        <v>48</v>
      </c>
      <c r="T2245">
        <v>2</v>
      </c>
      <c r="U2245">
        <v>1</v>
      </c>
      <c r="V2245" t="s">
        <v>93</v>
      </c>
      <c r="W2245">
        <v>52</v>
      </c>
      <c r="X2245">
        <v>18</v>
      </c>
      <c r="Y2245">
        <v>12</v>
      </c>
      <c r="Z2245" t="s">
        <v>2857</v>
      </c>
      <c r="AA2245" t="s">
        <v>2858</v>
      </c>
      <c r="AB2245" t="s">
        <v>96</v>
      </c>
      <c r="AC2245" t="s">
        <v>97</v>
      </c>
      <c r="AD2245" t="s">
        <v>2859</v>
      </c>
      <c r="AG2245" t="s">
        <v>2860</v>
      </c>
      <c r="AH2245">
        <v>0</v>
      </c>
      <c r="AI2245">
        <v>221</v>
      </c>
      <c r="AJ2245">
        <v>16</v>
      </c>
      <c r="AK2245">
        <v>0</v>
      </c>
      <c r="AL2245">
        <v>0</v>
      </c>
    </row>
    <row r="2246" spans="1:38" x14ac:dyDescent="0.3">
      <c r="A2246" t="s">
        <v>2854</v>
      </c>
      <c r="B2246">
        <v>2464</v>
      </c>
      <c r="C2246">
        <v>2</v>
      </c>
      <c r="D2246" t="s">
        <v>2855</v>
      </c>
      <c r="E2246" t="s">
        <v>2856</v>
      </c>
      <c r="F2246">
        <v>894</v>
      </c>
      <c r="G2246">
        <v>20.73</v>
      </c>
      <c r="H2246">
        <v>68.55</v>
      </c>
      <c r="I2246">
        <v>17.309999999999999</v>
      </c>
      <c r="J2246">
        <v>57.23</v>
      </c>
      <c r="K2246">
        <v>156</v>
      </c>
      <c r="T2246">
        <v>3</v>
      </c>
      <c r="U2246">
        <v>1</v>
      </c>
      <c r="V2246" t="s">
        <v>93</v>
      </c>
      <c r="W2246">
        <v>68</v>
      </c>
      <c r="X2246">
        <v>18</v>
      </c>
      <c r="Y2246">
        <v>12</v>
      </c>
      <c r="Z2246" t="s">
        <v>2857</v>
      </c>
      <c r="AA2246" t="s">
        <v>2858</v>
      </c>
      <c r="AB2246" t="s">
        <v>96</v>
      </c>
      <c r="AC2246" t="s">
        <v>97</v>
      </c>
      <c r="AD2246" t="s">
        <v>2859</v>
      </c>
      <c r="AG2246" t="s">
        <v>2860</v>
      </c>
      <c r="AH2246">
        <v>0</v>
      </c>
      <c r="AI2246">
        <v>221</v>
      </c>
      <c r="AJ2246">
        <v>16</v>
      </c>
      <c r="AK2246">
        <v>0</v>
      </c>
      <c r="AL2246">
        <v>0</v>
      </c>
    </row>
    <row r="2247" spans="1:38" x14ac:dyDescent="0.3">
      <c r="A2247" t="s">
        <v>2854</v>
      </c>
      <c r="B2247">
        <v>2464</v>
      </c>
      <c r="C2247">
        <v>3</v>
      </c>
      <c r="D2247" t="s">
        <v>2855</v>
      </c>
      <c r="E2247" t="s">
        <v>2856</v>
      </c>
      <c r="F2247">
        <v>894</v>
      </c>
      <c r="G2247">
        <v>25.06</v>
      </c>
      <c r="H2247">
        <v>82.86</v>
      </c>
      <c r="I2247">
        <v>20.84</v>
      </c>
      <c r="J2247">
        <v>68.91</v>
      </c>
      <c r="K2247">
        <v>108</v>
      </c>
      <c r="T2247">
        <v>3</v>
      </c>
      <c r="U2247">
        <v>1</v>
      </c>
      <c r="V2247" t="s">
        <v>132</v>
      </c>
      <c r="W2247">
        <v>82</v>
      </c>
      <c r="X2247">
        <v>18</v>
      </c>
      <c r="Y2247">
        <v>12</v>
      </c>
      <c r="Z2247" t="s">
        <v>2857</v>
      </c>
      <c r="AA2247" t="s">
        <v>2858</v>
      </c>
      <c r="AB2247" t="s">
        <v>96</v>
      </c>
      <c r="AC2247" t="s">
        <v>97</v>
      </c>
      <c r="AD2247" t="s">
        <v>2859</v>
      </c>
      <c r="AG2247" t="s">
        <v>2860</v>
      </c>
      <c r="AH2247">
        <v>0</v>
      </c>
      <c r="AI2247">
        <v>221</v>
      </c>
      <c r="AJ2247">
        <v>16</v>
      </c>
      <c r="AK2247">
        <v>0</v>
      </c>
      <c r="AL2247">
        <v>0</v>
      </c>
    </row>
    <row r="2248" spans="1:38" x14ac:dyDescent="0.3">
      <c r="A2248" t="s">
        <v>2854</v>
      </c>
      <c r="B2248">
        <v>2464</v>
      </c>
      <c r="C2248">
        <v>4</v>
      </c>
      <c r="D2248" t="s">
        <v>2855</v>
      </c>
      <c r="E2248" t="s">
        <v>2856</v>
      </c>
      <c r="F2248">
        <v>894</v>
      </c>
      <c r="G2248">
        <v>26.21</v>
      </c>
      <c r="H2248">
        <v>86.66</v>
      </c>
      <c r="I2248">
        <v>22.16</v>
      </c>
      <c r="J2248">
        <v>73.28</v>
      </c>
      <c r="K2248">
        <v>120</v>
      </c>
      <c r="T2248">
        <v>3</v>
      </c>
      <c r="U2248">
        <v>1</v>
      </c>
      <c r="V2248" t="s">
        <v>93</v>
      </c>
      <c r="W2248">
        <v>86</v>
      </c>
      <c r="X2248">
        <v>18</v>
      </c>
      <c r="Y2248">
        <v>12</v>
      </c>
      <c r="Z2248" t="s">
        <v>2857</v>
      </c>
      <c r="AA2248" t="s">
        <v>2858</v>
      </c>
      <c r="AB2248" t="s">
        <v>96</v>
      </c>
      <c r="AC2248" t="s">
        <v>97</v>
      </c>
      <c r="AD2248" t="s">
        <v>2859</v>
      </c>
      <c r="AG2248" t="s">
        <v>2860</v>
      </c>
      <c r="AH2248">
        <v>0</v>
      </c>
      <c r="AI2248">
        <v>221</v>
      </c>
      <c r="AJ2248">
        <v>16</v>
      </c>
      <c r="AK2248">
        <v>0</v>
      </c>
      <c r="AL2248">
        <v>0</v>
      </c>
    </row>
    <row r="2249" spans="1:38" x14ac:dyDescent="0.3">
      <c r="A2249" t="s">
        <v>2854</v>
      </c>
      <c r="B2249">
        <v>2464</v>
      </c>
      <c r="C2249">
        <v>5</v>
      </c>
      <c r="D2249" t="s">
        <v>2855</v>
      </c>
      <c r="E2249" t="s">
        <v>2856</v>
      </c>
      <c r="F2249">
        <v>894</v>
      </c>
      <c r="G2249">
        <v>29.46</v>
      </c>
      <c r="H2249">
        <v>97.42</v>
      </c>
      <c r="I2249">
        <v>25.68</v>
      </c>
      <c r="J2249">
        <v>84.91</v>
      </c>
      <c r="K2249">
        <v>210</v>
      </c>
      <c r="T2249">
        <v>3</v>
      </c>
      <c r="U2249">
        <v>2</v>
      </c>
      <c r="V2249" t="s">
        <v>93</v>
      </c>
      <c r="W2249">
        <v>97</v>
      </c>
      <c r="X2249">
        <v>18</v>
      </c>
      <c r="Y2249">
        <v>12</v>
      </c>
      <c r="Z2249" t="s">
        <v>2857</v>
      </c>
      <c r="AA2249" t="s">
        <v>2858</v>
      </c>
      <c r="AB2249" t="s">
        <v>96</v>
      </c>
      <c r="AC2249" t="s">
        <v>97</v>
      </c>
      <c r="AD2249" t="s">
        <v>2859</v>
      </c>
      <c r="AG2249" t="s">
        <v>2860</v>
      </c>
      <c r="AH2249">
        <v>0</v>
      </c>
      <c r="AI2249">
        <v>221</v>
      </c>
      <c r="AJ2249">
        <v>16</v>
      </c>
      <c r="AK2249">
        <v>0</v>
      </c>
      <c r="AL2249">
        <v>0</v>
      </c>
    </row>
    <row r="2250" spans="1:38" x14ac:dyDescent="0.3">
      <c r="A2250" t="s">
        <v>2854</v>
      </c>
      <c r="B2250">
        <v>2464</v>
      </c>
      <c r="C2250">
        <v>6</v>
      </c>
      <c r="D2250" t="s">
        <v>2855</v>
      </c>
      <c r="E2250" t="s">
        <v>2856</v>
      </c>
      <c r="F2250">
        <v>894</v>
      </c>
      <c r="G2250">
        <v>33.549999999999997</v>
      </c>
      <c r="H2250">
        <v>110.92</v>
      </c>
      <c r="I2250">
        <v>29.98</v>
      </c>
      <c r="J2250">
        <v>99.11</v>
      </c>
      <c r="K2250">
        <v>60</v>
      </c>
      <c r="T2250">
        <v>4</v>
      </c>
      <c r="U2250">
        <v>2</v>
      </c>
      <c r="V2250" t="s">
        <v>93</v>
      </c>
      <c r="W2250">
        <v>110</v>
      </c>
      <c r="X2250">
        <v>18</v>
      </c>
      <c r="Y2250">
        <v>12</v>
      </c>
      <c r="Z2250" t="s">
        <v>2857</v>
      </c>
      <c r="AA2250" t="s">
        <v>2858</v>
      </c>
      <c r="AB2250" t="s">
        <v>96</v>
      </c>
      <c r="AC2250" t="s">
        <v>97</v>
      </c>
      <c r="AD2250" t="s">
        <v>2859</v>
      </c>
      <c r="AG2250" t="s">
        <v>2860</v>
      </c>
      <c r="AH2250">
        <v>0</v>
      </c>
      <c r="AI2250">
        <v>221</v>
      </c>
      <c r="AJ2250">
        <v>16</v>
      </c>
      <c r="AK2250">
        <v>0</v>
      </c>
      <c r="AL2250">
        <v>0</v>
      </c>
    </row>
    <row r="2251" spans="1:38" x14ac:dyDescent="0.3">
      <c r="A2251" t="s">
        <v>2854</v>
      </c>
      <c r="B2251">
        <v>2464</v>
      </c>
      <c r="C2251">
        <v>7</v>
      </c>
      <c r="D2251" t="s">
        <v>2855</v>
      </c>
      <c r="E2251" t="s">
        <v>2856</v>
      </c>
      <c r="F2251">
        <v>894</v>
      </c>
      <c r="G2251">
        <v>39.049999999999997</v>
      </c>
      <c r="H2251">
        <v>129.1</v>
      </c>
      <c r="I2251">
        <v>33.93</v>
      </c>
      <c r="J2251">
        <v>112.17</v>
      </c>
      <c r="K2251">
        <v>48</v>
      </c>
      <c r="T2251">
        <v>4</v>
      </c>
      <c r="U2251">
        <v>2</v>
      </c>
      <c r="V2251" t="s">
        <v>93</v>
      </c>
      <c r="W2251">
        <v>129</v>
      </c>
      <c r="X2251">
        <v>18</v>
      </c>
      <c r="Y2251">
        <v>12</v>
      </c>
      <c r="Z2251" t="s">
        <v>2857</v>
      </c>
      <c r="AA2251" t="s">
        <v>2858</v>
      </c>
      <c r="AB2251" t="s">
        <v>96</v>
      </c>
      <c r="AC2251" t="s">
        <v>97</v>
      </c>
      <c r="AD2251" t="s">
        <v>2859</v>
      </c>
      <c r="AG2251" t="s">
        <v>2860</v>
      </c>
      <c r="AH2251">
        <v>0</v>
      </c>
      <c r="AI2251">
        <v>221</v>
      </c>
      <c r="AJ2251">
        <v>16</v>
      </c>
      <c r="AK2251">
        <v>0</v>
      </c>
      <c r="AL2251">
        <v>0</v>
      </c>
    </row>
    <row r="2252" spans="1:38" x14ac:dyDescent="0.3">
      <c r="A2252" t="s">
        <v>2854</v>
      </c>
      <c r="B2252">
        <v>2464</v>
      </c>
      <c r="C2252">
        <v>8</v>
      </c>
      <c r="D2252" t="s">
        <v>2855</v>
      </c>
      <c r="E2252" t="s">
        <v>2856</v>
      </c>
      <c r="F2252">
        <v>894</v>
      </c>
      <c r="G2252">
        <v>44.3</v>
      </c>
      <c r="H2252">
        <v>146.47</v>
      </c>
      <c r="I2252">
        <v>38.42</v>
      </c>
      <c r="J2252">
        <v>127.02</v>
      </c>
      <c r="K2252">
        <v>84</v>
      </c>
      <c r="T2252">
        <v>4</v>
      </c>
      <c r="U2252">
        <v>2</v>
      </c>
      <c r="V2252" t="s">
        <v>93</v>
      </c>
      <c r="W2252">
        <v>146</v>
      </c>
      <c r="X2252">
        <v>18</v>
      </c>
      <c r="Y2252">
        <v>12</v>
      </c>
      <c r="Z2252" t="s">
        <v>2857</v>
      </c>
      <c r="AA2252" t="s">
        <v>2858</v>
      </c>
      <c r="AB2252" t="s">
        <v>96</v>
      </c>
      <c r="AC2252" t="s">
        <v>97</v>
      </c>
      <c r="AD2252" t="s">
        <v>2859</v>
      </c>
      <c r="AG2252" t="s">
        <v>2860</v>
      </c>
      <c r="AH2252">
        <v>0</v>
      </c>
      <c r="AI2252">
        <v>221</v>
      </c>
      <c r="AJ2252">
        <v>16</v>
      </c>
      <c r="AK2252">
        <v>0</v>
      </c>
      <c r="AL2252">
        <v>0</v>
      </c>
    </row>
    <row r="2253" spans="1:38" x14ac:dyDescent="0.3">
      <c r="A2253" t="s">
        <v>2854</v>
      </c>
      <c r="B2253">
        <v>2464</v>
      </c>
      <c r="C2253">
        <v>9</v>
      </c>
      <c r="D2253" t="s">
        <v>2855</v>
      </c>
      <c r="E2253" t="s">
        <v>2856</v>
      </c>
      <c r="F2253">
        <v>894</v>
      </c>
      <c r="G2253">
        <v>52.43</v>
      </c>
      <c r="H2253">
        <v>173.33</v>
      </c>
      <c r="I2253">
        <v>45.85</v>
      </c>
      <c r="J2253">
        <v>151.59</v>
      </c>
      <c r="K2253">
        <v>60</v>
      </c>
      <c r="T2253">
        <v>5</v>
      </c>
      <c r="U2253">
        <v>2</v>
      </c>
      <c r="V2253" t="s">
        <v>93</v>
      </c>
      <c r="W2253">
        <v>173</v>
      </c>
      <c r="X2253">
        <v>18</v>
      </c>
      <c r="Y2253">
        <v>12</v>
      </c>
      <c r="Z2253" t="s">
        <v>2857</v>
      </c>
      <c r="AA2253" t="s">
        <v>2858</v>
      </c>
      <c r="AB2253" t="s">
        <v>96</v>
      </c>
      <c r="AC2253" t="s">
        <v>97</v>
      </c>
      <c r="AD2253" t="s">
        <v>2859</v>
      </c>
      <c r="AG2253" t="s">
        <v>2860</v>
      </c>
      <c r="AH2253">
        <v>0</v>
      </c>
      <c r="AI2253">
        <v>221</v>
      </c>
      <c r="AJ2253">
        <v>16</v>
      </c>
      <c r="AK2253">
        <v>0</v>
      </c>
      <c r="AL2253">
        <v>0</v>
      </c>
    </row>
    <row r="2254" spans="1:38" x14ac:dyDescent="0.3">
      <c r="A2254" t="s">
        <v>2854</v>
      </c>
      <c r="B2254">
        <v>9070</v>
      </c>
      <c r="C2254">
        <v>1</v>
      </c>
      <c r="D2254" t="s">
        <v>2861</v>
      </c>
      <c r="E2254" t="s">
        <v>1982</v>
      </c>
      <c r="F2254">
        <v>171</v>
      </c>
      <c r="G2254">
        <v>17.63</v>
      </c>
      <c r="H2254">
        <v>58.29</v>
      </c>
      <c r="I2254">
        <v>12.7</v>
      </c>
      <c r="J2254">
        <v>42</v>
      </c>
      <c r="K2254">
        <v>19</v>
      </c>
      <c r="T2254">
        <v>2</v>
      </c>
      <c r="U2254">
        <v>1</v>
      </c>
      <c r="V2254" t="s">
        <v>132</v>
      </c>
      <c r="W2254">
        <v>58</v>
      </c>
      <c r="X2254">
        <v>19</v>
      </c>
      <c r="Y2254">
        <v>19</v>
      </c>
      <c r="Z2254" t="s">
        <v>2862</v>
      </c>
      <c r="AA2254" t="s">
        <v>2863</v>
      </c>
      <c r="AB2254" t="s">
        <v>96</v>
      </c>
      <c r="AC2254" t="s">
        <v>97</v>
      </c>
      <c r="AD2254" t="s">
        <v>2859</v>
      </c>
      <c r="AG2254" t="s">
        <v>2864</v>
      </c>
      <c r="AH2254">
        <v>0</v>
      </c>
      <c r="AI2254">
        <v>363</v>
      </c>
      <c r="AJ2254">
        <v>21</v>
      </c>
      <c r="AK2254">
        <v>178</v>
      </c>
      <c r="AL2254">
        <v>1.04</v>
      </c>
    </row>
    <row r="2255" spans="1:38" x14ac:dyDescent="0.3">
      <c r="A2255" t="s">
        <v>2854</v>
      </c>
      <c r="B2255">
        <v>9070</v>
      </c>
      <c r="C2255">
        <v>2</v>
      </c>
      <c r="D2255" t="s">
        <v>2861</v>
      </c>
      <c r="E2255" t="s">
        <v>1982</v>
      </c>
      <c r="F2255">
        <v>171</v>
      </c>
      <c r="G2255">
        <v>25.18</v>
      </c>
      <c r="H2255">
        <v>83.26</v>
      </c>
      <c r="I2255">
        <v>18.14</v>
      </c>
      <c r="J2255">
        <v>59.99</v>
      </c>
      <c r="K2255">
        <v>38</v>
      </c>
      <c r="T2255">
        <v>3</v>
      </c>
      <c r="U2255">
        <v>1</v>
      </c>
      <c r="V2255" t="s">
        <v>93</v>
      </c>
      <c r="W2255">
        <v>83</v>
      </c>
      <c r="X2255">
        <v>19</v>
      </c>
      <c r="Y2255">
        <v>19</v>
      </c>
      <c r="Z2255" t="s">
        <v>2862</v>
      </c>
      <c r="AA2255" t="s">
        <v>2863</v>
      </c>
      <c r="AB2255" t="s">
        <v>96</v>
      </c>
      <c r="AC2255" t="s">
        <v>97</v>
      </c>
      <c r="AD2255" t="s">
        <v>2859</v>
      </c>
      <c r="AG2255" t="s">
        <v>2864</v>
      </c>
      <c r="AH2255">
        <v>0</v>
      </c>
      <c r="AI2255">
        <v>363</v>
      </c>
      <c r="AJ2255">
        <v>21</v>
      </c>
      <c r="AK2255">
        <v>178</v>
      </c>
      <c r="AL2255">
        <v>1.04</v>
      </c>
    </row>
    <row r="2256" spans="1:38" x14ac:dyDescent="0.3">
      <c r="A2256" t="s">
        <v>2854</v>
      </c>
      <c r="B2256">
        <v>9070</v>
      </c>
      <c r="C2256">
        <v>3</v>
      </c>
      <c r="D2256" t="s">
        <v>2861</v>
      </c>
      <c r="E2256" t="s">
        <v>1982</v>
      </c>
      <c r="F2256">
        <v>171</v>
      </c>
      <c r="G2256">
        <v>32.83</v>
      </c>
      <c r="H2256">
        <v>108.53</v>
      </c>
      <c r="I2256">
        <v>25.55</v>
      </c>
      <c r="J2256">
        <v>84.49</v>
      </c>
      <c r="K2256">
        <v>114</v>
      </c>
      <c r="T2256">
        <v>3</v>
      </c>
      <c r="U2256">
        <v>2</v>
      </c>
      <c r="V2256" t="s">
        <v>93</v>
      </c>
      <c r="W2256">
        <v>108</v>
      </c>
      <c r="X2256">
        <v>19</v>
      </c>
      <c r="Y2256">
        <v>19</v>
      </c>
      <c r="Z2256" t="s">
        <v>2862</v>
      </c>
      <c r="AA2256" t="s">
        <v>2863</v>
      </c>
      <c r="AB2256" t="s">
        <v>96</v>
      </c>
      <c r="AC2256" t="s">
        <v>97</v>
      </c>
      <c r="AD2256" t="s">
        <v>2859</v>
      </c>
      <c r="AG2256" t="s">
        <v>2864</v>
      </c>
      <c r="AH2256">
        <v>0</v>
      </c>
      <c r="AI2256">
        <v>363</v>
      </c>
      <c r="AJ2256">
        <v>21</v>
      </c>
      <c r="AK2256">
        <v>178</v>
      </c>
      <c r="AL2256">
        <v>1.04</v>
      </c>
    </row>
    <row r="2257" spans="1:38" x14ac:dyDescent="0.3">
      <c r="A2257" t="s">
        <v>2854</v>
      </c>
      <c r="B2257">
        <v>2470</v>
      </c>
      <c r="C2257">
        <v>1</v>
      </c>
      <c r="D2257" t="s">
        <v>2865</v>
      </c>
      <c r="E2257" t="s">
        <v>2866</v>
      </c>
      <c r="F2257">
        <v>538</v>
      </c>
      <c r="G2257">
        <v>25.53</v>
      </c>
      <c r="H2257">
        <v>84.4</v>
      </c>
      <c r="I2257">
        <v>17.96</v>
      </c>
      <c r="J2257">
        <v>59.4</v>
      </c>
      <c r="K2257">
        <v>218</v>
      </c>
      <c r="T2257">
        <v>2</v>
      </c>
      <c r="U2257">
        <v>1</v>
      </c>
      <c r="V2257" t="s">
        <v>132</v>
      </c>
      <c r="W2257">
        <v>84</v>
      </c>
      <c r="X2257">
        <v>18</v>
      </c>
      <c r="Y2257">
        <v>11</v>
      </c>
      <c r="Z2257" t="s">
        <v>2867</v>
      </c>
      <c r="AA2257" t="s">
        <v>2868</v>
      </c>
      <c r="AB2257" t="s">
        <v>96</v>
      </c>
      <c r="AC2257" t="s">
        <v>97</v>
      </c>
      <c r="AD2257" t="s">
        <v>2859</v>
      </c>
      <c r="AG2257" t="s">
        <v>2869</v>
      </c>
      <c r="AH2257">
        <v>0</v>
      </c>
      <c r="AI2257">
        <v>272</v>
      </c>
      <c r="AJ2257">
        <v>20</v>
      </c>
      <c r="AK2257">
        <v>500</v>
      </c>
      <c r="AL2257">
        <v>0.93</v>
      </c>
    </row>
    <row r="2258" spans="1:38" x14ac:dyDescent="0.3">
      <c r="A2258" t="s">
        <v>2854</v>
      </c>
      <c r="B2258">
        <v>2470</v>
      </c>
      <c r="C2258">
        <v>2</v>
      </c>
      <c r="D2258" t="s">
        <v>2865</v>
      </c>
      <c r="E2258" t="s">
        <v>2866</v>
      </c>
      <c r="F2258">
        <v>538</v>
      </c>
      <c r="G2258">
        <v>32.72</v>
      </c>
      <c r="H2258">
        <v>108.19</v>
      </c>
      <c r="I2258">
        <v>25.7</v>
      </c>
      <c r="J2258">
        <v>84.96</v>
      </c>
      <c r="K2258">
        <v>320</v>
      </c>
      <c r="T2258">
        <v>3</v>
      </c>
      <c r="U2258">
        <v>2</v>
      </c>
      <c r="V2258" t="s">
        <v>93</v>
      </c>
      <c r="W2258">
        <v>108</v>
      </c>
      <c r="X2258">
        <v>18</v>
      </c>
      <c r="Y2258">
        <v>11</v>
      </c>
      <c r="Z2258" t="s">
        <v>2867</v>
      </c>
      <c r="AA2258" t="s">
        <v>2868</v>
      </c>
      <c r="AB2258" t="s">
        <v>96</v>
      </c>
      <c r="AC2258" t="s">
        <v>97</v>
      </c>
      <c r="AD2258" t="s">
        <v>2859</v>
      </c>
      <c r="AG2258" t="s">
        <v>2869</v>
      </c>
      <c r="AH2258">
        <v>0</v>
      </c>
      <c r="AI2258">
        <v>272</v>
      </c>
      <c r="AJ2258">
        <v>20</v>
      </c>
      <c r="AK2258">
        <v>500</v>
      </c>
      <c r="AL2258">
        <v>0.93</v>
      </c>
    </row>
    <row r="2259" spans="1:38" x14ac:dyDescent="0.3">
      <c r="A2259" t="s">
        <v>2854</v>
      </c>
      <c r="B2259">
        <v>124858</v>
      </c>
      <c r="C2259">
        <v>1</v>
      </c>
      <c r="D2259" t="s">
        <v>2870</v>
      </c>
      <c r="E2259" t="s">
        <v>1030</v>
      </c>
      <c r="F2259">
        <v>12</v>
      </c>
      <c r="G2259">
        <v>16.8</v>
      </c>
      <c r="H2259">
        <v>55.55</v>
      </c>
      <c r="I2259">
        <v>14.06</v>
      </c>
      <c r="J2259">
        <v>46.51</v>
      </c>
      <c r="K2259">
        <v>3</v>
      </c>
      <c r="T2259">
        <v>2</v>
      </c>
      <c r="U2259">
        <v>1</v>
      </c>
      <c r="V2259" t="s">
        <v>93</v>
      </c>
      <c r="W2259" t="s">
        <v>1986</v>
      </c>
      <c r="X2259">
        <v>6</v>
      </c>
      <c r="Y2259">
        <v>6</v>
      </c>
      <c r="Z2259" t="s">
        <v>2871</v>
      </c>
      <c r="AA2259" t="s">
        <v>2872</v>
      </c>
      <c r="AB2259" t="s">
        <v>96</v>
      </c>
      <c r="AC2259" t="s">
        <v>97</v>
      </c>
      <c r="AD2259" t="s">
        <v>2859</v>
      </c>
      <c r="AG2259" t="s">
        <v>2873</v>
      </c>
      <c r="AH2259">
        <v>0</v>
      </c>
      <c r="AI2259">
        <v>263</v>
      </c>
      <c r="AJ2259">
        <v>59</v>
      </c>
      <c r="AK2259">
        <v>12</v>
      </c>
      <c r="AL2259">
        <v>1</v>
      </c>
    </row>
    <row r="2260" spans="1:38" x14ac:dyDescent="0.3">
      <c r="A2260" t="s">
        <v>2854</v>
      </c>
      <c r="B2260">
        <v>124858</v>
      </c>
      <c r="C2260">
        <v>2</v>
      </c>
      <c r="D2260" t="s">
        <v>2870</v>
      </c>
      <c r="E2260" t="s">
        <v>1030</v>
      </c>
      <c r="F2260">
        <v>12</v>
      </c>
      <c r="G2260">
        <v>16.899999999999999</v>
      </c>
      <c r="H2260">
        <v>55.89</v>
      </c>
      <c r="I2260">
        <v>14.07</v>
      </c>
      <c r="J2260">
        <v>46.52</v>
      </c>
      <c r="K2260">
        <v>3</v>
      </c>
      <c r="T2260">
        <v>2</v>
      </c>
      <c r="U2260">
        <v>1</v>
      </c>
      <c r="V2260" t="s">
        <v>93</v>
      </c>
      <c r="W2260" t="s">
        <v>177</v>
      </c>
      <c r="X2260">
        <v>6</v>
      </c>
      <c r="Y2260">
        <v>6</v>
      </c>
      <c r="Z2260" t="s">
        <v>2871</v>
      </c>
      <c r="AA2260" t="s">
        <v>2872</v>
      </c>
      <c r="AB2260" t="s">
        <v>96</v>
      </c>
      <c r="AC2260" t="s">
        <v>97</v>
      </c>
      <c r="AD2260" t="s">
        <v>2859</v>
      </c>
      <c r="AG2260" t="s">
        <v>2873</v>
      </c>
      <c r="AH2260">
        <v>0</v>
      </c>
      <c r="AI2260">
        <v>263</v>
      </c>
      <c r="AJ2260">
        <v>59</v>
      </c>
      <c r="AK2260">
        <v>12</v>
      </c>
      <c r="AL2260">
        <v>1</v>
      </c>
    </row>
    <row r="2261" spans="1:38" x14ac:dyDescent="0.3">
      <c r="A2261" t="s">
        <v>2854</v>
      </c>
      <c r="B2261">
        <v>124858</v>
      </c>
      <c r="C2261">
        <v>3</v>
      </c>
      <c r="D2261" t="s">
        <v>2870</v>
      </c>
      <c r="E2261" t="s">
        <v>1030</v>
      </c>
      <c r="F2261">
        <v>12</v>
      </c>
      <c r="G2261">
        <v>17.329999999999998</v>
      </c>
      <c r="H2261">
        <v>57.31</v>
      </c>
      <c r="I2261">
        <v>14.5</v>
      </c>
      <c r="J2261">
        <v>47.95</v>
      </c>
      <c r="K2261">
        <v>3</v>
      </c>
      <c r="T2261">
        <v>2</v>
      </c>
      <c r="U2261">
        <v>1</v>
      </c>
      <c r="V2261" t="s">
        <v>93</v>
      </c>
      <c r="W2261" t="s">
        <v>2014</v>
      </c>
      <c r="X2261">
        <v>6</v>
      </c>
      <c r="Y2261">
        <v>6</v>
      </c>
      <c r="Z2261" t="s">
        <v>2871</v>
      </c>
      <c r="AA2261" t="s">
        <v>2872</v>
      </c>
      <c r="AB2261" t="s">
        <v>96</v>
      </c>
      <c r="AC2261" t="s">
        <v>97</v>
      </c>
      <c r="AD2261" t="s">
        <v>2859</v>
      </c>
      <c r="AG2261" t="s">
        <v>2873</v>
      </c>
      <c r="AH2261">
        <v>0</v>
      </c>
      <c r="AI2261">
        <v>263</v>
      </c>
      <c r="AJ2261">
        <v>59</v>
      </c>
      <c r="AK2261">
        <v>12</v>
      </c>
      <c r="AL2261">
        <v>1</v>
      </c>
    </row>
    <row r="2262" spans="1:38" x14ac:dyDescent="0.3">
      <c r="A2262" t="s">
        <v>2854</v>
      </c>
      <c r="B2262">
        <v>124858</v>
      </c>
      <c r="C2262">
        <v>4</v>
      </c>
      <c r="D2262" t="s">
        <v>2870</v>
      </c>
      <c r="E2262" t="s">
        <v>1030</v>
      </c>
      <c r="F2262">
        <v>12</v>
      </c>
      <c r="G2262">
        <v>18.010000000000002</v>
      </c>
      <c r="H2262">
        <v>59.55</v>
      </c>
      <c r="I2262">
        <v>15.13</v>
      </c>
      <c r="J2262">
        <v>50.02</v>
      </c>
      <c r="K2262">
        <v>3</v>
      </c>
      <c r="T2262">
        <v>2</v>
      </c>
      <c r="U2262">
        <v>1</v>
      </c>
      <c r="V2262" t="s">
        <v>93</v>
      </c>
      <c r="W2262">
        <v>59</v>
      </c>
      <c r="X2262">
        <v>6</v>
      </c>
      <c r="Y2262">
        <v>6</v>
      </c>
      <c r="Z2262" t="s">
        <v>2871</v>
      </c>
      <c r="AA2262" t="s">
        <v>2872</v>
      </c>
      <c r="AB2262" t="s">
        <v>96</v>
      </c>
      <c r="AC2262" t="s">
        <v>97</v>
      </c>
      <c r="AD2262" t="s">
        <v>2859</v>
      </c>
      <c r="AG2262" t="s">
        <v>2873</v>
      </c>
      <c r="AH2262">
        <v>0</v>
      </c>
      <c r="AI2262">
        <v>263</v>
      </c>
      <c r="AJ2262">
        <v>59</v>
      </c>
      <c r="AK2262">
        <v>12</v>
      </c>
      <c r="AL2262">
        <v>1</v>
      </c>
    </row>
    <row r="2263" spans="1:38" x14ac:dyDescent="0.3">
      <c r="A2263" t="s">
        <v>2854</v>
      </c>
      <c r="B2263">
        <v>144065</v>
      </c>
      <c r="C2263">
        <v>1</v>
      </c>
      <c r="D2263" t="s">
        <v>2874</v>
      </c>
      <c r="E2263" t="s">
        <v>2875</v>
      </c>
      <c r="F2263">
        <v>428</v>
      </c>
      <c r="G2263">
        <v>31.9</v>
      </c>
      <c r="H2263">
        <v>105.47</v>
      </c>
      <c r="I2263">
        <v>22.67</v>
      </c>
      <c r="J2263">
        <v>74.95</v>
      </c>
      <c r="K2263">
        <v>107</v>
      </c>
      <c r="T2263">
        <v>3</v>
      </c>
      <c r="U2263">
        <v>2</v>
      </c>
      <c r="V2263" t="s">
        <v>93</v>
      </c>
      <c r="W2263">
        <v>105</v>
      </c>
      <c r="X2263">
        <v>40</v>
      </c>
      <c r="Y2263">
        <v>35</v>
      </c>
      <c r="Z2263" t="s">
        <v>2876</v>
      </c>
      <c r="AA2263" t="s">
        <v>2877</v>
      </c>
      <c r="AB2263" t="s">
        <v>96</v>
      </c>
      <c r="AC2263" t="s">
        <v>97</v>
      </c>
      <c r="AD2263" t="s">
        <v>2859</v>
      </c>
      <c r="AG2263" t="s">
        <v>285</v>
      </c>
      <c r="AH2263">
        <v>0</v>
      </c>
      <c r="AI2263">
        <v>377</v>
      </c>
      <c r="AJ2263">
        <v>32</v>
      </c>
      <c r="AK2263">
        <v>561</v>
      </c>
      <c r="AL2263">
        <v>1.31</v>
      </c>
    </row>
    <row r="2264" spans="1:38" x14ac:dyDescent="0.3">
      <c r="A2264" t="s">
        <v>2854</v>
      </c>
      <c r="B2264">
        <v>144065</v>
      </c>
      <c r="C2264">
        <v>2</v>
      </c>
      <c r="D2264" t="s">
        <v>2874</v>
      </c>
      <c r="E2264" t="s">
        <v>2875</v>
      </c>
      <c r="F2264">
        <v>428</v>
      </c>
      <c r="G2264">
        <v>35.770000000000003</v>
      </c>
      <c r="H2264">
        <v>118.28</v>
      </c>
      <c r="I2264">
        <v>25.67</v>
      </c>
      <c r="J2264">
        <v>84.87</v>
      </c>
      <c r="K2264">
        <v>255</v>
      </c>
      <c r="T2264">
        <v>3</v>
      </c>
      <c r="U2264">
        <v>2</v>
      </c>
      <c r="V2264" t="s">
        <v>93</v>
      </c>
      <c r="W2264">
        <v>118</v>
      </c>
      <c r="X2264">
        <v>40</v>
      </c>
      <c r="Y2264">
        <v>35</v>
      </c>
      <c r="Z2264" t="s">
        <v>2876</v>
      </c>
      <c r="AA2264" t="s">
        <v>2877</v>
      </c>
      <c r="AB2264" t="s">
        <v>96</v>
      </c>
      <c r="AC2264" t="s">
        <v>97</v>
      </c>
      <c r="AD2264" t="s">
        <v>2859</v>
      </c>
      <c r="AG2264" t="s">
        <v>285</v>
      </c>
      <c r="AH2264">
        <v>0</v>
      </c>
      <c r="AI2264">
        <v>377</v>
      </c>
      <c r="AJ2264">
        <v>32</v>
      </c>
      <c r="AK2264">
        <v>561</v>
      </c>
      <c r="AL2264">
        <v>1.31</v>
      </c>
    </row>
    <row r="2265" spans="1:38" x14ac:dyDescent="0.3">
      <c r="A2265" t="s">
        <v>2854</v>
      </c>
      <c r="B2265">
        <v>144065</v>
      </c>
      <c r="C2265">
        <v>3</v>
      </c>
      <c r="D2265" t="s">
        <v>2874</v>
      </c>
      <c r="E2265" t="s">
        <v>2875</v>
      </c>
      <c r="F2265">
        <v>428</v>
      </c>
      <c r="G2265">
        <v>42.45</v>
      </c>
      <c r="H2265">
        <v>140.34</v>
      </c>
      <c r="I2265">
        <v>30.59</v>
      </c>
      <c r="J2265">
        <v>101.13</v>
      </c>
      <c r="K2265">
        <v>66</v>
      </c>
      <c r="T2265">
        <v>3</v>
      </c>
      <c r="U2265">
        <v>2</v>
      </c>
      <c r="V2265" t="s">
        <v>93</v>
      </c>
      <c r="W2265">
        <v>140</v>
      </c>
      <c r="X2265">
        <v>40</v>
      </c>
      <c r="Y2265">
        <v>35</v>
      </c>
      <c r="Z2265" t="s">
        <v>2876</v>
      </c>
      <c r="AA2265" t="s">
        <v>2877</v>
      </c>
      <c r="AB2265" t="s">
        <v>96</v>
      </c>
      <c r="AC2265" t="s">
        <v>97</v>
      </c>
      <c r="AD2265" t="s">
        <v>2859</v>
      </c>
      <c r="AG2265" t="s">
        <v>285</v>
      </c>
      <c r="AH2265">
        <v>0</v>
      </c>
      <c r="AI2265">
        <v>377</v>
      </c>
      <c r="AJ2265">
        <v>32</v>
      </c>
      <c r="AK2265">
        <v>561</v>
      </c>
      <c r="AL2265">
        <v>1.31</v>
      </c>
    </row>
    <row r="2266" spans="1:38" x14ac:dyDescent="0.3">
      <c r="A2266" t="s">
        <v>2854</v>
      </c>
      <c r="B2266">
        <v>2469</v>
      </c>
      <c r="C2266">
        <v>1</v>
      </c>
      <c r="D2266" t="s">
        <v>2878</v>
      </c>
      <c r="E2266" t="s">
        <v>2879</v>
      </c>
      <c r="F2266">
        <v>510</v>
      </c>
      <c r="G2266">
        <v>22.71</v>
      </c>
      <c r="H2266">
        <v>75.09</v>
      </c>
      <c r="I2266">
        <v>17.96</v>
      </c>
      <c r="J2266">
        <v>59.4</v>
      </c>
      <c r="K2266">
        <v>192</v>
      </c>
      <c r="T2266">
        <v>3</v>
      </c>
      <c r="U2266">
        <v>1</v>
      </c>
      <c r="V2266" t="s">
        <v>132</v>
      </c>
      <c r="W2266">
        <v>75</v>
      </c>
      <c r="X2266">
        <v>15</v>
      </c>
      <c r="Y2266">
        <v>12</v>
      </c>
      <c r="Z2266" t="s">
        <v>2880</v>
      </c>
      <c r="AA2266" t="s">
        <v>2881</v>
      </c>
      <c r="AB2266" t="s">
        <v>96</v>
      </c>
      <c r="AC2266" t="s">
        <v>97</v>
      </c>
      <c r="AD2266" t="s">
        <v>2859</v>
      </c>
      <c r="AG2266" t="s">
        <v>2882</v>
      </c>
      <c r="AH2266">
        <v>0</v>
      </c>
      <c r="AI2266">
        <v>0</v>
      </c>
      <c r="AJ2266">
        <v>0</v>
      </c>
      <c r="AK2266">
        <v>471</v>
      </c>
      <c r="AL2266">
        <v>0.92</v>
      </c>
    </row>
    <row r="2267" spans="1:38" x14ac:dyDescent="0.3">
      <c r="A2267" t="s">
        <v>2854</v>
      </c>
      <c r="B2267">
        <v>2469</v>
      </c>
      <c r="C2267">
        <v>2</v>
      </c>
      <c r="D2267" t="s">
        <v>2878</v>
      </c>
      <c r="E2267" t="s">
        <v>2879</v>
      </c>
      <c r="F2267">
        <v>510</v>
      </c>
      <c r="G2267">
        <v>29.58</v>
      </c>
      <c r="H2267">
        <v>97.8</v>
      </c>
      <c r="I2267">
        <v>25.69</v>
      </c>
      <c r="J2267">
        <v>84.95</v>
      </c>
      <c r="K2267">
        <v>168</v>
      </c>
      <c r="T2267">
        <v>3</v>
      </c>
      <c r="U2267">
        <v>2</v>
      </c>
      <c r="V2267" t="s">
        <v>93</v>
      </c>
      <c r="W2267">
        <v>97</v>
      </c>
      <c r="X2267">
        <v>15</v>
      </c>
      <c r="Y2267">
        <v>12</v>
      </c>
      <c r="Z2267" t="s">
        <v>2880</v>
      </c>
      <c r="AA2267" t="s">
        <v>2881</v>
      </c>
      <c r="AB2267" t="s">
        <v>96</v>
      </c>
      <c r="AC2267" t="s">
        <v>97</v>
      </c>
      <c r="AD2267" t="s">
        <v>2859</v>
      </c>
      <c r="AG2267" t="s">
        <v>2882</v>
      </c>
      <c r="AH2267">
        <v>0</v>
      </c>
      <c r="AI2267">
        <v>0</v>
      </c>
      <c r="AJ2267">
        <v>0</v>
      </c>
      <c r="AK2267">
        <v>471</v>
      </c>
      <c r="AL2267">
        <v>0.92</v>
      </c>
    </row>
    <row r="2268" spans="1:38" x14ac:dyDescent="0.3">
      <c r="A2268" t="s">
        <v>2854</v>
      </c>
      <c r="B2268">
        <v>2469</v>
      </c>
      <c r="C2268">
        <v>3</v>
      </c>
      <c r="D2268" t="s">
        <v>2878</v>
      </c>
      <c r="E2268" t="s">
        <v>2879</v>
      </c>
      <c r="F2268">
        <v>510</v>
      </c>
      <c r="G2268">
        <v>42.74</v>
      </c>
      <c r="H2268">
        <v>141.32</v>
      </c>
      <c r="I2268">
        <v>38.43</v>
      </c>
      <c r="J2268">
        <v>127.06</v>
      </c>
      <c r="K2268">
        <v>150</v>
      </c>
      <c r="T2268">
        <v>4</v>
      </c>
      <c r="U2268">
        <v>2</v>
      </c>
      <c r="V2268" t="s">
        <v>93</v>
      </c>
      <c r="W2268">
        <v>141</v>
      </c>
      <c r="X2268">
        <v>15</v>
      </c>
      <c r="Y2268">
        <v>12</v>
      </c>
      <c r="Z2268" t="s">
        <v>2880</v>
      </c>
      <c r="AA2268" t="s">
        <v>2881</v>
      </c>
      <c r="AB2268" t="s">
        <v>96</v>
      </c>
      <c r="AC2268" t="s">
        <v>97</v>
      </c>
      <c r="AD2268" t="s">
        <v>2859</v>
      </c>
      <c r="AG2268" t="s">
        <v>2882</v>
      </c>
      <c r="AH2268">
        <v>0</v>
      </c>
      <c r="AI2268">
        <v>0</v>
      </c>
      <c r="AJ2268">
        <v>0</v>
      </c>
      <c r="AK2268">
        <v>471</v>
      </c>
      <c r="AL2268">
        <v>0.92</v>
      </c>
    </row>
    <row r="2269" spans="1:38" x14ac:dyDescent="0.3">
      <c r="A2269" t="s">
        <v>2854</v>
      </c>
      <c r="B2269">
        <v>11929</v>
      </c>
      <c r="C2269">
        <v>1</v>
      </c>
      <c r="D2269" t="s">
        <v>2883</v>
      </c>
      <c r="E2269" t="s">
        <v>2142</v>
      </c>
      <c r="F2269">
        <v>105</v>
      </c>
      <c r="G2269">
        <v>15.7</v>
      </c>
      <c r="H2269">
        <v>51.93</v>
      </c>
      <c r="I2269">
        <v>14.22</v>
      </c>
      <c r="J2269">
        <v>47.04</v>
      </c>
      <c r="K2269">
        <v>10</v>
      </c>
      <c r="T2269">
        <v>2</v>
      </c>
      <c r="U2269">
        <v>1</v>
      </c>
      <c r="V2269" t="s">
        <v>93</v>
      </c>
      <c r="W2269" t="s">
        <v>253</v>
      </c>
      <c r="X2269">
        <v>5</v>
      </c>
      <c r="Y2269">
        <v>5</v>
      </c>
      <c r="Z2269" t="s">
        <v>2884</v>
      </c>
      <c r="AA2269" t="s">
        <v>2885</v>
      </c>
      <c r="AB2269" t="s">
        <v>96</v>
      </c>
      <c r="AC2269" t="s">
        <v>97</v>
      </c>
      <c r="AD2269" t="s">
        <v>2859</v>
      </c>
      <c r="AG2269" t="s">
        <v>2886</v>
      </c>
      <c r="AH2269">
        <v>0</v>
      </c>
      <c r="AI2269">
        <v>138</v>
      </c>
      <c r="AJ2269">
        <v>0</v>
      </c>
      <c r="AK2269">
        <v>0</v>
      </c>
      <c r="AL2269">
        <v>0</v>
      </c>
    </row>
    <row r="2270" spans="1:38" x14ac:dyDescent="0.3">
      <c r="A2270" t="s">
        <v>2854</v>
      </c>
      <c r="B2270">
        <v>11929</v>
      </c>
      <c r="C2270">
        <v>2</v>
      </c>
      <c r="D2270" t="s">
        <v>2883</v>
      </c>
      <c r="E2270" t="s">
        <v>2142</v>
      </c>
      <c r="F2270">
        <v>105</v>
      </c>
      <c r="G2270">
        <v>15.99</v>
      </c>
      <c r="H2270">
        <v>52.86</v>
      </c>
      <c r="I2270">
        <v>14.37</v>
      </c>
      <c r="J2270">
        <v>47.52</v>
      </c>
      <c r="K2270">
        <v>45</v>
      </c>
      <c r="T2270">
        <v>2</v>
      </c>
      <c r="U2270">
        <v>1</v>
      </c>
      <c r="V2270" t="s">
        <v>93</v>
      </c>
      <c r="W2270" t="s">
        <v>584</v>
      </c>
      <c r="X2270">
        <v>5</v>
      </c>
      <c r="Y2270">
        <v>5</v>
      </c>
      <c r="Z2270" t="s">
        <v>2884</v>
      </c>
      <c r="AA2270" t="s">
        <v>2885</v>
      </c>
      <c r="AB2270" t="s">
        <v>96</v>
      </c>
      <c r="AC2270" t="s">
        <v>97</v>
      </c>
      <c r="AD2270" t="s">
        <v>2859</v>
      </c>
      <c r="AG2270" t="s">
        <v>2886</v>
      </c>
      <c r="AH2270">
        <v>0</v>
      </c>
      <c r="AI2270">
        <v>138</v>
      </c>
      <c r="AJ2270">
        <v>0</v>
      </c>
      <c r="AK2270">
        <v>0</v>
      </c>
      <c r="AL2270">
        <v>0</v>
      </c>
    </row>
    <row r="2271" spans="1:38" x14ac:dyDescent="0.3">
      <c r="A2271" t="s">
        <v>2854</v>
      </c>
      <c r="B2271">
        <v>11929</v>
      </c>
      <c r="C2271">
        <v>3</v>
      </c>
      <c r="D2271" t="s">
        <v>2883</v>
      </c>
      <c r="E2271" t="s">
        <v>2142</v>
      </c>
      <c r="F2271">
        <v>105</v>
      </c>
      <c r="G2271">
        <v>15.87</v>
      </c>
      <c r="H2271">
        <v>52.47</v>
      </c>
      <c r="I2271">
        <v>14.01</v>
      </c>
      <c r="J2271">
        <v>46.34</v>
      </c>
      <c r="K2271">
        <v>30</v>
      </c>
      <c r="T2271">
        <v>2</v>
      </c>
      <c r="U2271">
        <v>1</v>
      </c>
      <c r="V2271" t="s">
        <v>93</v>
      </c>
      <c r="W2271" t="s">
        <v>583</v>
      </c>
      <c r="X2271">
        <v>5</v>
      </c>
      <c r="Y2271">
        <v>5</v>
      </c>
      <c r="Z2271" t="s">
        <v>2884</v>
      </c>
      <c r="AA2271" t="s">
        <v>2885</v>
      </c>
      <c r="AB2271" t="s">
        <v>96</v>
      </c>
      <c r="AC2271" t="s">
        <v>97</v>
      </c>
      <c r="AD2271" t="s">
        <v>2859</v>
      </c>
      <c r="AG2271" t="s">
        <v>2886</v>
      </c>
      <c r="AH2271">
        <v>0</v>
      </c>
      <c r="AI2271">
        <v>138</v>
      </c>
      <c r="AJ2271">
        <v>0</v>
      </c>
      <c r="AK2271">
        <v>0</v>
      </c>
      <c r="AL2271">
        <v>0</v>
      </c>
    </row>
    <row r="2272" spans="1:38" x14ac:dyDescent="0.3">
      <c r="A2272" t="s">
        <v>2854</v>
      </c>
      <c r="B2272">
        <v>11929</v>
      </c>
      <c r="C2272">
        <v>4</v>
      </c>
      <c r="D2272" t="s">
        <v>2883</v>
      </c>
      <c r="E2272" t="s">
        <v>2142</v>
      </c>
      <c r="F2272">
        <v>105</v>
      </c>
      <c r="G2272">
        <v>18.239999999999998</v>
      </c>
      <c r="H2272">
        <v>60.32</v>
      </c>
      <c r="I2272">
        <v>16.43</v>
      </c>
      <c r="J2272">
        <v>54.33</v>
      </c>
      <c r="K2272">
        <v>20</v>
      </c>
      <c r="T2272">
        <v>3</v>
      </c>
      <c r="U2272">
        <v>1</v>
      </c>
      <c r="V2272" t="s">
        <v>93</v>
      </c>
      <c r="W2272">
        <v>60</v>
      </c>
      <c r="X2272">
        <v>5</v>
      </c>
      <c r="Y2272">
        <v>5</v>
      </c>
      <c r="Z2272" t="s">
        <v>2884</v>
      </c>
      <c r="AA2272" t="s">
        <v>2885</v>
      </c>
      <c r="AB2272" t="s">
        <v>96</v>
      </c>
      <c r="AC2272" t="s">
        <v>97</v>
      </c>
      <c r="AD2272" t="s">
        <v>2859</v>
      </c>
      <c r="AG2272" t="s">
        <v>2886</v>
      </c>
      <c r="AH2272">
        <v>0</v>
      </c>
      <c r="AI2272">
        <v>138</v>
      </c>
      <c r="AJ2272">
        <v>0</v>
      </c>
      <c r="AK2272">
        <v>0</v>
      </c>
      <c r="AL2272">
        <v>0</v>
      </c>
    </row>
    <row r="2273" spans="1:38" x14ac:dyDescent="0.3">
      <c r="A2273" t="s">
        <v>2854</v>
      </c>
      <c r="B2273">
        <v>8904</v>
      </c>
      <c r="C2273">
        <v>1</v>
      </c>
      <c r="D2273" t="s">
        <v>2887</v>
      </c>
      <c r="E2273" t="s">
        <v>2888</v>
      </c>
      <c r="F2273">
        <v>252</v>
      </c>
      <c r="G2273">
        <v>24.24</v>
      </c>
      <c r="H2273">
        <v>80.14</v>
      </c>
      <c r="I2273">
        <v>17.87</v>
      </c>
      <c r="J2273">
        <v>59.09</v>
      </c>
      <c r="K2273">
        <v>168</v>
      </c>
      <c r="T2273">
        <v>2</v>
      </c>
      <c r="U2273">
        <v>2</v>
      </c>
      <c r="V2273" t="s">
        <v>93</v>
      </c>
      <c r="W2273">
        <v>80</v>
      </c>
      <c r="X2273">
        <v>21</v>
      </c>
      <c r="Y2273">
        <v>21</v>
      </c>
      <c r="Z2273" t="s">
        <v>2889</v>
      </c>
      <c r="AA2273" t="s">
        <v>2890</v>
      </c>
      <c r="AB2273" t="s">
        <v>96</v>
      </c>
      <c r="AC2273" t="s">
        <v>97</v>
      </c>
      <c r="AD2273" t="s">
        <v>2859</v>
      </c>
      <c r="AG2273" t="s">
        <v>2891</v>
      </c>
      <c r="AH2273">
        <v>0</v>
      </c>
      <c r="AI2273">
        <v>0</v>
      </c>
      <c r="AJ2273">
        <v>0</v>
      </c>
      <c r="AK2273">
        <v>0</v>
      </c>
      <c r="AL2273">
        <v>0</v>
      </c>
    </row>
    <row r="2274" spans="1:38" x14ac:dyDescent="0.3">
      <c r="A2274" t="s">
        <v>2854</v>
      </c>
      <c r="B2274">
        <v>8904</v>
      </c>
      <c r="C2274">
        <v>2</v>
      </c>
      <c r="D2274" t="s">
        <v>2887</v>
      </c>
      <c r="E2274" t="s">
        <v>2888</v>
      </c>
      <c r="F2274">
        <v>252</v>
      </c>
      <c r="G2274">
        <v>34.630000000000003</v>
      </c>
      <c r="H2274">
        <v>114.48</v>
      </c>
      <c r="I2274">
        <v>25.53</v>
      </c>
      <c r="J2274">
        <v>84.41</v>
      </c>
      <c r="K2274">
        <v>84</v>
      </c>
      <c r="T2274">
        <v>3</v>
      </c>
      <c r="U2274">
        <v>2</v>
      </c>
      <c r="V2274" t="s">
        <v>93</v>
      </c>
      <c r="W2274">
        <v>114</v>
      </c>
      <c r="X2274">
        <v>21</v>
      </c>
      <c r="Y2274">
        <v>21</v>
      </c>
      <c r="Z2274" t="s">
        <v>2889</v>
      </c>
      <c r="AA2274" t="s">
        <v>2890</v>
      </c>
      <c r="AB2274" t="s">
        <v>96</v>
      </c>
      <c r="AC2274" t="s">
        <v>97</v>
      </c>
      <c r="AD2274" t="s">
        <v>2859</v>
      </c>
      <c r="AG2274" t="s">
        <v>2891</v>
      </c>
      <c r="AH2274">
        <v>0</v>
      </c>
      <c r="AI2274">
        <v>0</v>
      </c>
      <c r="AJ2274">
        <v>0</v>
      </c>
      <c r="AK2274">
        <v>0</v>
      </c>
      <c r="AL2274">
        <v>0</v>
      </c>
    </row>
    <row r="2275" spans="1:38" x14ac:dyDescent="0.3">
      <c r="A2275" t="s">
        <v>2854</v>
      </c>
      <c r="B2275">
        <v>140483</v>
      </c>
      <c r="C2275">
        <v>1</v>
      </c>
      <c r="D2275" t="s">
        <v>2892</v>
      </c>
      <c r="E2275" t="s">
        <v>2893</v>
      </c>
      <c r="F2275">
        <v>977</v>
      </c>
      <c r="G2275">
        <v>32.01</v>
      </c>
      <c r="H2275">
        <v>105.84</v>
      </c>
      <c r="I2275">
        <v>22.95</v>
      </c>
      <c r="J2275">
        <v>75.87</v>
      </c>
      <c r="K2275">
        <v>124</v>
      </c>
      <c r="T2275">
        <v>3</v>
      </c>
      <c r="U2275">
        <v>2</v>
      </c>
      <c r="V2275" t="s">
        <v>93</v>
      </c>
      <c r="W2275" t="s">
        <v>551</v>
      </c>
      <c r="X2275">
        <v>46</v>
      </c>
      <c r="Y2275">
        <v>36</v>
      </c>
      <c r="Z2275" t="s">
        <v>2894</v>
      </c>
      <c r="AA2275" t="s">
        <v>2895</v>
      </c>
      <c r="AB2275" t="s">
        <v>96</v>
      </c>
      <c r="AC2275" t="s">
        <v>97</v>
      </c>
      <c r="AD2275" t="s">
        <v>2859</v>
      </c>
      <c r="AG2275" t="s">
        <v>285</v>
      </c>
      <c r="AH2275">
        <v>0</v>
      </c>
      <c r="AI2275">
        <v>379</v>
      </c>
      <c r="AJ2275">
        <v>25</v>
      </c>
      <c r="AK2275">
        <v>1347</v>
      </c>
      <c r="AL2275">
        <v>1.38</v>
      </c>
    </row>
    <row r="2276" spans="1:38" x14ac:dyDescent="0.3">
      <c r="A2276" t="s">
        <v>2854</v>
      </c>
      <c r="B2276">
        <v>140483</v>
      </c>
      <c r="C2276">
        <v>2</v>
      </c>
      <c r="D2276" t="s">
        <v>2892</v>
      </c>
      <c r="E2276" t="s">
        <v>2893</v>
      </c>
      <c r="F2276">
        <v>977</v>
      </c>
      <c r="G2276">
        <v>32.58</v>
      </c>
      <c r="H2276">
        <v>107.73</v>
      </c>
      <c r="I2276">
        <v>22.95</v>
      </c>
      <c r="J2276">
        <v>75.87</v>
      </c>
      <c r="K2276">
        <v>83</v>
      </c>
      <c r="T2276">
        <v>3</v>
      </c>
      <c r="U2276">
        <v>2</v>
      </c>
      <c r="V2276" t="s">
        <v>93</v>
      </c>
      <c r="W2276" t="s">
        <v>2322</v>
      </c>
      <c r="X2276">
        <v>46</v>
      </c>
      <c r="Y2276">
        <v>36</v>
      </c>
      <c r="Z2276" t="s">
        <v>2894</v>
      </c>
      <c r="AA2276" t="s">
        <v>2895</v>
      </c>
      <c r="AB2276" t="s">
        <v>96</v>
      </c>
      <c r="AC2276" t="s">
        <v>97</v>
      </c>
      <c r="AD2276" t="s">
        <v>2859</v>
      </c>
      <c r="AG2276" t="s">
        <v>285</v>
      </c>
      <c r="AH2276">
        <v>0</v>
      </c>
      <c r="AI2276">
        <v>379</v>
      </c>
      <c r="AJ2276">
        <v>25</v>
      </c>
      <c r="AK2276">
        <v>1347</v>
      </c>
      <c r="AL2276">
        <v>1.38</v>
      </c>
    </row>
    <row r="2277" spans="1:38" x14ac:dyDescent="0.3">
      <c r="A2277" t="s">
        <v>2854</v>
      </c>
      <c r="B2277">
        <v>140483</v>
      </c>
      <c r="C2277">
        <v>3</v>
      </c>
      <c r="D2277" t="s">
        <v>2892</v>
      </c>
      <c r="E2277" t="s">
        <v>2893</v>
      </c>
      <c r="F2277">
        <v>977</v>
      </c>
      <c r="G2277">
        <v>35.56</v>
      </c>
      <c r="H2277">
        <v>117.57</v>
      </c>
      <c r="I2277">
        <v>25.62</v>
      </c>
      <c r="J2277">
        <v>84.72</v>
      </c>
      <c r="K2277">
        <v>299</v>
      </c>
      <c r="T2277">
        <v>3</v>
      </c>
      <c r="U2277">
        <v>2</v>
      </c>
      <c r="V2277" t="s">
        <v>93</v>
      </c>
      <c r="W2277" t="s">
        <v>1228</v>
      </c>
      <c r="X2277">
        <v>46</v>
      </c>
      <c r="Y2277">
        <v>36</v>
      </c>
      <c r="Z2277" t="s">
        <v>2894</v>
      </c>
      <c r="AA2277" t="s">
        <v>2895</v>
      </c>
      <c r="AB2277" t="s">
        <v>96</v>
      </c>
      <c r="AC2277" t="s">
        <v>97</v>
      </c>
      <c r="AD2277" t="s">
        <v>2859</v>
      </c>
      <c r="AG2277" t="s">
        <v>285</v>
      </c>
      <c r="AH2277">
        <v>0</v>
      </c>
      <c r="AI2277">
        <v>379</v>
      </c>
      <c r="AJ2277">
        <v>25</v>
      </c>
      <c r="AK2277">
        <v>1347</v>
      </c>
      <c r="AL2277">
        <v>1.38</v>
      </c>
    </row>
    <row r="2278" spans="1:38" x14ac:dyDescent="0.3">
      <c r="A2278" t="s">
        <v>2854</v>
      </c>
      <c r="B2278">
        <v>140483</v>
      </c>
      <c r="C2278">
        <v>4</v>
      </c>
      <c r="D2278" t="s">
        <v>2892</v>
      </c>
      <c r="E2278" t="s">
        <v>2893</v>
      </c>
      <c r="F2278">
        <v>977</v>
      </c>
      <c r="G2278">
        <v>36.200000000000003</v>
      </c>
      <c r="H2278">
        <v>119.68</v>
      </c>
      <c r="I2278">
        <v>25.7</v>
      </c>
      <c r="J2278">
        <v>84.99</v>
      </c>
      <c r="K2278">
        <v>231</v>
      </c>
      <c r="T2278">
        <v>3</v>
      </c>
      <c r="U2278">
        <v>2</v>
      </c>
      <c r="V2278" t="s">
        <v>93</v>
      </c>
      <c r="W2278" t="s">
        <v>553</v>
      </c>
      <c r="X2278">
        <v>46</v>
      </c>
      <c r="Y2278">
        <v>36</v>
      </c>
      <c r="Z2278" t="s">
        <v>2894</v>
      </c>
      <c r="AA2278" t="s">
        <v>2895</v>
      </c>
      <c r="AB2278" t="s">
        <v>96</v>
      </c>
      <c r="AC2278" t="s">
        <v>97</v>
      </c>
      <c r="AD2278" t="s">
        <v>2859</v>
      </c>
      <c r="AG2278" t="s">
        <v>285</v>
      </c>
      <c r="AH2278">
        <v>0</v>
      </c>
      <c r="AI2278">
        <v>379</v>
      </c>
      <c r="AJ2278">
        <v>25</v>
      </c>
      <c r="AK2278">
        <v>1347</v>
      </c>
      <c r="AL2278">
        <v>1.38</v>
      </c>
    </row>
    <row r="2279" spans="1:38" x14ac:dyDescent="0.3">
      <c r="A2279" t="s">
        <v>2854</v>
      </c>
      <c r="B2279">
        <v>140483</v>
      </c>
      <c r="C2279">
        <v>5</v>
      </c>
      <c r="D2279" t="s">
        <v>2892</v>
      </c>
      <c r="E2279" t="s">
        <v>2893</v>
      </c>
      <c r="F2279">
        <v>977</v>
      </c>
      <c r="G2279">
        <v>36.01</v>
      </c>
      <c r="H2279">
        <v>119.06</v>
      </c>
      <c r="I2279">
        <v>25.66</v>
      </c>
      <c r="J2279">
        <v>84.83</v>
      </c>
      <c r="K2279">
        <v>68</v>
      </c>
      <c r="T2279">
        <v>3</v>
      </c>
      <c r="U2279">
        <v>2</v>
      </c>
      <c r="V2279" t="s">
        <v>93</v>
      </c>
      <c r="W2279" t="s">
        <v>2804</v>
      </c>
      <c r="X2279">
        <v>46</v>
      </c>
      <c r="Y2279">
        <v>36</v>
      </c>
      <c r="Z2279" t="s">
        <v>2894</v>
      </c>
      <c r="AA2279" t="s">
        <v>2895</v>
      </c>
      <c r="AB2279" t="s">
        <v>96</v>
      </c>
      <c r="AC2279" t="s">
        <v>97</v>
      </c>
      <c r="AD2279" t="s">
        <v>2859</v>
      </c>
      <c r="AG2279" t="s">
        <v>285</v>
      </c>
      <c r="AH2279">
        <v>0</v>
      </c>
      <c r="AI2279">
        <v>379</v>
      </c>
      <c r="AJ2279">
        <v>25</v>
      </c>
      <c r="AK2279">
        <v>1347</v>
      </c>
      <c r="AL2279">
        <v>1.38</v>
      </c>
    </row>
    <row r="2280" spans="1:38" x14ac:dyDescent="0.3">
      <c r="A2280" t="s">
        <v>2854</v>
      </c>
      <c r="B2280">
        <v>140483</v>
      </c>
      <c r="C2280">
        <v>6</v>
      </c>
      <c r="D2280" t="s">
        <v>2892</v>
      </c>
      <c r="E2280" t="s">
        <v>2893</v>
      </c>
      <c r="F2280">
        <v>977</v>
      </c>
      <c r="G2280">
        <v>42.57</v>
      </c>
      <c r="H2280">
        <v>140.76</v>
      </c>
      <c r="I2280">
        <v>30.76</v>
      </c>
      <c r="J2280">
        <v>101.71</v>
      </c>
      <c r="K2280">
        <v>170</v>
      </c>
      <c r="T2280">
        <v>3</v>
      </c>
      <c r="U2280">
        <v>2</v>
      </c>
      <c r="V2280" t="s">
        <v>93</v>
      </c>
      <c r="W2280">
        <v>140</v>
      </c>
      <c r="X2280">
        <v>46</v>
      </c>
      <c r="Y2280">
        <v>36</v>
      </c>
      <c r="Z2280" t="s">
        <v>2894</v>
      </c>
      <c r="AA2280" t="s">
        <v>2895</v>
      </c>
      <c r="AB2280" t="s">
        <v>96</v>
      </c>
      <c r="AC2280" t="s">
        <v>97</v>
      </c>
      <c r="AD2280" t="s">
        <v>2859</v>
      </c>
      <c r="AG2280" t="s">
        <v>285</v>
      </c>
      <c r="AH2280">
        <v>0</v>
      </c>
      <c r="AI2280">
        <v>379</v>
      </c>
      <c r="AJ2280">
        <v>25</v>
      </c>
      <c r="AK2280">
        <v>1347</v>
      </c>
      <c r="AL2280">
        <v>1.38</v>
      </c>
    </row>
    <row r="2281" spans="1:38" x14ac:dyDescent="0.3">
      <c r="A2281" t="s">
        <v>2854</v>
      </c>
      <c r="B2281">
        <v>140483</v>
      </c>
      <c r="C2281">
        <v>7</v>
      </c>
      <c r="D2281" t="s">
        <v>2892</v>
      </c>
      <c r="E2281" t="s">
        <v>2893</v>
      </c>
      <c r="F2281">
        <v>977</v>
      </c>
      <c r="G2281">
        <v>58.94</v>
      </c>
      <c r="H2281">
        <v>194.86</v>
      </c>
      <c r="I2281">
        <v>41.37</v>
      </c>
      <c r="J2281">
        <v>136.79</v>
      </c>
      <c r="K2281">
        <v>2</v>
      </c>
      <c r="T2281">
        <v>4</v>
      </c>
      <c r="U2281">
        <v>2</v>
      </c>
      <c r="V2281" t="s">
        <v>93</v>
      </c>
      <c r="W2281" t="s">
        <v>2896</v>
      </c>
      <c r="X2281">
        <v>46</v>
      </c>
      <c r="Y2281">
        <v>36</v>
      </c>
      <c r="Z2281" t="s">
        <v>2894</v>
      </c>
      <c r="AA2281" t="s">
        <v>2895</v>
      </c>
      <c r="AB2281" t="s">
        <v>96</v>
      </c>
      <c r="AC2281" t="s">
        <v>97</v>
      </c>
      <c r="AD2281" t="s">
        <v>2859</v>
      </c>
      <c r="AG2281" t="s">
        <v>285</v>
      </c>
      <c r="AH2281">
        <v>0</v>
      </c>
      <c r="AI2281">
        <v>379</v>
      </c>
      <c r="AJ2281">
        <v>25</v>
      </c>
      <c r="AK2281">
        <v>1347</v>
      </c>
      <c r="AL2281">
        <v>1.38</v>
      </c>
    </row>
    <row r="2282" spans="1:38" x14ac:dyDescent="0.3">
      <c r="A2282" t="s">
        <v>2854</v>
      </c>
      <c r="B2282">
        <v>8585</v>
      </c>
      <c r="C2282">
        <v>1</v>
      </c>
      <c r="D2282" t="s">
        <v>2897</v>
      </c>
      <c r="E2282" t="s">
        <v>2898</v>
      </c>
      <c r="F2282">
        <v>348</v>
      </c>
      <c r="G2282">
        <v>23.99</v>
      </c>
      <c r="H2282">
        <v>79.31</v>
      </c>
      <c r="I2282">
        <v>17.739999999999998</v>
      </c>
      <c r="J2282">
        <v>58.66</v>
      </c>
      <c r="K2282">
        <v>145</v>
      </c>
      <c r="T2282">
        <v>3</v>
      </c>
      <c r="U2282">
        <v>1</v>
      </c>
      <c r="V2282" t="s">
        <v>93</v>
      </c>
      <c r="W2282">
        <v>79</v>
      </c>
      <c r="X2282">
        <v>19</v>
      </c>
      <c r="Y2282">
        <v>9</v>
      </c>
      <c r="Z2282" t="s">
        <v>2899</v>
      </c>
      <c r="AA2282" t="s">
        <v>2900</v>
      </c>
      <c r="AB2282" t="s">
        <v>96</v>
      </c>
      <c r="AC2282" t="s">
        <v>97</v>
      </c>
      <c r="AD2282" t="s">
        <v>2859</v>
      </c>
      <c r="AG2282" t="s">
        <v>2901</v>
      </c>
      <c r="AH2282">
        <v>0</v>
      </c>
      <c r="AI2282">
        <v>359</v>
      </c>
      <c r="AJ2282">
        <v>22</v>
      </c>
      <c r="AK2282">
        <v>363</v>
      </c>
      <c r="AL2282">
        <v>1.04</v>
      </c>
    </row>
    <row r="2283" spans="1:38" x14ac:dyDescent="0.3">
      <c r="A2283" t="s">
        <v>2854</v>
      </c>
      <c r="B2283">
        <v>8585</v>
      </c>
      <c r="C2283">
        <v>2</v>
      </c>
      <c r="D2283" t="s">
        <v>2897</v>
      </c>
      <c r="E2283" t="s">
        <v>2898</v>
      </c>
      <c r="F2283">
        <v>348</v>
      </c>
      <c r="G2283">
        <v>32.68</v>
      </c>
      <c r="H2283">
        <v>108.04</v>
      </c>
      <c r="I2283">
        <v>25.6</v>
      </c>
      <c r="J2283">
        <v>84.64</v>
      </c>
      <c r="K2283">
        <v>165</v>
      </c>
      <c r="T2283">
        <v>3</v>
      </c>
      <c r="U2283">
        <v>2</v>
      </c>
      <c r="V2283" t="s">
        <v>93</v>
      </c>
      <c r="W2283">
        <v>108</v>
      </c>
      <c r="X2283">
        <v>19</v>
      </c>
      <c r="Y2283">
        <v>9</v>
      </c>
      <c r="Z2283" t="s">
        <v>2899</v>
      </c>
      <c r="AA2283" t="s">
        <v>2900</v>
      </c>
      <c r="AB2283" t="s">
        <v>96</v>
      </c>
      <c r="AC2283" t="s">
        <v>97</v>
      </c>
      <c r="AD2283" t="s">
        <v>2859</v>
      </c>
      <c r="AG2283" t="s">
        <v>2901</v>
      </c>
      <c r="AH2283">
        <v>0</v>
      </c>
      <c r="AI2283">
        <v>359</v>
      </c>
      <c r="AJ2283">
        <v>22</v>
      </c>
      <c r="AK2283">
        <v>363</v>
      </c>
      <c r="AL2283">
        <v>1.04</v>
      </c>
    </row>
    <row r="2284" spans="1:38" x14ac:dyDescent="0.3">
      <c r="A2284" t="s">
        <v>2854</v>
      </c>
      <c r="B2284">
        <v>8585</v>
      </c>
      <c r="C2284">
        <v>3</v>
      </c>
      <c r="D2284" t="s">
        <v>2897</v>
      </c>
      <c r="E2284" t="s">
        <v>2898</v>
      </c>
      <c r="F2284">
        <v>348</v>
      </c>
      <c r="G2284">
        <v>45.46</v>
      </c>
      <c r="H2284">
        <v>150.31</v>
      </c>
      <c r="I2284">
        <v>36.979999999999997</v>
      </c>
      <c r="J2284">
        <v>122.26</v>
      </c>
      <c r="K2284">
        <v>38</v>
      </c>
      <c r="T2284">
        <v>4</v>
      </c>
      <c r="U2284">
        <v>2</v>
      </c>
      <c r="V2284" t="s">
        <v>93</v>
      </c>
      <c r="W2284">
        <v>150</v>
      </c>
      <c r="X2284">
        <v>19</v>
      </c>
      <c r="Y2284">
        <v>9</v>
      </c>
      <c r="Z2284" t="s">
        <v>2899</v>
      </c>
      <c r="AA2284" t="s">
        <v>2900</v>
      </c>
      <c r="AB2284" t="s">
        <v>96</v>
      </c>
      <c r="AC2284" t="s">
        <v>97</v>
      </c>
      <c r="AD2284" t="s">
        <v>2859</v>
      </c>
      <c r="AG2284" t="s">
        <v>2901</v>
      </c>
      <c r="AH2284">
        <v>0</v>
      </c>
      <c r="AI2284">
        <v>359</v>
      </c>
      <c r="AJ2284">
        <v>22</v>
      </c>
      <c r="AK2284">
        <v>363</v>
      </c>
      <c r="AL2284">
        <v>1.04</v>
      </c>
    </row>
    <row r="2285" spans="1:38" x14ac:dyDescent="0.3">
      <c r="A2285" t="s">
        <v>2854</v>
      </c>
      <c r="B2285">
        <v>142108</v>
      </c>
      <c r="C2285">
        <v>1</v>
      </c>
      <c r="D2285" t="s">
        <v>2902</v>
      </c>
      <c r="E2285" t="s">
        <v>2903</v>
      </c>
      <c r="F2285">
        <v>1131</v>
      </c>
      <c r="G2285">
        <v>24.62</v>
      </c>
      <c r="H2285">
        <v>81.400000000000006</v>
      </c>
      <c r="I2285">
        <v>18.13</v>
      </c>
      <c r="J2285">
        <v>59.96</v>
      </c>
      <c r="K2285">
        <v>155</v>
      </c>
      <c r="T2285">
        <v>3</v>
      </c>
      <c r="U2285">
        <v>2</v>
      </c>
      <c r="V2285" t="s">
        <v>93</v>
      </c>
      <c r="W2285">
        <v>81</v>
      </c>
      <c r="X2285">
        <v>42</v>
      </c>
      <c r="Y2285">
        <v>22</v>
      </c>
      <c r="Z2285" t="s">
        <v>2904</v>
      </c>
      <c r="AA2285" t="s">
        <v>2905</v>
      </c>
      <c r="AB2285" t="s">
        <v>96</v>
      </c>
      <c r="AC2285" t="s">
        <v>97</v>
      </c>
      <c r="AD2285" t="s">
        <v>2859</v>
      </c>
      <c r="AG2285" t="s">
        <v>285</v>
      </c>
      <c r="AH2285">
        <v>0</v>
      </c>
      <c r="AI2285">
        <v>249</v>
      </c>
      <c r="AJ2285">
        <v>14</v>
      </c>
      <c r="AK2285">
        <v>1559</v>
      </c>
      <c r="AL2285">
        <v>1.38</v>
      </c>
    </row>
    <row r="2286" spans="1:38" x14ac:dyDescent="0.3">
      <c r="A2286" t="s">
        <v>2854</v>
      </c>
      <c r="B2286">
        <v>142108</v>
      </c>
      <c r="C2286">
        <v>2</v>
      </c>
      <c r="D2286" t="s">
        <v>2902</v>
      </c>
      <c r="E2286" t="s">
        <v>2903</v>
      </c>
      <c r="F2286">
        <v>1131</v>
      </c>
      <c r="G2286">
        <v>31.99</v>
      </c>
      <c r="H2286">
        <v>105.78</v>
      </c>
      <c r="I2286">
        <v>23.56</v>
      </c>
      <c r="J2286">
        <v>77.91</v>
      </c>
      <c r="K2286">
        <v>265</v>
      </c>
      <c r="T2286">
        <v>3</v>
      </c>
      <c r="U2286">
        <v>2</v>
      </c>
      <c r="V2286" t="s">
        <v>93</v>
      </c>
      <c r="W2286">
        <v>105</v>
      </c>
      <c r="X2286">
        <v>42</v>
      </c>
      <c r="Y2286">
        <v>22</v>
      </c>
      <c r="Z2286" t="s">
        <v>2904</v>
      </c>
      <c r="AA2286" t="s">
        <v>2905</v>
      </c>
      <c r="AB2286" t="s">
        <v>96</v>
      </c>
      <c r="AC2286" t="s">
        <v>97</v>
      </c>
      <c r="AD2286" t="s">
        <v>2859</v>
      </c>
      <c r="AG2286" t="s">
        <v>285</v>
      </c>
      <c r="AH2286">
        <v>0</v>
      </c>
      <c r="AI2286">
        <v>249</v>
      </c>
      <c r="AJ2286">
        <v>14</v>
      </c>
      <c r="AK2286">
        <v>1559</v>
      </c>
      <c r="AL2286">
        <v>1.38</v>
      </c>
    </row>
    <row r="2287" spans="1:38" x14ac:dyDescent="0.3">
      <c r="A2287" t="s">
        <v>2854</v>
      </c>
      <c r="B2287">
        <v>142108</v>
      </c>
      <c r="C2287">
        <v>3</v>
      </c>
      <c r="D2287" t="s">
        <v>2902</v>
      </c>
      <c r="E2287" t="s">
        <v>2903</v>
      </c>
      <c r="F2287">
        <v>1131</v>
      </c>
      <c r="G2287">
        <v>34.89</v>
      </c>
      <c r="H2287">
        <v>115.37</v>
      </c>
      <c r="I2287">
        <v>25.7</v>
      </c>
      <c r="J2287">
        <v>84.98</v>
      </c>
      <c r="K2287">
        <v>406</v>
      </c>
      <c r="T2287">
        <v>3</v>
      </c>
      <c r="U2287">
        <v>2</v>
      </c>
      <c r="V2287" t="s">
        <v>93</v>
      </c>
      <c r="W2287" t="s">
        <v>1479</v>
      </c>
      <c r="X2287">
        <v>42</v>
      </c>
      <c r="Y2287">
        <v>22</v>
      </c>
      <c r="Z2287" t="s">
        <v>2904</v>
      </c>
      <c r="AA2287" t="s">
        <v>2905</v>
      </c>
      <c r="AB2287" t="s">
        <v>96</v>
      </c>
      <c r="AC2287" t="s">
        <v>97</v>
      </c>
      <c r="AD2287" t="s">
        <v>2859</v>
      </c>
      <c r="AG2287" t="s">
        <v>285</v>
      </c>
      <c r="AH2287">
        <v>0</v>
      </c>
      <c r="AI2287">
        <v>249</v>
      </c>
      <c r="AJ2287">
        <v>14</v>
      </c>
      <c r="AK2287">
        <v>1559</v>
      </c>
      <c r="AL2287">
        <v>1.38</v>
      </c>
    </row>
    <row r="2288" spans="1:38" x14ac:dyDescent="0.3">
      <c r="A2288" t="s">
        <v>2854</v>
      </c>
      <c r="B2288">
        <v>142108</v>
      </c>
      <c r="C2288">
        <v>4</v>
      </c>
      <c r="D2288" t="s">
        <v>2902</v>
      </c>
      <c r="E2288" t="s">
        <v>2903</v>
      </c>
      <c r="F2288">
        <v>1131</v>
      </c>
      <c r="G2288">
        <v>34.89</v>
      </c>
      <c r="H2288">
        <v>115.36</v>
      </c>
      <c r="I2288">
        <v>25.7</v>
      </c>
      <c r="J2288">
        <v>84.97</v>
      </c>
      <c r="K2288">
        <v>168</v>
      </c>
      <c r="T2288">
        <v>3</v>
      </c>
      <c r="U2288">
        <v>2</v>
      </c>
      <c r="V2288" t="s">
        <v>93</v>
      </c>
      <c r="W2288" t="s">
        <v>1618</v>
      </c>
      <c r="X2288">
        <v>42</v>
      </c>
      <c r="Y2288">
        <v>22</v>
      </c>
      <c r="Z2288" t="s">
        <v>2904</v>
      </c>
      <c r="AA2288" t="s">
        <v>2905</v>
      </c>
      <c r="AB2288" t="s">
        <v>96</v>
      </c>
      <c r="AC2288" t="s">
        <v>97</v>
      </c>
      <c r="AD2288" t="s">
        <v>2859</v>
      </c>
      <c r="AG2288" t="s">
        <v>285</v>
      </c>
      <c r="AH2288">
        <v>0</v>
      </c>
      <c r="AI2288">
        <v>249</v>
      </c>
      <c r="AJ2288">
        <v>14</v>
      </c>
      <c r="AK2288">
        <v>1559</v>
      </c>
      <c r="AL2288">
        <v>1.38</v>
      </c>
    </row>
    <row r="2289" spans="1:38" x14ac:dyDescent="0.3">
      <c r="A2289" t="s">
        <v>2854</v>
      </c>
      <c r="B2289">
        <v>142108</v>
      </c>
      <c r="C2289">
        <v>5</v>
      </c>
      <c r="D2289" t="s">
        <v>2902</v>
      </c>
      <c r="E2289" t="s">
        <v>2903</v>
      </c>
      <c r="F2289">
        <v>1131</v>
      </c>
      <c r="G2289">
        <v>42.29</v>
      </c>
      <c r="H2289">
        <v>139.81</v>
      </c>
      <c r="I2289">
        <v>31.15</v>
      </c>
      <c r="J2289">
        <v>102.98</v>
      </c>
      <c r="K2289">
        <v>133</v>
      </c>
      <c r="T2289">
        <v>3</v>
      </c>
      <c r="U2289">
        <v>2</v>
      </c>
      <c r="V2289" t="s">
        <v>93</v>
      </c>
      <c r="W2289">
        <v>139</v>
      </c>
      <c r="X2289">
        <v>42</v>
      </c>
      <c r="Y2289">
        <v>22</v>
      </c>
      <c r="Z2289" t="s">
        <v>2904</v>
      </c>
      <c r="AA2289" t="s">
        <v>2905</v>
      </c>
      <c r="AB2289" t="s">
        <v>96</v>
      </c>
      <c r="AC2289" t="s">
        <v>97</v>
      </c>
      <c r="AD2289" t="s">
        <v>2859</v>
      </c>
      <c r="AG2289" t="s">
        <v>285</v>
      </c>
      <c r="AH2289">
        <v>0</v>
      </c>
      <c r="AI2289">
        <v>249</v>
      </c>
      <c r="AJ2289">
        <v>14</v>
      </c>
      <c r="AK2289">
        <v>1559</v>
      </c>
      <c r="AL2289">
        <v>1.38</v>
      </c>
    </row>
    <row r="2290" spans="1:38" x14ac:dyDescent="0.3">
      <c r="A2290" t="s">
        <v>2854</v>
      </c>
      <c r="B2290">
        <v>142108</v>
      </c>
      <c r="C2290">
        <v>6</v>
      </c>
      <c r="D2290" t="s">
        <v>2902</v>
      </c>
      <c r="E2290" t="s">
        <v>2903</v>
      </c>
      <c r="F2290">
        <v>1131</v>
      </c>
      <c r="G2290">
        <v>48.06</v>
      </c>
      <c r="H2290">
        <v>158.88999999999999</v>
      </c>
      <c r="I2290">
        <v>35.4</v>
      </c>
      <c r="J2290">
        <v>117.03</v>
      </c>
      <c r="K2290">
        <v>2</v>
      </c>
      <c r="T2290">
        <v>3</v>
      </c>
      <c r="U2290">
        <v>2</v>
      </c>
      <c r="V2290" t="s">
        <v>93</v>
      </c>
      <c r="W2290" t="s">
        <v>2906</v>
      </c>
      <c r="X2290">
        <v>42</v>
      </c>
      <c r="Y2290">
        <v>22</v>
      </c>
      <c r="Z2290" t="s">
        <v>2904</v>
      </c>
      <c r="AA2290" t="s">
        <v>2905</v>
      </c>
      <c r="AB2290" t="s">
        <v>96</v>
      </c>
      <c r="AC2290" t="s">
        <v>97</v>
      </c>
      <c r="AD2290" t="s">
        <v>2859</v>
      </c>
      <c r="AG2290" t="s">
        <v>285</v>
      </c>
      <c r="AH2290">
        <v>0</v>
      </c>
      <c r="AI2290">
        <v>249</v>
      </c>
      <c r="AJ2290">
        <v>14</v>
      </c>
      <c r="AK2290">
        <v>1559</v>
      </c>
      <c r="AL2290">
        <v>1.38</v>
      </c>
    </row>
    <row r="2291" spans="1:38" x14ac:dyDescent="0.3">
      <c r="A2291" t="s">
        <v>2854</v>
      </c>
      <c r="B2291">
        <v>142108</v>
      </c>
      <c r="C2291">
        <v>7</v>
      </c>
      <c r="D2291" t="s">
        <v>2902</v>
      </c>
      <c r="E2291" t="s">
        <v>2903</v>
      </c>
      <c r="F2291">
        <v>1131</v>
      </c>
      <c r="G2291">
        <v>52.06</v>
      </c>
      <c r="H2291">
        <v>172.13</v>
      </c>
      <c r="I2291">
        <v>38.35</v>
      </c>
      <c r="J2291">
        <v>126.79</v>
      </c>
      <c r="K2291">
        <v>2</v>
      </c>
      <c r="T2291">
        <v>3</v>
      </c>
      <c r="U2291">
        <v>2</v>
      </c>
      <c r="V2291" t="s">
        <v>93</v>
      </c>
      <c r="W2291" t="s">
        <v>2907</v>
      </c>
      <c r="X2291">
        <v>42</v>
      </c>
      <c r="Y2291">
        <v>22</v>
      </c>
      <c r="Z2291" t="s">
        <v>2904</v>
      </c>
      <c r="AA2291" t="s">
        <v>2905</v>
      </c>
      <c r="AB2291" t="s">
        <v>96</v>
      </c>
      <c r="AC2291" t="s">
        <v>97</v>
      </c>
      <c r="AD2291" t="s">
        <v>2859</v>
      </c>
      <c r="AG2291" t="s">
        <v>285</v>
      </c>
      <c r="AH2291">
        <v>0</v>
      </c>
      <c r="AI2291">
        <v>249</v>
      </c>
      <c r="AJ2291">
        <v>14</v>
      </c>
      <c r="AK2291">
        <v>1559</v>
      </c>
      <c r="AL2291">
        <v>1.38</v>
      </c>
    </row>
    <row r="2292" spans="1:38" x14ac:dyDescent="0.3">
      <c r="A2292" t="s">
        <v>2854</v>
      </c>
      <c r="B2292">
        <v>9431</v>
      </c>
      <c r="C2292">
        <v>1</v>
      </c>
      <c r="D2292" t="s">
        <v>2908</v>
      </c>
      <c r="E2292" t="s">
        <v>614</v>
      </c>
      <c r="F2292">
        <v>105</v>
      </c>
      <c r="G2292">
        <v>22.8</v>
      </c>
      <c r="H2292">
        <v>75.38</v>
      </c>
      <c r="I2292">
        <v>17.510000000000002</v>
      </c>
      <c r="J2292">
        <v>57.91</v>
      </c>
      <c r="K2292">
        <v>90</v>
      </c>
      <c r="T2292">
        <v>2</v>
      </c>
      <c r="U2292">
        <v>1</v>
      </c>
      <c r="V2292" t="s">
        <v>93</v>
      </c>
      <c r="W2292" t="s">
        <v>407</v>
      </c>
      <c r="X2292">
        <v>5</v>
      </c>
      <c r="Y2292">
        <v>5</v>
      </c>
      <c r="Z2292" t="s">
        <v>2909</v>
      </c>
      <c r="AA2292" t="s">
        <v>2910</v>
      </c>
      <c r="AB2292" t="s">
        <v>96</v>
      </c>
      <c r="AC2292" t="s">
        <v>97</v>
      </c>
      <c r="AD2292" t="s">
        <v>2859</v>
      </c>
      <c r="AG2292" t="s">
        <v>2911</v>
      </c>
      <c r="AH2292">
        <v>0</v>
      </c>
      <c r="AI2292">
        <v>146</v>
      </c>
      <c r="AJ2292">
        <v>29</v>
      </c>
      <c r="AK2292">
        <v>105</v>
      </c>
      <c r="AL2292">
        <v>1</v>
      </c>
    </row>
    <row r="2293" spans="1:38" x14ac:dyDescent="0.3">
      <c r="A2293" t="s">
        <v>2854</v>
      </c>
      <c r="B2293">
        <v>9431</v>
      </c>
      <c r="C2293">
        <v>2</v>
      </c>
      <c r="D2293" t="s">
        <v>2908</v>
      </c>
      <c r="E2293" t="s">
        <v>614</v>
      </c>
      <c r="F2293">
        <v>105</v>
      </c>
      <c r="G2293">
        <v>22.8</v>
      </c>
      <c r="H2293">
        <v>75.38</v>
      </c>
      <c r="I2293">
        <v>15.88</v>
      </c>
      <c r="J2293">
        <v>52.51</v>
      </c>
      <c r="K2293">
        <v>10</v>
      </c>
      <c r="T2293">
        <v>3</v>
      </c>
      <c r="U2293">
        <v>1</v>
      </c>
      <c r="V2293" t="s">
        <v>93</v>
      </c>
      <c r="W2293" t="s">
        <v>882</v>
      </c>
      <c r="X2293">
        <v>5</v>
      </c>
      <c r="Y2293">
        <v>5</v>
      </c>
      <c r="Z2293" t="s">
        <v>2909</v>
      </c>
      <c r="AA2293" t="s">
        <v>2910</v>
      </c>
      <c r="AB2293" t="s">
        <v>96</v>
      </c>
      <c r="AC2293" t="s">
        <v>97</v>
      </c>
      <c r="AD2293" t="s">
        <v>2859</v>
      </c>
      <c r="AG2293" t="s">
        <v>2911</v>
      </c>
      <c r="AH2293">
        <v>0</v>
      </c>
      <c r="AI2293">
        <v>146</v>
      </c>
      <c r="AJ2293">
        <v>29</v>
      </c>
      <c r="AK2293">
        <v>105</v>
      </c>
      <c r="AL2293">
        <v>1</v>
      </c>
    </row>
    <row r="2294" spans="1:38" x14ac:dyDescent="0.3">
      <c r="A2294" t="s">
        <v>2854</v>
      </c>
      <c r="B2294">
        <v>9431</v>
      </c>
      <c r="C2294">
        <v>3</v>
      </c>
      <c r="D2294" t="s">
        <v>2908</v>
      </c>
      <c r="E2294" t="s">
        <v>614</v>
      </c>
      <c r="F2294">
        <v>105</v>
      </c>
      <c r="G2294">
        <v>25.84</v>
      </c>
      <c r="H2294">
        <v>85.43</v>
      </c>
      <c r="I2294">
        <v>18.41</v>
      </c>
      <c r="J2294">
        <v>60.88</v>
      </c>
      <c r="K2294">
        <v>5</v>
      </c>
      <c r="T2294">
        <v>3</v>
      </c>
      <c r="U2294">
        <v>1</v>
      </c>
      <c r="V2294" t="s">
        <v>93</v>
      </c>
      <c r="W2294">
        <v>85</v>
      </c>
      <c r="X2294">
        <v>5</v>
      </c>
      <c r="Y2294">
        <v>5</v>
      </c>
      <c r="Z2294" t="s">
        <v>2909</v>
      </c>
      <c r="AA2294" t="s">
        <v>2910</v>
      </c>
      <c r="AB2294" t="s">
        <v>96</v>
      </c>
      <c r="AC2294" t="s">
        <v>97</v>
      </c>
      <c r="AD2294" t="s">
        <v>2859</v>
      </c>
      <c r="AG2294" t="s">
        <v>2911</v>
      </c>
      <c r="AH2294">
        <v>0</v>
      </c>
      <c r="AI2294">
        <v>146</v>
      </c>
      <c r="AJ2294">
        <v>29</v>
      </c>
      <c r="AK2294">
        <v>105</v>
      </c>
      <c r="AL2294">
        <v>1</v>
      </c>
    </row>
    <row r="2295" spans="1:38" x14ac:dyDescent="0.3">
      <c r="A2295" t="s">
        <v>2854</v>
      </c>
      <c r="B2295">
        <v>26150</v>
      </c>
      <c r="C2295">
        <v>1</v>
      </c>
      <c r="D2295" t="s">
        <v>2912</v>
      </c>
      <c r="E2295" t="s">
        <v>2913</v>
      </c>
      <c r="F2295">
        <v>2090</v>
      </c>
      <c r="G2295">
        <v>25.27</v>
      </c>
      <c r="H2295">
        <v>83.57</v>
      </c>
      <c r="I2295">
        <v>18.13</v>
      </c>
      <c r="J2295">
        <v>59.94</v>
      </c>
      <c r="K2295">
        <v>446</v>
      </c>
      <c r="T2295">
        <v>3</v>
      </c>
      <c r="U2295">
        <v>2</v>
      </c>
      <c r="V2295" t="s">
        <v>93</v>
      </c>
      <c r="W2295">
        <v>83</v>
      </c>
      <c r="X2295">
        <v>25</v>
      </c>
      <c r="Y2295">
        <v>18</v>
      </c>
      <c r="Z2295" t="s">
        <v>2914</v>
      </c>
      <c r="AA2295" t="s">
        <v>2915</v>
      </c>
      <c r="AB2295" t="s">
        <v>96</v>
      </c>
      <c r="AC2295" t="s">
        <v>97</v>
      </c>
      <c r="AD2295" t="s">
        <v>2859</v>
      </c>
      <c r="AG2295" t="s">
        <v>2916</v>
      </c>
      <c r="AH2295">
        <v>0</v>
      </c>
      <c r="AI2295">
        <v>249</v>
      </c>
      <c r="AJ2295">
        <v>15</v>
      </c>
      <c r="AK2295">
        <v>2408</v>
      </c>
      <c r="AL2295">
        <v>1.1499999999999999</v>
      </c>
    </row>
    <row r="2296" spans="1:38" x14ac:dyDescent="0.3">
      <c r="A2296" t="s">
        <v>2854</v>
      </c>
      <c r="B2296">
        <v>26150</v>
      </c>
      <c r="C2296">
        <v>2</v>
      </c>
      <c r="D2296" t="s">
        <v>2912</v>
      </c>
      <c r="E2296" t="s">
        <v>2913</v>
      </c>
      <c r="F2296">
        <v>2090</v>
      </c>
      <c r="G2296">
        <v>33.31</v>
      </c>
      <c r="H2296">
        <v>110.13</v>
      </c>
      <c r="I2296">
        <v>25.69</v>
      </c>
      <c r="J2296">
        <v>84.93</v>
      </c>
      <c r="K2296">
        <v>872</v>
      </c>
      <c r="T2296">
        <v>3</v>
      </c>
      <c r="U2296">
        <v>2</v>
      </c>
      <c r="V2296" t="s">
        <v>93</v>
      </c>
      <c r="W2296" t="s">
        <v>440</v>
      </c>
      <c r="X2296">
        <v>25</v>
      </c>
      <c r="Y2296">
        <v>18</v>
      </c>
      <c r="Z2296" t="s">
        <v>2914</v>
      </c>
      <c r="AA2296" t="s">
        <v>2915</v>
      </c>
      <c r="AB2296" t="s">
        <v>96</v>
      </c>
      <c r="AC2296" t="s">
        <v>97</v>
      </c>
      <c r="AD2296" t="s">
        <v>2859</v>
      </c>
      <c r="AG2296" t="s">
        <v>2916</v>
      </c>
      <c r="AH2296">
        <v>0</v>
      </c>
      <c r="AI2296">
        <v>249</v>
      </c>
      <c r="AJ2296">
        <v>15</v>
      </c>
      <c r="AK2296">
        <v>2408</v>
      </c>
      <c r="AL2296">
        <v>1.1499999999999999</v>
      </c>
    </row>
    <row r="2297" spans="1:38" x14ac:dyDescent="0.3">
      <c r="A2297" t="s">
        <v>2854</v>
      </c>
      <c r="B2297">
        <v>26150</v>
      </c>
      <c r="C2297">
        <v>3</v>
      </c>
      <c r="D2297" t="s">
        <v>2912</v>
      </c>
      <c r="E2297" t="s">
        <v>2913</v>
      </c>
      <c r="F2297">
        <v>2090</v>
      </c>
      <c r="G2297">
        <v>33.49</v>
      </c>
      <c r="H2297">
        <v>110.73</v>
      </c>
      <c r="I2297">
        <v>25.68</v>
      </c>
      <c r="J2297">
        <v>84.92</v>
      </c>
      <c r="K2297">
        <v>244</v>
      </c>
      <c r="T2297">
        <v>3</v>
      </c>
      <c r="U2297">
        <v>2</v>
      </c>
      <c r="V2297" t="s">
        <v>93</v>
      </c>
      <c r="W2297" t="s">
        <v>158</v>
      </c>
      <c r="X2297">
        <v>25</v>
      </c>
      <c r="Y2297">
        <v>18</v>
      </c>
      <c r="Z2297" t="s">
        <v>2914</v>
      </c>
      <c r="AA2297" t="s">
        <v>2915</v>
      </c>
      <c r="AB2297" t="s">
        <v>96</v>
      </c>
      <c r="AC2297" t="s">
        <v>97</v>
      </c>
      <c r="AD2297" t="s">
        <v>2859</v>
      </c>
      <c r="AG2297" t="s">
        <v>2916</v>
      </c>
      <c r="AH2297">
        <v>0</v>
      </c>
      <c r="AI2297">
        <v>249</v>
      </c>
      <c r="AJ2297">
        <v>15</v>
      </c>
      <c r="AK2297">
        <v>2408</v>
      </c>
      <c r="AL2297">
        <v>1.1499999999999999</v>
      </c>
    </row>
    <row r="2298" spans="1:38" x14ac:dyDescent="0.3">
      <c r="A2298" t="s">
        <v>2854</v>
      </c>
      <c r="B2298">
        <v>26150</v>
      </c>
      <c r="C2298">
        <v>4</v>
      </c>
      <c r="D2298" t="s">
        <v>2912</v>
      </c>
      <c r="E2298" t="s">
        <v>2913</v>
      </c>
      <c r="F2298">
        <v>2090</v>
      </c>
      <c r="G2298">
        <v>33.590000000000003</v>
      </c>
      <c r="H2298">
        <v>111.05</v>
      </c>
      <c r="I2298">
        <v>25.7</v>
      </c>
      <c r="J2298">
        <v>84.97</v>
      </c>
      <c r="K2298">
        <v>211</v>
      </c>
      <c r="T2298">
        <v>3</v>
      </c>
      <c r="U2298">
        <v>2</v>
      </c>
      <c r="V2298" t="s">
        <v>93</v>
      </c>
      <c r="W2298" t="s">
        <v>1638</v>
      </c>
      <c r="X2298">
        <v>25</v>
      </c>
      <c r="Y2298">
        <v>18</v>
      </c>
      <c r="Z2298" t="s">
        <v>2914</v>
      </c>
      <c r="AA2298" t="s">
        <v>2915</v>
      </c>
      <c r="AB2298" t="s">
        <v>96</v>
      </c>
      <c r="AC2298" t="s">
        <v>97</v>
      </c>
      <c r="AD2298" t="s">
        <v>2859</v>
      </c>
      <c r="AG2298" t="s">
        <v>2916</v>
      </c>
      <c r="AH2298">
        <v>0</v>
      </c>
      <c r="AI2298">
        <v>249</v>
      </c>
      <c r="AJ2298">
        <v>15</v>
      </c>
      <c r="AK2298">
        <v>2408</v>
      </c>
      <c r="AL2298">
        <v>1.1499999999999999</v>
      </c>
    </row>
    <row r="2299" spans="1:38" x14ac:dyDescent="0.3">
      <c r="A2299" t="s">
        <v>2854</v>
      </c>
      <c r="B2299">
        <v>26150</v>
      </c>
      <c r="C2299">
        <v>5</v>
      </c>
      <c r="D2299" t="s">
        <v>2912</v>
      </c>
      <c r="E2299" t="s">
        <v>2913</v>
      </c>
      <c r="F2299">
        <v>2090</v>
      </c>
      <c r="G2299">
        <v>46.63</v>
      </c>
      <c r="H2299">
        <v>154.15</v>
      </c>
      <c r="I2299">
        <v>36.96</v>
      </c>
      <c r="J2299">
        <v>122.19</v>
      </c>
      <c r="K2299">
        <v>221</v>
      </c>
      <c r="T2299">
        <v>4</v>
      </c>
      <c r="U2299">
        <v>2</v>
      </c>
      <c r="V2299" t="s">
        <v>93</v>
      </c>
      <c r="W2299">
        <v>154</v>
      </c>
      <c r="X2299">
        <v>25</v>
      </c>
      <c r="Y2299">
        <v>18</v>
      </c>
      <c r="Z2299" t="s">
        <v>2914</v>
      </c>
      <c r="AA2299" t="s">
        <v>2915</v>
      </c>
      <c r="AB2299" t="s">
        <v>96</v>
      </c>
      <c r="AC2299" t="s">
        <v>97</v>
      </c>
      <c r="AD2299" t="s">
        <v>2859</v>
      </c>
      <c r="AG2299" t="s">
        <v>2916</v>
      </c>
      <c r="AH2299">
        <v>0</v>
      </c>
      <c r="AI2299">
        <v>249</v>
      </c>
      <c r="AJ2299">
        <v>15</v>
      </c>
      <c r="AK2299">
        <v>2408</v>
      </c>
      <c r="AL2299">
        <v>1.1499999999999999</v>
      </c>
    </row>
    <row r="2300" spans="1:38" x14ac:dyDescent="0.3">
      <c r="A2300" t="s">
        <v>2854</v>
      </c>
      <c r="B2300">
        <v>26150</v>
      </c>
      <c r="C2300">
        <v>6</v>
      </c>
      <c r="D2300" t="s">
        <v>2912</v>
      </c>
      <c r="E2300" t="s">
        <v>2913</v>
      </c>
      <c r="F2300">
        <v>2090</v>
      </c>
      <c r="G2300">
        <v>58.37</v>
      </c>
      <c r="H2300">
        <v>192.96</v>
      </c>
      <c r="I2300">
        <v>47.16</v>
      </c>
      <c r="J2300">
        <v>155.93</v>
      </c>
      <c r="K2300">
        <v>96</v>
      </c>
      <c r="T2300">
        <v>5</v>
      </c>
      <c r="U2300">
        <v>2</v>
      </c>
      <c r="V2300" t="s">
        <v>93</v>
      </c>
      <c r="W2300">
        <v>192</v>
      </c>
      <c r="X2300">
        <v>25</v>
      </c>
      <c r="Y2300">
        <v>18</v>
      </c>
      <c r="Z2300" t="s">
        <v>2914</v>
      </c>
      <c r="AA2300" t="s">
        <v>2915</v>
      </c>
      <c r="AB2300" t="s">
        <v>96</v>
      </c>
      <c r="AC2300" t="s">
        <v>97</v>
      </c>
      <c r="AD2300" t="s">
        <v>2859</v>
      </c>
      <c r="AG2300" t="s">
        <v>2916</v>
      </c>
      <c r="AH2300">
        <v>0</v>
      </c>
      <c r="AI2300">
        <v>249</v>
      </c>
      <c r="AJ2300">
        <v>15</v>
      </c>
      <c r="AK2300">
        <v>2408</v>
      </c>
      <c r="AL2300">
        <v>1.1499999999999999</v>
      </c>
    </row>
    <row r="2301" spans="1:38" x14ac:dyDescent="0.3">
      <c r="A2301" t="s">
        <v>2854</v>
      </c>
      <c r="B2301">
        <v>106112</v>
      </c>
      <c r="C2301">
        <v>1</v>
      </c>
      <c r="D2301" t="s">
        <v>2917</v>
      </c>
      <c r="E2301" t="s">
        <v>2168</v>
      </c>
      <c r="F2301">
        <v>80</v>
      </c>
      <c r="G2301">
        <v>31.26</v>
      </c>
      <c r="H2301">
        <v>103.37</v>
      </c>
      <c r="I2301">
        <v>24.85</v>
      </c>
      <c r="J2301">
        <v>82.16</v>
      </c>
      <c r="K2301">
        <v>80</v>
      </c>
      <c r="T2301">
        <v>3</v>
      </c>
      <c r="U2301">
        <v>2</v>
      </c>
      <c r="V2301" t="s">
        <v>93</v>
      </c>
      <c r="W2301">
        <v>103</v>
      </c>
      <c r="X2301">
        <v>12</v>
      </c>
      <c r="Y2301">
        <v>12</v>
      </c>
      <c r="Z2301" t="s">
        <v>2918</v>
      </c>
      <c r="AA2301" t="s">
        <v>2919</v>
      </c>
      <c r="AB2301" t="s">
        <v>96</v>
      </c>
      <c r="AC2301" t="s">
        <v>97</v>
      </c>
      <c r="AD2301" t="s">
        <v>2859</v>
      </c>
      <c r="AG2301" t="s">
        <v>2920</v>
      </c>
      <c r="AH2301">
        <v>0</v>
      </c>
      <c r="AI2301">
        <v>249</v>
      </c>
      <c r="AJ2301">
        <v>29</v>
      </c>
      <c r="AK2301">
        <v>84</v>
      </c>
      <c r="AL2301">
        <v>1.05</v>
      </c>
    </row>
    <row r="2302" spans="1:38" x14ac:dyDescent="0.3">
      <c r="A2302" t="s">
        <v>2854</v>
      </c>
      <c r="B2302">
        <v>2468</v>
      </c>
      <c r="C2302">
        <v>1</v>
      </c>
      <c r="D2302" t="s">
        <v>2921</v>
      </c>
      <c r="E2302" t="s">
        <v>2922</v>
      </c>
      <c r="F2302">
        <v>254</v>
      </c>
      <c r="G2302">
        <v>25.56</v>
      </c>
      <c r="H2302">
        <v>84.52</v>
      </c>
      <c r="I2302">
        <v>22.16</v>
      </c>
      <c r="J2302">
        <v>73.28</v>
      </c>
      <c r="K2302">
        <v>60</v>
      </c>
      <c r="T2302">
        <v>3</v>
      </c>
      <c r="U2302">
        <v>1</v>
      </c>
      <c r="V2302" t="s">
        <v>93</v>
      </c>
      <c r="W2302">
        <v>84</v>
      </c>
      <c r="X2302">
        <v>15</v>
      </c>
      <c r="Y2302">
        <v>13</v>
      </c>
      <c r="Z2302" t="s">
        <v>2923</v>
      </c>
      <c r="AA2302" t="s">
        <v>2924</v>
      </c>
      <c r="AB2302" t="s">
        <v>96</v>
      </c>
      <c r="AC2302" t="s">
        <v>97</v>
      </c>
      <c r="AD2302" t="s">
        <v>2859</v>
      </c>
      <c r="AG2302" t="s">
        <v>2925</v>
      </c>
      <c r="AH2302">
        <v>0</v>
      </c>
      <c r="AI2302">
        <v>172</v>
      </c>
      <c r="AJ2302">
        <v>13</v>
      </c>
      <c r="AK2302">
        <v>0</v>
      </c>
      <c r="AL2302">
        <v>0</v>
      </c>
    </row>
    <row r="2303" spans="1:38" x14ac:dyDescent="0.3">
      <c r="A2303" t="s">
        <v>2854</v>
      </c>
      <c r="B2303">
        <v>2468</v>
      </c>
      <c r="C2303">
        <v>2</v>
      </c>
      <c r="D2303" t="s">
        <v>2921</v>
      </c>
      <c r="E2303" t="s">
        <v>2922</v>
      </c>
      <c r="F2303">
        <v>254</v>
      </c>
      <c r="G2303">
        <v>29.1</v>
      </c>
      <c r="H2303">
        <v>96.21</v>
      </c>
      <c r="I2303">
        <v>25.68</v>
      </c>
      <c r="J2303">
        <v>84.91</v>
      </c>
      <c r="K2303">
        <v>134</v>
      </c>
      <c r="T2303">
        <v>3</v>
      </c>
      <c r="U2303">
        <v>2</v>
      </c>
      <c r="V2303" t="s">
        <v>93</v>
      </c>
      <c r="W2303">
        <v>96</v>
      </c>
      <c r="X2303">
        <v>15</v>
      </c>
      <c r="Y2303">
        <v>13</v>
      </c>
      <c r="Z2303" t="s">
        <v>2923</v>
      </c>
      <c r="AA2303" t="s">
        <v>2924</v>
      </c>
      <c r="AB2303" t="s">
        <v>96</v>
      </c>
      <c r="AC2303" t="s">
        <v>97</v>
      </c>
      <c r="AD2303" t="s">
        <v>2859</v>
      </c>
      <c r="AG2303" t="s">
        <v>2925</v>
      </c>
      <c r="AH2303">
        <v>0</v>
      </c>
      <c r="AI2303">
        <v>172</v>
      </c>
      <c r="AJ2303">
        <v>13</v>
      </c>
      <c r="AK2303">
        <v>0</v>
      </c>
      <c r="AL2303">
        <v>0</v>
      </c>
    </row>
    <row r="2304" spans="1:38" x14ac:dyDescent="0.3">
      <c r="A2304" t="s">
        <v>2854</v>
      </c>
      <c r="B2304">
        <v>2468</v>
      </c>
      <c r="C2304">
        <v>3</v>
      </c>
      <c r="D2304" t="s">
        <v>2921</v>
      </c>
      <c r="E2304" t="s">
        <v>2922</v>
      </c>
      <c r="F2304">
        <v>254</v>
      </c>
      <c r="G2304">
        <v>41.84</v>
      </c>
      <c r="H2304">
        <v>138.34</v>
      </c>
      <c r="I2304">
        <v>38.42</v>
      </c>
      <c r="J2304">
        <v>127.02</v>
      </c>
      <c r="K2304">
        <v>60</v>
      </c>
      <c r="T2304">
        <v>4</v>
      </c>
      <c r="U2304">
        <v>2</v>
      </c>
      <c r="V2304" t="s">
        <v>93</v>
      </c>
      <c r="W2304">
        <v>138</v>
      </c>
      <c r="X2304">
        <v>15</v>
      </c>
      <c r="Y2304">
        <v>13</v>
      </c>
      <c r="Z2304" t="s">
        <v>2923</v>
      </c>
      <c r="AA2304" t="s">
        <v>2924</v>
      </c>
      <c r="AB2304" t="s">
        <v>96</v>
      </c>
      <c r="AC2304" t="s">
        <v>97</v>
      </c>
      <c r="AD2304" t="s">
        <v>2859</v>
      </c>
      <c r="AG2304" t="s">
        <v>2925</v>
      </c>
      <c r="AH2304">
        <v>0</v>
      </c>
      <c r="AI2304">
        <v>172</v>
      </c>
      <c r="AJ2304">
        <v>13</v>
      </c>
      <c r="AK2304">
        <v>0</v>
      </c>
      <c r="AL2304">
        <v>0</v>
      </c>
    </row>
    <row r="2305" spans="1:38" x14ac:dyDescent="0.3">
      <c r="A2305" t="s">
        <v>2854</v>
      </c>
      <c r="B2305">
        <v>8405</v>
      </c>
      <c r="C2305">
        <v>1</v>
      </c>
      <c r="D2305" t="s">
        <v>2926</v>
      </c>
      <c r="E2305" t="s">
        <v>1634</v>
      </c>
      <c r="F2305">
        <v>1480</v>
      </c>
      <c r="G2305">
        <v>25.07</v>
      </c>
      <c r="H2305">
        <v>82.89</v>
      </c>
      <c r="I2305">
        <v>18.07</v>
      </c>
      <c r="J2305">
        <v>59.75</v>
      </c>
      <c r="K2305">
        <v>240</v>
      </c>
      <c r="T2305">
        <v>3</v>
      </c>
      <c r="U2305">
        <v>2</v>
      </c>
      <c r="V2305" t="s">
        <v>93</v>
      </c>
      <c r="W2305">
        <v>82</v>
      </c>
      <c r="X2305">
        <v>20</v>
      </c>
      <c r="Y2305">
        <v>20</v>
      </c>
      <c r="Z2305" t="s">
        <v>2927</v>
      </c>
      <c r="AA2305" t="s">
        <v>2928</v>
      </c>
      <c r="AB2305" t="s">
        <v>96</v>
      </c>
      <c r="AC2305" t="s">
        <v>97</v>
      </c>
      <c r="AD2305" t="s">
        <v>2859</v>
      </c>
      <c r="AG2305" t="s">
        <v>2929</v>
      </c>
      <c r="AH2305">
        <v>0</v>
      </c>
      <c r="AI2305">
        <v>299</v>
      </c>
      <c r="AJ2305">
        <v>20</v>
      </c>
      <c r="AK2305">
        <v>2286</v>
      </c>
      <c r="AL2305">
        <v>1.54</v>
      </c>
    </row>
    <row r="2306" spans="1:38" x14ac:dyDescent="0.3">
      <c r="A2306" t="s">
        <v>2854</v>
      </c>
      <c r="B2306">
        <v>8405</v>
      </c>
      <c r="C2306">
        <v>2</v>
      </c>
      <c r="D2306" t="s">
        <v>2926</v>
      </c>
      <c r="E2306" t="s">
        <v>1634</v>
      </c>
      <c r="F2306">
        <v>1480</v>
      </c>
      <c r="G2306">
        <v>33.26</v>
      </c>
      <c r="H2306">
        <v>109.97</v>
      </c>
      <c r="I2306">
        <v>25.51</v>
      </c>
      <c r="J2306">
        <v>84.36</v>
      </c>
      <c r="K2306">
        <v>520</v>
      </c>
      <c r="T2306">
        <v>3</v>
      </c>
      <c r="U2306">
        <v>2</v>
      </c>
      <c r="V2306" t="s">
        <v>93</v>
      </c>
      <c r="W2306">
        <v>109</v>
      </c>
      <c r="X2306">
        <v>20</v>
      </c>
      <c r="Y2306">
        <v>20</v>
      </c>
      <c r="Z2306" t="s">
        <v>2927</v>
      </c>
      <c r="AA2306" t="s">
        <v>2928</v>
      </c>
      <c r="AB2306" t="s">
        <v>96</v>
      </c>
      <c r="AC2306" t="s">
        <v>97</v>
      </c>
      <c r="AD2306" t="s">
        <v>2859</v>
      </c>
      <c r="AG2306" t="s">
        <v>2929</v>
      </c>
      <c r="AH2306">
        <v>0</v>
      </c>
      <c r="AI2306">
        <v>299</v>
      </c>
      <c r="AJ2306">
        <v>20</v>
      </c>
      <c r="AK2306">
        <v>2286</v>
      </c>
      <c r="AL2306">
        <v>1.54</v>
      </c>
    </row>
    <row r="2307" spans="1:38" x14ac:dyDescent="0.3">
      <c r="A2307" t="s">
        <v>2854</v>
      </c>
      <c r="B2307">
        <v>8405</v>
      </c>
      <c r="C2307">
        <v>3</v>
      </c>
      <c r="D2307" t="s">
        <v>2926</v>
      </c>
      <c r="E2307" t="s">
        <v>1634</v>
      </c>
      <c r="F2307">
        <v>1480</v>
      </c>
      <c r="G2307">
        <v>46.27</v>
      </c>
      <c r="H2307">
        <v>152.96</v>
      </c>
      <c r="I2307">
        <v>37.36</v>
      </c>
      <c r="J2307">
        <v>123.51</v>
      </c>
      <c r="K2307">
        <v>320</v>
      </c>
      <c r="T2307">
        <v>4</v>
      </c>
      <c r="U2307">
        <v>2</v>
      </c>
      <c r="V2307" t="s">
        <v>93</v>
      </c>
      <c r="W2307">
        <v>152</v>
      </c>
      <c r="X2307">
        <v>20</v>
      </c>
      <c r="Y2307">
        <v>20</v>
      </c>
      <c r="Z2307" t="s">
        <v>2927</v>
      </c>
      <c r="AA2307" t="s">
        <v>2928</v>
      </c>
      <c r="AB2307" t="s">
        <v>96</v>
      </c>
      <c r="AC2307" t="s">
        <v>97</v>
      </c>
      <c r="AD2307" t="s">
        <v>2859</v>
      </c>
      <c r="AG2307" t="s">
        <v>2929</v>
      </c>
      <c r="AH2307">
        <v>0</v>
      </c>
      <c r="AI2307">
        <v>299</v>
      </c>
      <c r="AJ2307">
        <v>20</v>
      </c>
      <c r="AK2307">
        <v>2286</v>
      </c>
      <c r="AL2307">
        <v>1.54</v>
      </c>
    </row>
    <row r="2308" spans="1:38" x14ac:dyDescent="0.3">
      <c r="A2308" t="s">
        <v>2854</v>
      </c>
      <c r="B2308">
        <v>8405</v>
      </c>
      <c r="C2308">
        <v>4</v>
      </c>
      <c r="D2308" t="s">
        <v>2926</v>
      </c>
      <c r="E2308" t="s">
        <v>1634</v>
      </c>
      <c r="F2308">
        <v>1480</v>
      </c>
      <c r="G2308">
        <v>53.37</v>
      </c>
      <c r="H2308">
        <v>176.46</v>
      </c>
      <c r="I2308">
        <v>43.75</v>
      </c>
      <c r="J2308">
        <v>144.65</v>
      </c>
      <c r="K2308">
        <v>240</v>
      </c>
      <c r="T2308">
        <v>4</v>
      </c>
      <c r="U2308">
        <v>2</v>
      </c>
      <c r="V2308" t="s">
        <v>93</v>
      </c>
      <c r="W2308">
        <v>176</v>
      </c>
      <c r="X2308">
        <v>20</v>
      </c>
      <c r="Y2308">
        <v>20</v>
      </c>
      <c r="Z2308" t="s">
        <v>2927</v>
      </c>
      <c r="AA2308" t="s">
        <v>2928</v>
      </c>
      <c r="AB2308" t="s">
        <v>96</v>
      </c>
      <c r="AC2308" t="s">
        <v>97</v>
      </c>
      <c r="AD2308" t="s">
        <v>2859</v>
      </c>
      <c r="AG2308" t="s">
        <v>2929</v>
      </c>
      <c r="AH2308">
        <v>0</v>
      </c>
      <c r="AI2308">
        <v>299</v>
      </c>
      <c r="AJ2308">
        <v>20</v>
      </c>
      <c r="AK2308">
        <v>2286</v>
      </c>
      <c r="AL2308">
        <v>1.54</v>
      </c>
    </row>
    <row r="2309" spans="1:38" x14ac:dyDescent="0.3">
      <c r="A2309" t="s">
        <v>2854</v>
      </c>
      <c r="B2309">
        <v>8405</v>
      </c>
      <c r="C2309">
        <v>5</v>
      </c>
      <c r="D2309" t="s">
        <v>2926</v>
      </c>
      <c r="E2309" t="s">
        <v>1634</v>
      </c>
      <c r="F2309">
        <v>1480</v>
      </c>
      <c r="G2309">
        <v>60.72</v>
      </c>
      <c r="H2309">
        <v>200.73</v>
      </c>
      <c r="I2309">
        <v>50.59</v>
      </c>
      <c r="J2309">
        <v>167.26</v>
      </c>
      <c r="K2309">
        <v>160</v>
      </c>
      <c r="T2309">
        <v>5</v>
      </c>
      <c r="U2309">
        <v>2</v>
      </c>
      <c r="V2309" t="s">
        <v>93</v>
      </c>
      <c r="W2309">
        <v>200</v>
      </c>
      <c r="X2309">
        <v>20</v>
      </c>
      <c r="Y2309">
        <v>20</v>
      </c>
      <c r="Z2309" t="s">
        <v>2927</v>
      </c>
      <c r="AA2309" t="s">
        <v>2928</v>
      </c>
      <c r="AB2309" t="s">
        <v>96</v>
      </c>
      <c r="AC2309" t="s">
        <v>97</v>
      </c>
      <c r="AD2309" t="s">
        <v>2859</v>
      </c>
      <c r="AG2309" t="s">
        <v>2929</v>
      </c>
      <c r="AH2309">
        <v>0</v>
      </c>
      <c r="AI2309">
        <v>299</v>
      </c>
      <c r="AJ2309">
        <v>20</v>
      </c>
      <c r="AK2309">
        <v>2286</v>
      </c>
      <c r="AL2309">
        <v>1.54</v>
      </c>
    </row>
    <row r="2310" spans="1:38" x14ac:dyDescent="0.3">
      <c r="A2310" t="s">
        <v>2854</v>
      </c>
      <c r="B2310">
        <v>8902</v>
      </c>
      <c r="C2310">
        <v>1</v>
      </c>
      <c r="D2310" t="s">
        <v>2930</v>
      </c>
      <c r="E2310" t="s">
        <v>2931</v>
      </c>
      <c r="F2310">
        <v>80</v>
      </c>
      <c r="G2310">
        <v>22.75</v>
      </c>
      <c r="H2310">
        <v>75.23</v>
      </c>
      <c r="I2310">
        <v>17.93</v>
      </c>
      <c r="J2310">
        <v>59.3</v>
      </c>
      <c r="K2310">
        <v>80</v>
      </c>
      <c r="T2310">
        <v>3</v>
      </c>
      <c r="U2310">
        <v>2</v>
      </c>
      <c r="V2310" t="s">
        <v>93</v>
      </c>
      <c r="W2310">
        <v>75</v>
      </c>
      <c r="X2310">
        <v>10</v>
      </c>
      <c r="Y2310">
        <v>10</v>
      </c>
      <c r="Z2310" t="s">
        <v>2932</v>
      </c>
      <c r="AA2310" t="s">
        <v>2933</v>
      </c>
      <c r="AB2310" t="s">
        <v>96</v>
      </c>
      <c r="AC2310" t="s">
        <v>97</v>
      </c>
      <c r="AD2310" t="s">
        <v>2859</v>
      </c>
      <c r="AG2310" t="s">
        <v>2934</v>
      </c>
      <c r="AH2310">
        <v>0</v>
      </c>
      <c r="AI2310">
        <v>213</v>
      </c>
      <c r="AJ2310">
        <v>24</v>
      </c>
      <c r="AK2310">
        <v>47</v>
      </c>
      <c r="AL2310">
        <v>0.59</v>
      </c>
    </row>
    <row r="2311" spans="1:38" x14ac:dyDescent="0.3">
      <c r="A2311" t="s">
        <v>2854</v>
      </c>
      <c r="B2311">
        <v>2465</v>
      </c>
      <c r="C2311">
        <v>1</v>
      </c>
      <c r="D2311" t="s">
        <v>2935</v>
      </c>
      <c r="E2311" t="s">
        <v>2936</v>
      </c>
      <c r="F2311">
        <v>630</v>
      </c>
      <c r="G2311">
        <v>16.63</v>
      </c>
      <c r="H2311">
        <v>55</v>
      </c>
      <c r="I2311">
        <v>13.25</v>
      </c>
      <c r="J2311">
        <v>43.82</v>
      </c>
      <c r="K2311">
        <v>150</v>
      </c>
      <c r="T2311">
        <v>2</v>
      </c>
      <c r="U2311">
        <v>1</v>
      </c>
      <c r="V2311" t="s">
        <v>93</v>
      </c>
      <c r="W2311">
        <v>55</v>
      </c>
      <c r="X2311">
        <v>15</v>
      </c>
      <c r="Y2311">
        <v>15</v>
      </c>
      <c r="Z2311" t="s">
        <v>2937</v>
      </c>
      <c r="AA2311" t="s">
        <v>2938</v>
      </c>
      <c r="AB2311" t="s">
        <v>96</v>
      </c>
      <c r="AC2311" t="s">
        <v>97</v>
      </c>
      <c r="AD2311" t="s">
        <v>2859</v>
      </c>
      <c r="AG2311" t="s">
        <v>2939</v>
      </c>
      <c r="AH2311">
        <v>0</v>
      </c>
      <c r="AI2311">
        <v>212</v>
      </c>
      <c r="AJ2311">
        <v>17</v>
      </c>
      <c r="AK2311">
        <v>0</v>
      </c>
      <c r="AL2311">
        <v>0</v>
      </c>
    </row>
    <row r="2312" spans="1:38" x14ac:dyDescent="0.3">
      <c r="A2312" t="s">
        <v>2854</v>
      </c>
      <c r="B2312">
        <v>2465</v>
      </c>
      <c r="C2312">
        <v>2</v>
      </c>
      <c r="D2312" t="s">
        <v>2935</v>
      </c>
      <c r="E2312" t="s">
        <v>2936</v>
      </c>
      <c r="F2312">
        <v>630</v>
      </c>
      <c r="G2312">
        <v>21.72</v>
      </c>
      <c r="H2312">
        <v>71.81</v>
      </c>
      <c r="I2312">
        <v>17.309999999999999</v>
      </c>
      <c r="J2312">
        <v>57.23</v>
      </c>
      <c r="K2312">
        <v>150</v>
      </c>
      <c r="T2312">
        <v>3</v>
      </c>
      <c r="U2312">
        <v>1</v>
      </c>
      <c r="V2312" t="s">
        <v>93</v>
      </c>
      <c r="W2312">
        <v>71</v>
      </c>
      <c r="X2312">
        <v>15</v>
      </c>
      <c r="Y2312">
        <v>15</v>
      </c>
      <c r="Z2312" t="s">
        <v>2937</v>
      </c>
      <c r="AA2312" t="s">
        <v>2938</v>
      </c>
      <c r="AB2312" t="s">
        <v>96</v>
      </c>
      <c r="AC2312" t="s">
        <v>97</v>
      </c>
      <c r="AD2312" t="s">
        <v>2859</v>
      </c>
      <c r="AG2312" t="s">
        <v>2939</v>
      </c>
      <c r="AH2312">
        <v>0</v>
      </c>
      <c r="AI2312">
        <v>212</v>
      </c>
      <c r="AJ2312">
        <v>17</v>
      </c>
      <c r="AK2312">
        <v>0</v>
      </c>
      <c r="AL2312">
        <v>0</v>
      </c>
    </row>
    <row r="2313" spans="1:38" x14ac:dyDescent="0.3">
      <c r="A2313" t="s">
        <v>2854</v>
      </c>
      <c r="B2313">
        <v>2465</v>
      </c>
      <c r="C2313">
        <v>3</v>
      </c>
      <c r="D2313" t="s">
        <v>2935</v>
      </c>
      <c r="E2313" t="s">
        <v>2936</v>
      </c>
      <c r="F2313">
        <v>630</v>
      </c>
      <c r="G2313">
        <v>26.94</v>
      </c>
      <c r="H2313">
        <v>89.06</v>
      </c>
      <c r="I2313">
        <v>22.16</v>
      </c>
      <c r="J2313">
        <v>73.28</v>
      </c>
      <c r="K2313">
        <v>60</v>
      </c>
      <c r="T2313">
        <v>3</v>
      </c>
      <c r="U2313">
        <v>1</v>
      </c>
      <c r="V2313" t="s">
        <v>93</v>
      </c>
      <c r="W2313">
        <v>89</v>
      </c>
      <c r="X2313">
        <v>15</v>
      </c>
      <c r="Y2313">
        <v>15</v>
      </c>
      <c r="Z2313" t="s">
        <v>2937</v>
      </c>
      <c r="AA2313" t="s">
        <v>2938</v>
      </c>
      <c r="AB2313" t="s">
        <v>96</v>
      </c>
      <c r="AC2313" t="s">
        <v>97</v>
      </c>
      <c r="AD2313" t="s">
        <v>2859</v>
      </c>
      <c r="AG2313" t="s">
        <v>2939</v>
      </c>
      <c r="AH2313">
        <v>0</v>
      </c>
      <c r="AI2313">
        <v>212</v>
      </c>
      <c r="AJ2313">
        <v>17</v>
      </c>
      <c r="AK2313">
        <v>0</v>
      </c>
      <c r="AL2313">
        <v>0</v>
      </c>
    </row>
    <row r="2314" spans="1:38" x14ac:dyDescent="0.3">
      <c r="A2314" t="s">
        <v>2854</v>
      </c>
      <c r="B2314">
        <v>2465</v>
      </c>
      <c r="C2314">
        <v>4</v>
      </c>
      <c r="D2314" t="s">
        <v>2935</v>
      </c>
      <c r="E2314" t="s">
        <v>2936</v>
      </c>
      <c r="F2314">
        <v>630</v>
      </c>
      <c r="G2314">
        <v>30.96</v>
      </c>
      <c r="H2314">
        <v>102.38</v>
      </c>
      <c r="I2314">
        <v>25.68</v>
      </c>
      <c r="J2314">
        <v>84.91</v>
      </c>
      <c r="K2314">
        <v>120</v>
      </c>
      <c r="T2314">
        <v>3</v>
      </c>
      <c r="U2314">
        <v>2</v>
      </c>
      <c r="V2314" t="s">
        <v>93</v>
      </c>
      <c r="W2314">
        <v>102</v>
      </c>
      <c r="X2314">
        <v>15</v>
      </c>
      <c r="Y2314">
        <v>15</v>
      </c>
      <c r="Z2314" t="s">
        <v>2937</v>
      </c>
      <c r="AA2314" t="s">
        <v>2938</v>
      </c>
      <c r="AB2314" t="s">
        <v>96</v>
      </c>
      <c r="AC2314" t="s">
        <v>97</v>
      </c>
      <c r="AD2314" t="s">
        <v>2859</v>
      </c>
      <c r="AG2314" t="s">
        <v>2939</v>
      </c>
      <c r="AH2314">
        <v>0</v>
      </c>
      <c r="AI2314">
        <v>212</v>
      </c>
      <c r="AJ2314">
        <v>17</v>
      </c>
      <c r="AK2314">
        <v>0</v>
      </c>
      <c r="AL2314">
        <v>0</v>
      </c>
    </row>
    <row r="2315" spans="1:38" x14ac:dyDescent="0.3">
      <c r="A2315" t="s">
        <v>2854</v>
      </c>
      <c r="B2315">
        <v>2465</v>
      </c>
      <c r="C2315">
        <v>5</v>
      </c>
      <c r="D2315" t="s">
        <v>2935</v>
      </c>
      <c r="E2315" t="s">
        <v>2936</v>
      </c>
      <c r="F2315">
        <v>630</v>
      </c>
      <c r="G2315">
        <v>39.85</v>
      </c>
      <c r="H2315">
        <v>131.75</v>
      </c>
      <c r="I2315">
        <v>33.93</v>
      </c>
      <c r="J2315">
        <v>112.17</v>
      </c>
      <c r="K2315">
        <v>60</v>
      </c>
      <c r="T2315">
        <v>4</v>
      </c>
      <c r="U2315">
        <v>2</v>
      </c>
      <c r="V2315" t="s">
        <v>93</v>
      </c>
      <c r="W2315">
        <v>131</v>
      </c>
      <c r="X2315">
        <v>15</v>
      </c>
      <c r="Y2315">
        <v>15</v>
      </c>
      <c r="Z2315" t="s">
        <v>2937</v>
      </c>
      <c r="AA2315" t="s">
        <v>2938</v>
      </c>
      <c r="AB2315" t="s">
        <v>96</v>
      </c>
      <c r="AC2315" t="s">
        <v>97</v>
      </c>
      <c r="AD2315" t="s">
        <v>2859</v>
      </c>
      <c r="AG2315" t="s">
        <v>2939</v>
      </c>
      <c r="AH2315">
        <v>0</v>
      </c>
      <c r="AI2315">
        <v>212</v>
      </c>
      <c r="AJ2315">
        <v>17</v>
      </c>
      <c r="AK2315">
        <v>0</v>
      </c>
      <c r="AL2315">
        <v>0</v>
      </c>
    </row>
    <row r="2316" spans="1:38" x14ac:dyDescent="0.3">
      <c r="A2316" t="s">
        <v>2854</v>
      </c>
      <c r="B2316">
        <v>2465</v>
      </c>
      <c r="C2316">
        <v>6</v>
      </c>
      <c r="D2316" t="s">
        <v>2935</v>
      </c>
      <c r="E2316" t="s">
        <v>2936</v>
      </c>
      <c r="F2316">
        <v>630</v>
      </c>
      <c r="G2316">
        <v>44.83</v>
      </c>
      <c r="H2316">
        <v>148.22999999999999</v>
      </c>
      <c r="I2316">
        <v>38.42</v>
      </c>
      <c r="J2316">
        <v>127.02</v>
      </c>
      <c r="K2316">
        <v>90</v>
      </c>
      <c r="T2316">
        <v>4</v>
      </c>
      <c r="U2316">
        <v>2</v>
      </c>
      <c r="V2316" t="s">
        <v>93</v>
      </c>
      <c r="W2316">
        <v>148</v>
      </c>
      <c r="X2316">
        <v>15</v>
      </c>
      <c r="Y2316">
        <v>15</v>
      </c>
      <c r="Z2316" t="s">
        <v>2937</v>
      </c>
      <c r="AA2316" t="s">
        <v>2938</v>
      </c>
      <c r="AB2316" t="s">
        <v>96</v>
      </c>
      <c r="AC2316" t="s">
        <v>97</v>
      </c>
      <c r="AD2316" t="s">
        <v>2859</v>
      </c>
      <c r="AG2316" t="s">
        <v>2939</v>
      </c>
      <c r="AH2316">
        <v>0</v>
      </c>
      <c r="AI2316">
        <v>212</v>
      </c>
      <c r="AJ2316">
        <v>17</v>
      </c>
      <c r="AK2316">
        <v>0</v>
      </c>
      <c r="AL2316">
        <v>0</v>
      </c>
    </row>
    <row r="2317" spans="1:38" x14ac:dyDescent="0.3">
      <c r="A2317" t="s">
        <v>2854</v>
      </c>
      <c r="B2317">
        <v>11092</v>
      </c>
      <c r="C2317">
        <v>1</v>
      </c>
      <c r="D2317" t="s">
        <v>1704</v>
      </c>
      <c r="E2317" t="s">
        <v>2940</v>
      </c>
      <c r="F2317">
        <v>114</v>
      </c>
      <c r="G2317">
        <v>21.05</v>
      </c>
      <c r="H2317">
        <v>69.61</v>
      </c>
      <c r="I2317">
        <v>16.489999999999998</v>
      </c>
      <c r="J2317">
        <v>54.54</v>
      </c>
      <c r="K2317">
        <v>42</v>
      </c>
      <c r="T2317">
        <v>3</v>
      </c>
      <c r="U2317">
        <v>1</v>
      </c>
      <c r="V2317" t="s">
        <v>93</v>
      </c>
      <c r="W2317">
        <v>69</v>
      </c>
      <c r="X2317">
        <v>6</v>
      </c>
      <c r="Y2317">
        <v>6</v>
      </c>
      <c r="Z2317" t="s">
        <v>2941</v>
      </c>
      <c r="AA2317" t="s">
        <v>2942</v>
      </c>
      <c r="AB2317" t="s">
        <v>96</v>
      </c>
      <c r="AC2317" t="s">
        <v>97</v>
      </c>
      <c r="AD2317" t="s">
        <v>2859</v>
      </c>
      <c r="AG2317" t="s">
        <v>2943</v>
      </c>
      <c r="AH2317">
        <v>0</v>
      </c>
      <c r="AI2317">
        <v>200</v>
      </c>
      <c r="AJ2317">
        <v>39</v>
      </c>
      <c r="AK2317">
        <v>114</v>
      </c>
      <c r="AL2317">
        <v>1</v>
      </c>
    </row>
    <row r="2318" spans="1:38" x14ac:dyDescent="0.3">
      <c r="A2318" t="s">
        <v>2854</v>
      </c>
      <c r="B2318">
        <v>11092</v>
      </c>
      <c r="C2318">
        <v>2</v>
      </c>
      <c r="D2318" t="s">
        <v>1704</v>
      </c>
      <c r="E2318" t="s">
        <v>2940</v>
      </c>
      <c r="F2318">
        <v>114</v>
      </c>
      <c r="G2318">
        <v>21.62</v>
      </c>
      <c r="H2318">
        <v>71.48</v>
      </c>
      <c r="I2318">
        <v>16.98</v>
      </c>
      <c r="J2318">
        <v>56.16</v>
      </c>
      <c r="K2318">
        <v>6</v>
      </c>
      <c r="T2318">
        <v>3</v>
      </c>
      <c r="U2318">
        <v>1</v>
      </c>
      <c r="V2318" t="s">
        <v>93</v>
      </c>
      <c r="W2318">
        <v>71</v>
      </c>
      <c r="X2318">
        <v>6</v>
      </c>
      <c r="Y2318">
        <v>6</v>
      </c>
      <c r="Z2318" t="s">
        <v>2941</v>
      </c>
      <c r="AA2318" t="s">
        <v>2942</v>
      </c>
      <c r="AB2318" t="s">
        <v>96</v>
      </c>
      <c r="AC2318" t="s">
        <v>97</v>
      </c>
      <c r="AD2318" t="s">
        <v>2859</v>
      </c>
      <c r="AG2318" t="s">
        <v>2943</v>
      </c>
      <c r="AH2318">
        <v>0</v>
      </c>
      <c r="AI2318">
        <v>200</v>
      </c>
      <c r="AJ2318">
        <v>39</v>
      </c>
      <c r="AK2318">
        <v>114</v>
      </c>
      <c r="AL2318">
        <v>1</v>
      </c>
    </row>
    <row r="2319" spans="1:38" x14ac:dyDescent="0.3">
      <c r="A2319" t="s">
        <v>2854</v>
      </c>
      <c r="B2319">
        <v>11092</v>
      </c>
      <c r="C2319">
        <v>3</v>
      </c>
      <c r="D2319" t="s">
        <v>1704</v>
      </c>
      <c r="E2319" t="s">
        <v>2940</v>
      </c>
      <c r="F2319">
        <v>114</v>
      </c>
      <c r="G2319">
        <v>22.64</v>
      </c>
      <c r="H2319">
        <v>74.849999999999994</v>
      </c>
      <c r="I2319">
        <v>17.91</v>
      </c>
      <c r="J2319">
        <v>59.22</v>
      </c>
      <c r="K2319">
        <v>48</v>
      </c>
      <c r="T2319">
        <v>3</v>
      </c>
      <c r="U2319">
        <v>1</v>
      </c>
      <c r="V2319" t="s">
        <v>93</v>
      </c>
      <c r="W2319" t="s">
        <v>406</v>
      </c>
      <c r="X2319">
        <v>6</v>
      </c>
      <c r="Y2319">
        <v>6</v>
      </c>
      <c r="Z2319" t="s">
        <v>2941</v>
      </c>
      <c r="AA2319" t="s">
        <v>2942</v>
      </c>
      <c r="AB2319" t="s">
        <v>96</v>
      </c>
      <c r="AC2319" t="s">
        <v>97</v>
      </c>
      <c r="AD2319" t="s">
        <v>2859</v>
      </c>
      <c r="AG2319" t="s">
        <v>2943</v>
      </c>
      <c r="AH2319">
        <v>0</v>
      </c>
      <c r="AI2319">
        <v>200</v>
      </c>
      <c r="AJ2319">
        <v>39</v>
      </c>
      <c r="AK2319">
        <v>114</v>
      </c>
      <c r="AL2319">
        <v>1</v>
      </c>
    </row>
    <row r="2320" spans="1:38" x14ac:dyDescent="0.3">
      <c r="A2320" t="s">
        <v>2854</v>
      </c>
      <c r="B2320">
        <v>11092</v>
      </c>
      <c r="C2320">
        <v>4</v>
      </c>
      <c r="D2320" t="s">
        <v>1704</v>
      </c>
      <c r="E2320" t="s">
        <v>2940</v>
      </c>
      <c r="F2320">
        <v>114</v>
      </c>
      <c r="G2320">
        <v>23.23</v>
      </c>
      <c r="H2320">
        <v>76.8</v>
      </c>
      <c r="I2320">
        <v>18.32</v>
      </c>
      <c r="J2320">
        <v>60.57</v>
      </c>
      <c r="K2320">
        <v>12</v>
      </c>
      <c r="T2320">
        <v>3</v>
      </c>
      <c r="U2320">
        <v>1</v>
      </c>
      <c r="V2320" t="s">
        <v>93</v>
      </c>
      <c r="W2320" t="s">
        <v>1126</v>
      </c>
      <c r="X2320">
        <v>6</v>
      </c>
      <c r="Y2320">
        <v>6</v>
      </c>
      <c r="Z2320" t="s">
        <v>2941</v>
      </c>
      <c r="AA2320" t="s">
        <v>2942</v>
      </c>
      <c r="AB2320" t="s">
        <v>96</v>
      </c>
      <c r="AC2320" t="s">
        <v>97</v>
      </c>
      <c r="AD2320" t="s">
        <v>2859</v>
      </c>
      <c r="AG2320" t="s">
        <v>2943</v>
      </c>
      <c r="AH2320">
        <v>0</v>
      </c>
      <c r="AI2320">
        <v>200</v>
      </c>
      <c r="AJ2320">
        <v>39</v>
      </c>
      <c r="AK2320">
        <v>114</v>
      </c>
      <c r="AL2320">
        <v>1</v>
      </c>
    </row>
    <row r="2321" spans="1:38" x14ac:dyDescent="0.3">
      <c r="A2321" t="s">
        <v>2854</v>
      </c>
      <c r="B2321">
        <v>11092</v>
      </c>
      <c r="C2321">
        <v>5</v>
      </c>
      <c r="D2321" t="s">
        <v>1704</v>
      </c>
      <c r="E2321" t="s">
        <v>2940</v>
      </c>
      <c r="F2321">
        <v>114</v>
      </c>
      <c r="G2321">
        <v>26.64</v>
      </c>
      <c r="H2321">
        <v>88.07</v>
      </c>
      <c r="I2321">
        <v>21.34</v>
      </c>
      <c r="J2321">
        <v>70.56</v>
      </c>
      <c r="K2321">
        <v>6</v>
      </c>
      <c r="T2321">
        <v>3</v>
      </c>
      <c r="U2321">
        <v>2</v>
      </c>
      <c r="V2321" t="s">
        <v>211</v>
      </c>
      <c r="W2321">
        <v>88</v>
      </c>
      <c r="X2321">
        <v>6</v>
      </c>
      <c r="Y2321">
        <v>6</v>
      </c>
      <c r="Z2321" t="s">
        <v>2941</v>
      </c>
      <c r="AA2321" t="s">
        <v>2942</v>
      </c>
      <c r="AB2321" t="s">
        <v>96</v>
      </c>
      <c r="AC2321" t="s">
        <v>97</v>
      </c>
      <c r="AD2321" t="s">
        <v>2859</v>
      </c>
      <c r="AG2321" t="s">
        <v>2943</v>
      </c>
      <c r="AH2321">
        <v>0</v>
      </c>
      <c r="AI2321">
        <v>200</v>
      </c>
      <c r="AJ2321">
        <v>39</v>
      </c>
      <c r="AK2321">
        <v>114</v>
      </c>
      <c r="AL2321">
        <v>1</v>
      </c>
    </row>
    <row r="2322" spans="1:38" x14ac:dyDescent="0.3">
      <c r="A2322" t="s">
        <v>2854</v>
      </c>
      <c r="B2322">
        <v>8903</v>
      </c>
      <c r="C2322">
        <v>1</v>
      </c>
      <c r="D2322" t="s">
        <v>2944</v>
      </c>
      <c r="E2322" t="s">
        <v>2945</v>
      </c>
      <c r="F2322">
        <v>44</v>
      </c>
      <c r="G2322">
        <v>25.53</v>
      </c>
      <c r="H2322">
        <v>84.41</v>
      </c>
      <c r="I2322">
        <v>18.079999999999998</v>
      </c>
      <c r="J2322">
        <v>59.8</v>
      </c>
      <c r="K2322">
        <v>44</v>
      </c>
      <c r="T2322">
        <v>3</v>
      </c>
      <c r="U2322">
        <v>1</v>
      </c>
      <c r="V2322" t="s">
        <v>132</v>
      </c>
      <c r="W2322">
        <v>84</v>
      </c>
      <c r="X2322">
        <v>12</v>
      </c>
      <c r="Y2322">
        <v>8</v>
      </c>
      <c r="Z2322" t="s">
        <v>2946</v>
      </c>
      <c r="AA2322" t="s">
        <v>2947</v>
      </c>
      <c r="AB2322" t="s">
        <v>96</v>
      </c>
      <c r="AC2322" t="s">
        <v>97</v>
      </c>
      <c r="AD2322" t="s">
        <v>2859</v>
      </c>
      <c r="AG2322" t="s">
        <v>2948</v>
      </c>
      <c r="AH2322">
        <v>0</v>
      </c>
      <c r="AI2322">
        <v>230</v>
      </c>
      <c r="AJ2322">
        <v>27</v>
      </c>
      <c r="AK2322">
        <v>44</v>
      </c>
      <c r="AL2322">
        <v>1</v>
      </c>
    </row>
    <row r="2323" spans="1:38" x14ac:dyDescent="0.3">
      <c r="A2323" t="s">
        <v>2854</v>
      </c>
      <c r="B2323">
        <v>8899</v>
      </c>
      <c r="C2323">
        <v>1</v>
      </c>
      <c r="D2323" t="s">
        <v>2949</v>
      </c>
      <c r="E2323" t="s">
        <v>2950</v>
      </c>
      <c r="F2323">
        <v>312</v>
      </c>
      <c r="G2323">
        <v>12.12</v>
      </c>
      <c r="H2323">
        <v>40.08</v>
      </c>
      <c r="I2323">
        <v>7.98</v>
      </c>
      <c r="J2323">
        <v>26.39</v>
      </c>
      <c r="K2323">
        <v>84</v>
      </c>
      <c r="T2323">
        <v>1</v>
      </c>
      <c r="U2323">
        <v>1</v>
      </c>
      <c r="V2323" t="s">
        <v>93</v>
      </c>
      <c r="W2323">
        <v>40</v>
      </c>
      <c r="X2323">
        <v>19</v>
      </c>
      <c r="Y2323">
        <v>9</v>
      </c>
      <c r="Z2323" t="s">
        <v>2951</v>
      </c>
      <c r="AA2323" t="s">
        <v>2952</v>
      </c>
      <c r="AB2323" t="s">
        <v>96</v>
      </c>
      <c r="AC2323" t="s">
        <v>97</v>
      </c>
      <c r="AD2323" t="s">
        <v>2859</v>
      </c>
      <c r="AG2323" t="s">
        <v>2953</v>
      </c>
      <c r="AH2323">
        <v>0</v>
      </c>
      <c r="AI2323">
        <v>277</v>
      </c>
      <c r="AJ2323">
        <v>25</v>
      </c>
      <c r="AK2323">
        <v>320</v>
      </c>
      <c r="AL2323">
        <v>1.03</v>
      </c>
    </row>
    <row r="2324" spans="1:38" x14ac:dyDescent="0.3">
      <c r="A2324" t="s">
        <v>2854</v>
      </c>
      <c r="B2324">
        <v>8899</v>
      </c>
      <c r="C2324">
        <v>2</v>
      </c>
      <c r="D2324" t="s">
        <v>2949</v>
      </c>
      <c r="E2324" t="s">
        <v>2950</v>
      </c>
      <c r="F2324">
        <v>312</v>
      </c>
      <c r="G2324">
        <v>22.66</v>
      </c>
      <c r="H2324">
        <v>74.91</v>
      </c>
      <c r="I2324">
        <v>18.11</v>
      </c>
      <c r="J2324">
        <v>59.89</v>
      </c>
      <c r="K2324">
        <v>52</v>
      </c>
      <c r="T2324">
        <v>3</v>
      </c>
      <c r="U2324">
        <v>1</v>
      </c>
      <c r="V2324" t="s">
        <v>93</v>
      </c>
      <c r="W2324">
        <v>74</v>
      </c>
      <c r="X2324">
        <v>19</v>
      </c>
      <c r="Y2324">
        <v>9</v>
      </c>
      <c r="Z2324" t="s">
        <v>2951</v>
      </c>
      <c r="AA2324" t="s">
        <v>2952</v>
      </c>
      <c r="AB2324" t="s">
        <v>96</v>
      </c>
      <c r="AC2324" t="s">
        <v>97</v>
      </c>
      <c r="AD2324" t="s">
        <v>2859</v>
      </c>
      <c r="AG2324" t="s">
        <v>2953</v>
      </c>
      <c r="AH2324">
        <v>0</v>
      </c>
      <c r="AI2324">
        <v>277</v>
      </c>
      <c r="AJ2324">
        <v>25</v>
      </c>
      <c r="AK2324">
        <v>320</v>
      </c>
      <c r="AL2324">
        <v>1.03</v>
      </c>
    </row>
    <row r="2325" spans="1:38" x14ac:dyDescent="0.3">
      <c r="A2325" t="s">
        <v>2854</v>
      </c>
      <c r="B2325">
        <v>8899</v>
      </c>
      <c r="C2325">
        <v>3</v>
      </c>
      <c r="D2325" t="s">
        <v>2949</v>
      </c>
      <c r="E2325" t="s">
        <v>2950</v>
      </c>
      <c r="F2325">
        <v>312</v>
      </c>
      <c r="G2325">
        <v>32.15</v>
      </c>
      <c r="H2325">
        <v>106.3</v>
      </c>
      <c r="I2325">
        <v>25.7</v>
      </c>
      <c r="J2325">
        <v>84.98</v>
      </c>
      <c r="K2325">
        <v>176</v>
      </c>
      <c r="T2325">
        <v>3</v>
      </c>
      <c r="U2325">
        <v>2</v>
      </c>
      <c r="V2325" t="s">
        <v>93</v>
      </c>
      <c r="W2325">
        <v>106</v>
      </c>
      <c r="X2325">
        <v>19</v>
      </c>
      <c r="Y2325">
        <v>9</v>
      </c>
      <c r="Z2325" t="s">
        <v>2951</v>
      </c>
      <c r="AA2325" t="s">
        <v>2952</v>
      </c>
      <c r="AB2325" t="s">
        <v>96</v>
      </c>
      <c r="AC2325" t="s">
        <v>97</v>
      </c>
      <c r="AD2325" t="s">
        <v>2859</v>
      </c>
      <c r="AG2325" t="s">
        <v>2953</v>
      </c>
      <c r="AH2325">
        <v>0</v>
      </c>
      <c r="AI2325">
        <v>277</v>
      </c>
      <c r="AJ2325">
        <v>25</v>
      </c>
      <c r="AK2325">
        <v>320</v>
      </c>
      <c r="AL2325">
        <v>1.03</v>
      </c>
    </row>
    <row r="2326" spans="1:38" x14ac:dyDescent="0.3">
      <c r="A2326" t="s">
        <v>2854</v>
      </c>
      <c r="B2326">
        <v>2467</v>
      </c>
      <c r="C2326">
        <v>1</v>
      </c>
      <c r="D2326" t="s">
        <v>2954</v>
      </c>
      <c r="E2326" t="s">
        <v>1528</v>
      </c>
      <c r="F2326">
        <v>594</v>
      </c>
      <c r="G2326">
        <v>20.45</v>
      </c>
      <c r="H2326">
        <v>67.63</v>
      </c>
      <c r="I2326">
        <v>17.309999999999999</v>
      </c>
      <c r="J2326">
        <v>57.23</v>
      </c>
      <c r="K2326">
        <v>72</v>
      </c>
      <c r="T2326">
        <v>2</v>
      </c>
      <c r="U2326">
        <v>1</v>
      </c>
      <c r="V2326" t="s">
        <v>93</v>
      </c>
      <c r="W2326">
        <v>67</v>
      </c>
      <c r="X2326">
        <v>18</v>
      </c>
      <c r="Y2326">
        <v>15</v>
      </c>
      <c r="Z2326" t="s">
        <v>2955</v>
      </c>
      <c r="AA2326" t="s">
        <v>2956</v>
      </c>
      <c r="AB2326" t="s">
        <v>96</v>
      </c>
      <c r="AC2326" t="s">
        <v>97</v>
      </c>
      <c r="AD2326" t="s">
        <v>2859</v>
      </c>
      <c r="AG2326" t="s">
        <v>2957</v>
      </c>
      <c r="AH2326">
        <v>0</v>
      </c>
      <c r="AI2326">
        <v>251</v>
      </c>
      <c r="AJ2326">
        <v>0</v>
      </c>
      <c r="AK2326">
        <v>0</v>
      </c>
      <c r="AL2326">
        <v>0</v>
      </c>
    </row>
    <row r="2327" spans="1:38" x14ac:dyDescent="0.3">
      <c r="A2327" t="s">
        <v>2854</v>
      </c>
      <c r="B2327">
        <v>2467</v>
      </c>
      <c r="C2327">
        <v>2</v>
      </c>
      <c r="D2327" t="s">
        <v>2954</v>
      </c>
      <c r="E2327" t="s">
        <v>1528</v>
      </c>
      <c r="F2327">
        <v>594</v>
      </c>
      <c r="G2327">
        <v>24.15</v>
      </c>
      <c r="H2327">
        <v>79.849999999999994</v>
      </c>
      <c r="I2327">
        <v>20.84</v>
      </c>
      <c r="J2327">
        <v>68.91</v>
      </c>
      <c r="K2327">
        <v>72</v>
      </c>
      <c r="T2327">
        <v>3</v>
      </c>
      <c r="U2327">
        <v>1</v>
      </c>
      <c r="V2327" t="s">
        <v>93</v>
      </c>
      <c r="W2327">
        <v>79</v>
      </c>
      <c r="X2327">
        <v>18</v>
      </c>
      <c r="Y2327">
        <v>15</v>
      </c>
      <c r="Z2327" t="s">
        <v>2955</v>
      </c>
      <c r="AA2327" t="s">
        <v>2956</v>
      </c>
      <c r="AB2327" t="s">
        <v>96</v>
      </c>
      <c r="AC2327" t="s">
        <v>97</v>
      </c>
      <c r="AD2327" t="s">
        <v>2859</v>
      </c>
      <c r="AG2327" t="s">
        <v>2957</v>
      </c>
      <c r="AH2327">
        <v>0</v>
      </c>
      <c r="AI2327">
        <v>251</v>
      </c>
      <c r="AJ2327">
        <v>0</v>
      </c>
      <c r="AK2327">
        <v>0</v>
      </c>
      <c r="AL2327">
        <v>0</v>
      </c>
    </row>
    <row r="2328" spans="1:38" x14ac:dyDescent="0.3">
      <c r="A2328" t="s">
        <v>2854</v>
      </c>
      <c r="B2328">
        <v>2467</v>
      </c>
      <c r="C2328">
        <v>3</v>
      </c>
      <c r="D2328" t="s">
        <v>2954</v>
      </c>
      <c r="E2328" t="s">
        <v>1528</v>
      </c>
      <c r="F2328">
        <v>594</v>
      </c>
      <c r="G2328">
        <v>25.56</v>
      </c>
      <c r="H2328">
        <v>84.5</v>
      </c>
      <c r="I2328">
        <v>22.16</v>
      </c>
      <c r="J2328">
        <v>73.28</v>
      </c>
      <c r="K2328">
        <v>60</v>
      </c>
      <c r="T2328">
        <v>3</v>
      </c>
      <c r="U2328">
        <v>1</v>
      </c>
      <c r="V2328" t="s">
        <v>93</v>
      </c>
      <c r="W2328">
        <v>84</v>
      </c>
      <c r="X2328">
        <v>18</v>
      </c>
      <c r="Y2328">
        <v>15</v>
      </c>
      <c r="Z2328" t="s">
        <v>2955</v>
      </c>
      <c r="AA2328" t="s">
        <v>2956</v>
      </c>
      <c r="AB2328" t="s">
        <v>96</v>
      </c>
      <c r="AC2328" t="s">
        <v>97</v>
      </c>
      <c r="AD2328" t="s">
        <v>2859</v>
      </c>
      <c r="AG2328" t="s">
        <v>2957</v>
      </c>
      <c r="AH2328">
        <v>0</v>
      </c>
      <c r="AI2328">
        <v>251</v>
      </c>
      <c r="AJ2328">
        <v>0</v>
      </c>
      <c r="AK2328">
        <v>0</v>
      </c>
      <c r="AL2328">
        <v>0</v>
      </c>
    </row>
    <row r="2329" spans="1:38" x14ac:dyDescent="0.3">
      <c r="A2329" t="s">
        <v>2854</v>
      </c>
      <c r="B2329">
        <v>2467</v>
      </c>
      <c r="C2329">
        <v>4</v>
      </c>
      <c r="D2329" t="s">
        <v>2954</v>
      </c>
      <c r="E2329" t="s">
        <v>1528</v>
      </c>
      <c r="F2329">
        <v>594</v>
      </c>
      <c r="G2329">
        <v>29.09</v>
      </c>
      <c r="H2329">
        <v>96.17</v>
      </c>
      <c r="I2329">
        <v>25.68</v>
      </c>
      <c r="J2329">
        <v>84.91</v>
      </c>
      <c r="K2329">
        <v>120</v>
      </c>
      <c r="T2329">
        <v>3</v>
      </c>
      <c r="U2329">
        <v>2</v>
      </c>
      <c r="V2329" t="s">
        <v>93</v>
      </c>
      <c r="W2329">
        <v>96</v>
      </c>
      <c r="X2329">
        <v>18</v>
      </c>
      <c r="Y2329">
        <v>15</v>
      </c>
      <c r="Z2329" t="s">
        <v>2955</v>
      </c>
      <c r="AA2329" t="s">
        <v>2956</v>
      </c>
      <c r="AB2329" t="s">
        <v>96</v>
      </c>
      <c r="AC2329" t="s">
        <v>97</v>
      </c>
      <c r="AD2329" t="s">
        <v>2859</v>
      </c>
      <c r="AG2329" t="s">
        <v>2957</v>
      </c>
      <c r="AH2329">
        <v>0</v>
      </c>
      <c r="AI2329">
        <v>251</v>
      </c>
      <c r="AJ2329">
        <v>0</v>
      </c>
      <c r="AK2329">
        <v>0</v>
      </c>
      <c r="AL2329">
        <v>0</v>
      </c>
    </row>
    <row r="2330" spans="1:38" x14ac:dyDescent="0.3">
      <c r="A2330" t="s">
        <v>2854</v>
      </c>
      <c r="B2330">
        <v>2467</v>
      </c>
      <c r="C2330">
        <v>5</v>
      </c>
      <c r="D2330" t="s">
        <v>2954</v>
      </c>
      <c r="E2330" t="s">
        <v>1528</v>
      </c>
      <c r="F2330">
        <v>594</v>
      </c>
      <c r="G2330">
        <v>37.369999999999997</v>
      </c>
      <c r="H2330">
        <v>123.55</v>
      </c>
      <c r="I2330">
        <v>33.93</v>
      </c>
      <c r="J2330">
        <v>112.17</v>
      </c>
      <c r="K2330">
        <v>120</v>
      </c>
      <c r="T2330">
        <v>4</v>
      </c>
      <c r="U2330">
        <v>2</v>
      </c>
      <c r="V2330" t="s">
        <v>93</v>
      </c>
      <c r="W2330">
        <v>123</v>
      </c>
      <c r="X2330">
        <v>18</v>
      </c>
      <c r="Y2330">
        <v>15</v>
      </c>
      <c r="Z2330" t="s">
        <v>2955</v>
      </c>
      <c r="AA2330" t="s">
        <v>2956</v>
      </c>
      <c r="AB2330" t="s">
        <v>96</v>
      </c>
      <c r="AC2330" t="s">
        <v>97</v>
      </c>
      <c r="AD2330" t="s">
        <v>2859</v>
      </c>
      <c r="AG2330" t="s">
        <v>2957</v>
      </c>
      <c r="AH2330">
        <v>0</v>
      </c>
      <c r="AI2330">
        <v>251</v>
      </c>
      <c r="AJ2330">
        <v>0</v>
      </c>
      <c r="AK2330">
        <v>0</v>
      </c>
      <c r="AL2330">
        <v>0</v>
      </c>
    </row>
    <row r="2331" spans="1:38" x14ac:dyDescent="0.3">
      <c r="A2331" t="s">
        <v>2854</v>
      </c>
      <c r="B2331">
        <v>2467</v>
      </c>
      <c r="C2331">
        <v>6</v>
      </c>
      <c r="D2331" t="s">
        <v>2954</v>
      </c>
      <c r="E2331" t="s">
        <v>1528</v>
      </c>
      <c r="F2331">
        <v>594</v>
      </c>
      <c r="G2331">
        <v>42.02</v>
      </c>
      <c r="H2331">
        <v>138.94</v>
      </c>
      <c r="I2331">
        <v>38.42</v>
      </c>
      <c r="J2331">
        <v>127.02</v>
      </c>
      <c r="K2331">
        <v>90</v>
      </c>
      <c r="T2331">
        <v>4</v>
      </c>
      <c r="U2331">
        <v>2</v>
      </c>
      <c r="V2331" t="s">
        <v>93</v>
      </c>
      <c r="W2331">
        <v>138</v>
      </c>
      <c r="X2331">
        <v>18</v>
      </c>
      <c r="Y2331">
        <v>15</v>
      </c>
      <c r="Z2331" t="s">
        <v>2955</v>
      </c>
      <c r="AA2331" t="s">
        <v>2956</v>
      </c>
      <c r="AB2331" t="s">
        <v>96</v>
      </c>
      <c r="AC2331" t="s">
        <v>97</v>
      </c>
      <c r="AD2331" t="s">
        <v>2859</v>
      </c>
      <c r="AG2331" t="s">
        <v>2957</v>
      </c>
      <c r="AH2331">
        <v>0</v>
      </c>
      <c r="AI2331">
        <v>251</v>
      </c>
      <c r="AJ2331">
        <v>0</v>
      </c>
      <c r="AK2331">
        <v>0</v>
      </c>
      <c r="AL2331">
        <v>0</v>
      </c>
    </row>
    <row r="2332" spans="1:38" x14ac:dyDescent="0.3">
      <c r="A2332" t="s">
        <v>2854</v>
      </c>
      <c r="B2332">
        <v>2467</v>
      </c>
      <c r="C2332">
        <v>7</v>
      </c>
      <c r="D2332" t="s">
        <v>2954</v>
      </c>
      <c r="E2332" t="s">
        <v>1528</v>
      </c>
      <c r="F2332">
        <v>594</v>
      </c>
      <c r="G2332">
        <v>49.63</v>
      </c>
      <c r="H2332">
        <v>164.07</v>
      </c>
      <c r="I2332">
        <v>45.85</v>
      </c>
      <c r="J2332">
        <v>151.59</v>
      </c>
      <c r="K2332">
        <v>60</v>
      </c>
      <c r="T2332">
        <v>5</v>
      </c>
      <c r="U2332">
        <v>2</v>
      </c>
      <c r="V2332" t="s">
        <v>93</v>
      </c>
      <c r="W2332">
        <v>164</v>
      </c>
      <c r="X2332">
        <v>18</v>
      </c>
      <c r="Y2332">
        <v>15</v>
      </c>
      <c r="Z2332" t="s">
        <v>2955</v>
      </c>
      <c r="AA2332" t="s">
        <v>2956</v>
      </c>
      <c r="AB2332" t="s">
        <v>96</v>
      </c>
      <c r="AC2332" t="s">
        <v>97</v>
      </c>
      <c r="AD2332" t="s">
        <v>2859</v>
      </c>
      <c r="AG2332" t="s">
        <v>2957</v>
      </c>
      <c r="AH2332">
        <v>0</v>
      </c>
      <c r="AI2332">
        <v>251</v>
      </c>
      <c r="AJ2332">
        <v>0</v>
      </c>
      <c r="AK2332">
        <v>0</v>
      </c>
      <c r="AL2332">
        <v>0</v>
      </c>
    </row>
    <row r="2333" spans="1:38" x14ac:dyDescent="0.3">
      <c r="A2333" t="s">
        <v>2854</v>
      </c>
      <c r="B2333">
        <v>2463</v>
      </c>
      <c r="C2333">
        <v>1</v>
      </c>
      <c r="D2333" t="s">
        <v>2958</v>
      </c>
      <c r="E2333" t="s">
        <v>2959</v>
      </c>
      <c r="F2333">
        <v>938</v>
      </c>
      <c r="G2333">
        <v>15.69</v>
      </c>
      <c r="H2333">
        <v>51.89</v>
      </c>
      <c r="I2333">
        <v>12.69</v>
      </c>
      <c r="J2333">
        <v>41.96</v>
      </c>
      <c r="K2333">
        <v>104</v>
      </c>
      <c r="T2333">
        <v>2</v>
      </c>
      <c r="U2333">
        <v>1</v>
      </c>
      <c r="V2333" t="s">
        <v>93</v>
      </c>
      <c r="W2333" t="s">
        <v>251</v>
      </c>
      <c r="X2333">
        <v>15</v>
      </c>
      <c r="Y2333">
        <v>12</v>
      </c>
      <c r="Z2333" t="s">
        <v>2960</v>
      </c>
      <c r="AA2333" t="s">
        <v>2961</v>
      </c>
      <c r="AB2333" t="s">
        <v>96</v>
      </c>
      <c r="AC2333" t="s">
        <v>97</v>
      </c>
      <c r="AD2333" t="s">
        <v>2859</v>
      </c>
      <c r="AG2333" t="s">
        <v>2962</v>
      </c>
      <c r="AH2333">
        <v>0</v>
      </c>
      <c r="AI2333">
        <v>192</v>
      </c>
      <c r="AJ2333">
        <v>17</v>
      </c>
      <c r="AK2333">
        <v>400</v>
      </c>
      <c r="AL2333">
        <v>0.43</v>
      </c>
    </row>
    <row r="2334" spans="1:38" x14ac:dyDescent="0.3">
      <c r="A2334" t="s">
        <v>2854</v>
      </c>
      <c r="B2334">
        <v>2463</v>
      </c>
      <c r="C2334">
        <v>2</v>
      </c>
      <c r="D2334" t="s">
        <v>2958</v>
      </c>
      <c r="E2334" t="s">
        <v>2959</v>
      </c>
      <c r="F2334">
        <v>938</v>
      </c>
      <c r="G2334">
        <v>15.74</v>
      </c>
      <c r="H2334">
        <v>52.04</v>
      </c>
      <c r="I2334">
        <v>12.69</v>
      </c>
      <c r="J2334">
        <v>41.96</v>
      </c>
      <c r="K2334">
        <v>106</v>
      </c>
      <c r="T2334">
        <v>2</v>
      </c>
      <c r="U2334">
        <v>1</v>
      </c>
      <c r="V2334" t="s">
        <v>93</v>
      </c>
      <c r="W2334" t="s">
        <v>586</v>
      </c>
      <c r="X2334">
        <v>15</v>
      </c>
      <c r="Y2334">
        <v>12</v>
      </c>
      <c r="Z2334" t="s">
        <v>2960</v>
      </c>
      <c r="AA2334" t="s">
        <v>2961</v>
      </c>
      <c r="AB2334" t="s">
        <v>96</v>
      </c>
      <c r="AC2334" t="s">
        <v>97</v>
      </c>
      <c r="AD2334" t="s">
        <v>2859</v>
      </c>
      <c r="AG2334" t="s">
        <v>2962</v>
      </c>
      <c r="AH2334">
        <v>0</v>
      </c>
      <c r="AI2334">
        <v>192</v>
      </c>
      <c r="AJ2334">
        <v>17</v>
      </c>
      <c r="AK2334">
        <v>400</v>
      </c>
      <c r="AL2334">
        <v>0.43</v>
      </c>
    </row>
    <row r="2335" spans="1:38" x14ac:dyDescent="0.3">
      <c r="A2335" t="s">
        <v>2854</v>
      </c>
      <c r="B2335">
        <v>2463</v>
      </c>
      <c r="C2335">
        <v>3</v>
      </c>
      <c r="D2335" t="s">
        <v>2958</v>
      </c>
      <c r="E2335" t="s">
        <v>2959</v>
      </c>
      <c r="F2335">
        <v>938</v>
      </c>
      <c r="G2335">
        <v>18.579999999999998</v>
      </c>
      <c r="H2335">
        <v>61.44</v>
      </c>
      <c r="I2335">
        <v>14.83</v>
      </c>
      <c r="J2335">
        <v>49.03</v>
      </c>
      <c r="K2335">
        <v>84</v>
      </c>
      <c r="T2335">
        <v>3</v>
      </c>
      <c r="U2335">
        <v>1</v>
      </c>
      <c r="V2335" t="s">
        <v>93</v>
      </c>
      <c r="W2335">
        <v>61</v>
      </c>
      <c r="X2335">
        <v>15</v>
      </c>
      <c r="Y2335">
        <v>12</v>
      </c>
      <c r="Z2335" t="s">
        <v>2960</v>
      </c>
      <c r="AA2335" t="s">
        <v>2961</v>
      </c>
      <c r="AB2335" t="s">
        <v>96</v>
      </c>
      <c r="AC2335" t="s">
        <v>97</v>
      </c>
      <c r="AD2335" t="s">
        <v>2859</v>
      </c>
      <c r="AG2335" t="s">
        <v>2962</v>
      </c>
      <c r="AH2335">
        <v>0</v>
      </c>
      <c r="AI2335">
        <v>192</v>
      </c>
      <c r="AJ2335">
        <v>17</v>
      </c>
      <c r="AK2335">
        <v>400</v>
      </c>
      <c r="AL2335">
        <v>0.43</v>
      </c>
    </row>
    <row r="2336" spans="1:38" x14ac:dyDescent="0.3">
      <c r="A2336" t="s">
        <v>2854</v>
      </c>
      <c r="B2336">
        <v>2463</v>
      </c>
      <c r="C2336">
        <v>4</v>
      </c>
      <c r="D2336" t="s">
        <v>2958</v>
      </c>
      <c r="E2336" t="s">
        <v>2959</v>
      </c>
      <c r="F2336">
        <v>938</v>
      </c>
      <c r="G2336">
        <v>18.47</v>
      </c>
      <c r="H2336">
        <v>61.09</v>
      </c>
      <c r="I2336">
        <v>14.83</v>
      </c>
      <c r="J2336">
        <v>49.03</v>
      </c>
      <c r="K2336">
        <v>78</v>
      </c>
      <c r="T2336">
        <v>3</v>
      </c>
      <c r="U2336">
        <v>1</v>
      </c>
      <c r="V2336" t="s">
        <v>93</v>
      </c>
      <c r="W2336">
        <v>61</v>
      </c>
      <c r="X2336">
        <v>15</v>
      </c>
      <c r="Y2336">
        <v>12</v>
      </c>
      <c r="Z2336" t="s">
        <v>2960</v>
      </c>
      <c r="AA2336" t="s">
        <v>2961</v>
      </c>
      <c r="AB2336" t="s">
        <v>96</v>
      </c>
      <c r="AC2336" t="s">
        <v>97</v>
      </c>
      <c r="AD2336" t="s">
        <v>2859</v>
      </c>
      <c r="AG2336" t="s">
        <v>2962</v>
      </c>
      <c r="AH2336">
        <v>0</v>
      </c>
      <c r="AI2336">
        <v>192</v>
      </c>
      <c r="AJ2336">
        <v>17</v>
      </c>
      <c r="AK2336">
        <v>400</v>
      </c>
      <c r="AL2336">
        <v>0.43</v>
      </c>
    </row>
    <row r="2337" spans="1:38" x14ac:dyDescent="0.3">
      <c r="A2337" t="s">
        <v>2854</v>
      </c>
      <c r="B2337">
        <v>2463</v>
      </c>
      <c r="C2337">
        <v>5</v>
      </c>
      <c r="D2337" t="s">
        <v>2958</v>
      </c>
      <c r="E2337" t="s">
        <v>2959</v>
      </c>
      <c r="F2337">
        <v>938</v>
      </c>
      <c r="G2337">
        <v>21.33</v>
      </c>
      <c r="H2337">
        <v>70.53</v>
      </c>
      <c r="I2337">
        <v>17.010000000000002</v>
      </c>
      <c r="J2337">
        <v>56.25</v>
      </c>
      <c r="K2337">
        <v>84</v>
      </c>
      <c r="T2337">
        <v>3</v>
      </c>
      <c r="U2337">
        <v>1</v>
      </c>
      <c r="V2337" t="s">
        <v>132</v>
      </c>
      <c r="W2337" t="s">
        <v>490</v>
      </c>
      <c r="X2337">
        <v>15</v>
      </c>
      <c r="Y2337">
        <v>12</v>
      </c>
      <c r="Z2337" t="s">
        <v>2960</v>
      </c>
      <c r="AA2337" t="s">
        <v>2961</v>
      </c>
      <c r="AB2337" t="s">
        <v>96</v>
      </c>
      <c r="AC2337" t="s">
        <v>97</v>
      </c>
      <c r="AD2337" t="s">
        <v>2859</v>
      </c>
      <c r="AG2337" t="s">
        <v>2962</v>
      </c>
      <c r="AH2337">
        <v>0</v>
      </c>
      <c r="AI2337">
        <v>192</v>
      </c>
      <c r="AJ2337">
        <v>17</v>
      </c>
      <c r="AK2337">
        <v>400</v>
      </c>
      <c r="AL2337">
        <v>0.43</v>
      </c>
    </row>
    <row r="2338" spans="1:38" x14ac:dyDescent="0.3">
      <c r="A2338" t="s">
        <v>2854</v>
      </c>
      <c r="B2338">
        <v>2463</v>
      </c>
      <c r="C2338">
        <v>6</v>
      </c>
      <c r="D2338" t="s">
        <v>2958</v>
      </c>
      <c r="E2338" t="s">
        <v>2959</v>
      </c>
      <c r="F2338">
        <v>938</v>
      </c>
      <c r="G2338">
        <v>21.2</v>
      </c>
      <c r="H2338">
        <v>70.09</v>
      </c>
      <c r="I2338">
        <v>17.010000000000002</v>
      </c>
      <c r="J2338">
        <v>56.25</v>
      </c>
      <c r="K2338">
        <v>78</v>
      </c>
      <c r="T2338">
        <v>3</v>
      </c>
      <c r="U2338">
        <v>1</v>
      </c>
      <c r="V2338" t="s">
        <v>132</v>
      </c>
      <c r="W2338" t="s">
        <v>979</v>
      </c>
      <c r="X2338">
        <v>15</v>
      </c>
      <c r="Y2338">
        <v>12</v>
      </c>
      <c r="Z2338" t="s">
        <v>2960</v>
      </c>
      <c r="AA2338" t="s">
        <v>2961</v>
      </c>
      <c r="AB2338" t="s">
        <v>96</v>
      </c>
      <c r="AC2338" t="s">
        <v>97</v>
      </c>
      <c r="AD2338" t="s">
        <v>2859</v>
      </c>
      <c r="AG2338" t="s">
        <v>2962</v>
      </c>
      <c r="AH2338">
        <v>0</v>
      </c>
      <c r="AI2338">
        <v>192</v>
      </c>
      <c r="AJ2338">
        <v>17</v>
      </c>
      <c r="AK2338">
        <v>400</v>
      </c>
      <c r="AL2338">
        <v>0.43</v>
      </c>
    </row>
    <row r="2339" spans="1:38" x14ac:dyDescent="0.3">
      <c r="A2339" t="s">
        <v>2854</v>
      </c>
      <c r="B2339">
        <v>2463</v>
      </c>
      <c r="C2339">
        <v>7</v>
      </c>
      <c r="D2339" t="s">
        <v>2958</v>
      </c>
      <c r="E2339" t="s">
        <v>2959</v>
      </c>
      <c r="F2339">
        <v>938</v>
      </c>
      <c r="G2339">
        <v>24.11</v>
      </c>
      <c r="H2339">
        <v>79.709999999999994</v>
      </c>
      <c r="I2339">
        <v>19.440000000000001</v>
      </c>
      <c r="J2339">
        <v>64.27</v>
      </c>
      <c r="K2339">
        <v>106</v>
      </c>
      <c r="T2339">
        <v>3</v>
      </c>
      <c r="U2339">
        <v>1</v>
      </c>
      <c r="V2339" t="s">
        <v>132</v>
      </c>
      <c r="W2339" t="s">
        <v>475</v>
      </c>
      <c r="X2339">
        <v>15</v>
      </c>
      <c r="Y2339">
        <v>12</v>
      </c>
      <c r="Z2339" t="s">
        <v>2960</v>
      </c>
      <c r="AA2339" t="s">
        <v>2961</v>
      </c>
      <c r="AB2339" t="s">
        <v>96</v>
      </c>
      <c r="AC2339" t="s">
        <v>97</v>
      </c>
      <c r="AD2339" t="s">
        <v>2859</v>
      </c>
      <c r="AG2339" t="s">
        <v>2962</v>
      </c>
      <c r="AH2339">
        <v>0</v>
      </c>
      <c r="AI2339">
        <v>192</v>
      </c>
      <c r="AJ2339">
        <v>17</v>
      </c>
      <c r="AK2339">
        <v>400</v>
      </c>
      <c r="AL2339">
        <v>0.43</v>
      </c>
    </row>
    <row r="2340" spans="1:38" x14ac:dyDescent="0.3">
      <c r="A2340" t="s">
        <v>2854</v>
      </c>
      <c r="B2340">
        <v>2463</v>
      </c>
      <c r="C2340">
        <v>8</v>
      </c>
      <c r="D2340" t="s">
        <v>2958</v>
      </c>
      <c r="E2340" t="s">
        <v>2959</v>
      </c>
      <c r="F2340">
        <v>938</v>
      </c>
      <c r="G2340">
        <v>24.23</v>
      </c>
      <c r="H2340">
        <v>80.099999999999994</v>
      </c>
      <c r="I2340">
        <v>19.440000000000001</v>
      </c>
      <c r="J2340">
        <v>64.27</v>
      </c>
      <c r="K2340">
        <v>104</v>
      </c>
      <c r="T2340">
        <v>3</v>
      </c>
      <c r="U2340">
        <v>1</v>
      </c>
      <c r="V2340" t="s">
        <v>132</v>
      </c>
      <c r="W2340" t="s">
        <v>1020</v>
      </c>
      <c r="X2340">
        <v>15</v>
      </c>
      <c r="Y2340">
        <v>12</v>
      </c>
      <c r="Z2340" t="s">
        <v>2960</v>
      </c>
      <c r="AA2340" t="s">
        <v>2961</v>
      </c>
      <c r="AB2340" t="s">
        <v>96</v>
      </c>
      <c r="AC2340" t="s">
        <v>97</v>
      </c>
      <c r="AD2340" t="s">
        <v>2859</v>
      </c>
      <c r="AG2340" t="s">
        <v>2962</v>
      </c>
      <c r="AH2340">
        <v>0</v>
      </c>
      <c r="AI2340">
        <v>192</v>
      </c>
      <c r="AJ2340">
        <v>17</v>
      </c>
      <c r="AK2340">
        <v>400</v>
      </c>
      <c r="AL2340">
        <v>0.43</v>
      </c>
    </row>
    <row r="2341" spans="1:38" x14ac:dyDescent="0.3">
      <c r="A2341" t="s">
        <v>2854</v>
      </c>
      <c r="B2341">
        <v>2463</v>
      </c>
      <c r="C2341">
        <v>9</v>
      </c>
      <c r="D2341" t="s">
        <v>2958</v>
      </c>
      <c r="E2341" t="s">
        <v>2959</v>
      </c>
      <c r="F2341">
        <v>938</v>
      </c>
      <c r="G2341">
        <v>27.13</v>
      </c>
      <c r="H2341">
        <v>89.71</v>
      </c>
      <c r="I2341">
        <v>22.16</v>
      </c>
      <c r="J2341">
        <v>73.28</v>
      </c>
      <c r="K2341">
        <v>80</v>
      </c>
      <c r="T2341">
        <v>3</v>
      </c>
      <c r="U2341">
        <v>1</v>
      </c>
      <c r="V2341" t="s">
        <v>93</v>
      </c>
      <c r="W2341">
        <v>89</v>
      </c>
      <c r="X2341">
        <v>15</v>
      </c>
      <c r="Y2341">
        <v>12</v>
      </c>
      <c r="Z2341" t="s">
        <v>2960</v>
      </c>
      <c r="AA2341" t="s">
        <v>2961</v>
      </c>
      <c r="AB2341" t="s">
        <v>96</v>
      </c>
      <c r="AC2341" t="s">
        <v>97</v>
      </c>
      <c r="AD2341" t="s">
        <v>2859</v>
      </c>
      <c r="AG2341" t="s">
        <v>2962</v>
      </c>
      <c r="AH2341">
        <v>0</v>
      </c>
      <c r="AI2341">
        <v>192</v>
      </c>
      <c r="AJ2341">
        <v>17</v>
      </c>
      <c r="AK2341">
        <v>400</v>
      </c>
      <c r="AL2341">
        <v>0.43</v>
      </c>
    </row>
    <row r="2342" spans="1:38" x14ac:dyDescent="0.3">
      <c r="A2342" t="s">
        <v>2854</v>
      </c>
      <c r="B2342">
        <v>2463</v>
      </c>
      <c r="C2342">
        <v>10</v>
      </c>
      <c r="D2342" t="s">
        <v>2958</v>
      </c>
      <c r="E2342" t="s">
        <v>2959</v>
      </c>
      <c r="F2342">
        <v>938</v>
      </c>
      <c r="G2342">
        <v>31.12</v>
      </c>
      <c r="H2342">
        <v>102.89</v>
      </c>
      <c r="I2342">
        <v>25.68</v>
      </c>
      <c r="J2342">
        <v>84.91</v>
      </c>
      <c r="K2342">
        <v>114</v>
      </c>
      <c r="T2342">
        <v>3</v>
      </c>
      <c r="U2342">
        <v>2</v>
      </c>
      <c r="V2342" t="s">
        <v>93</v>
      </c>
      <c r="W2342">
        <v>102</v>
      </c>
      <c r="X2342">
        <v>15</v>
      </c>
      <c r="Y2342">
        <v>12</v>
      </c>
      <c r="Z2342" t="s">
        <v>2960</v>
      </c>
      <c r="AA2342" t="s">
        <v>2961</v>
      </c>
      <c r="AB2342" t="s">
        <v>96</v>
      </c>
      <c r="AC2342" t="s">
        <v>97</v>
      </c>
      <c r="AD2342" t="s">
        <v>2859</v>
      </c>
      <c r="AG2342" t="s">
        <v>2962</v>
      </c>
      <c r="AH2342">
        <v>0</v>
      </c>
      <c r="AI2342">
        <v>192</v>
      </c>
      <c r="AJ2342">
        <v>17</v>
      </c>
      <c r="AK2342">
        <v>400</v>
      </c>
      <c r="AL2342">
        <v>0.43</v>
      </c>
    </row>
    <row r="2343" spans="1:38" x14ac:dyDescent="0.3">
      <c r="A2343" t="s">
        <v>2854</v>
      </c>
      <c r="B2343">
        <v>27513</v>
      </c>
      <c r="C2343">
        <v>1</v>
      </c>
      <c r="D2343" t="s">
        <v>2963</v>
      </c>
      <c r="E2343" t="s">
        <v>1485</v>
      </c>
      <c r="F2343">
        <v>432</v>
      </c>
      <c r="G2343">
        <v>7.18</v>
      </c>
      <c r="H2343">
        <v>23.75</v>
      </c>
      <c r="I2343">
        <v>4.62</v>
      </c>
      <c r="J2343">
        <v>15.28</v>
      </c>
      <c r="K2343">
        <v>12</v>
      </c>
      <c r="T2343">
        <v>1</v>
      </c>
      <c r="U2343">
        <v>1</v>
      </c>
      <c r="V2343" t="s">
        <v>211</v>
      </c>
      <c r="W2343" t="s">
        <v>2264</v>
      </c>
      <c r="X2343">
        <v>34</v>
      </c>
      <c r="Y2343">
        <v>6</v>
      </c>
      <c r="Z2343" t="s">
        <v>2964</v>
      </c>
      <c r="AA2343" t="s">
        <v>2965</v>
      </c>
      <c r="AB2343" t="s">
        <v>96</v>
      </c>
      <c r="AC2343" t="s">
        <v>97</v>
      </c>
      <c r="AD2343" t="s">
        <v>2859</v>
      </c>
      <c r="AG2343" t="s">
        <v>2966</v>
      </c>
      <c r="AH2343">
        <v>0</v>
      </c>
      <c r="AI2343">
        <v>244</v>
      </c>
      <c r="AJ2343">
        <v>12</v>
      </c>
      <c r="AK2343">
        <v>682</v>
      </c>
      <c r="AL2343">
        <v>1.58</v>
      </c>
    </row>
    <row r="2344" spans="1:38" x14ac:dyDescent="0.3">
      <c r="A2344" t="s">
        <v>2854</v>
      </c>
      <c r="B2344">
        <v>27513</v>
      </c>
      <c r="C2344">
        <v>2</v>
      </c>
      <c r="D2344" t="s">
        <v>2963</v>
      </c>
      <c r="E2344" t="s">
        <v>1485</v>
      </c>
      <c r="F2344">
        <v>432</v>
      </c>
      <c r="G2344">
        <v>7.67</v>
      </c>
      <c r="H2344">
        <v>25.37</v>
      </c>
      <c r="I2344">
        <v>4.83</v>
      </c>
      <c r="J2344">
        <v>15.98</v>
      </c>
      <c r="K2344">
        <v>12</v>
      </c>
      <c r="T2344">
        <v>1</v>
      </c>
      <c r="U2344">
        <v>1</v>
      </c>
      <c r="V2344" t="s">
        <v>211</v>
      </c>
      <c r="W2344" t="s">
        <v>2291</v>
      </c>
      <c r="X2344">
        <v>34</v>
      </c>
      <c r="Y2344">
        <v>6</v>
      </c>
      <c r="Z2344" t="s">
        <v>2964</v>
      </c>
      <c r="AA2344" t="s">
        <v>2965</v>
      </c>
      <c r="AB2344" t="s">
        <v>96</v>
      </c>
      <c r="AC2344" t="s">
        <v>97</v>
      </c>
      <c r="AD2344" t="s">
        <v>2859</v>
      </c>
      <c r="AG2344" t="s">
        <v>2966</v>
      </c>
      <c r="AH2344">
        <v>0</v>
      </c>
      <c r="AI2344">
        <v>244</v>
      </c>
      <c r="AJ2344">
        <v>12</v>
      </c>
      <c r="AK2344">
        <v>682</v>
      </c>
      <c r="AL2344">
        <v>1.58</v>
      </c>
    </row>
    <row r="2345" spans="1:38" x14ac:dyDescent="0.3">
      <c r="A2345" t="s">
        <v>2854</v>
      </c>
      <c r="B2345">
        <v>27513</v>
      </c>
      <c r="C2345">
        <v>3</v>
      </c>
      <c r="D2345" t="s">
        <v>2963</v>
      </c>
      <c r="E2345" t="s">
        <v>1485</v>
      </c>
      <c r="F2345">
        <v>432</v>
      </c>
      <c r="G2345">
        <v>8.57</v>
      </c>
      <c r="H2345">
        <v>28.35</v>
      </c>
      <c r="I2345">
        <v>5.55</v>
      </c>
      <c r="J2345">
        <v>18.38</v>
      </c>
      <c r="K2345">
        <v>5</v>
      </c>
      <c r="T2345">
        <v>1</v>
      </c>
      <c r="U2345">
        <v>1</v>
      </c>
      <c r="V2345" t="s">
        <v>211</v>
      </c>
      <c r="W2345">
        <v>28</v>
      </c>
      <c r="X2345">
        <v>34</v>
      </c>
      <c r="Y2345">
        <v>6</v>
      </c>
      <c r="Z2345" t="s">
        <v>2964</v>
      </c>
      <c r="AA2345" t="s">
        <v>2965</v>
      </c>
      <c r="AB2345" t="s">
        <v>96</v>
      </c>
      <c r="AC2345" t="s">
        <v>97</v>
      </c>
      <c r="AD2345" t="s">
        <v>2859</v>
      </c>
      <c r="AG2345" t="s">
        <v>2966</v>
      </c>
      <c r="AH2345">
        <v>0</v>
      </c>
      <c r="AI2345">
        <v>244</v>
      </c>
      <c r="AJ2345">
        <v>12</v>
      </c>
      <c r="AK2345">
        <v>682</v>
      </c>
      <c r="AL2345">
        <v>1.58</v>
      </c>
    </row>
    <row r="2346" spans="1:38" x14ac:dyDescent="0.3">
      <c r="A2346" t="s">
        <v>2854</v>
      </c>
      <c r="B2346">
        <v>27513</v>
      </c>
      <c r="C2346">
        <v>4</v>
      </c>
      <c r="D2346" t="s">
        <v>2963</v>
      </c>
      <c r="E2346" t="s">
        <v>1485</v>
      </c>
      <c r="F2346">
        <v>432</v>
      </c>
      <c r="G2346">
        <v>10.3</v>
      </c>
      <c r="H2346">
        <v>34.08</v>
      </c>
      <c r="I2346">
        <v>6.59</v>
      </c>
      <c r="J2346">
        <v>21.79</v>
      </c>
      <c r="K2346">
        <v>12</v>
      </c>
      <c r="T2346">
        <v>1</v>
      </c>
      <c r="U2346">
        <v>1</v>
      </c>
      <c r="V2346" t="s">
        <v>211</v>
      </c>
      <c r="W2346" t="s">
        <v>2967</v>
      </c>
      <c r="X2346">
        <v>34</v>
      </c>
      <c r="Y2346">
        <v>6</v>
      </c>
      <c r="Z2346" t="s">
        <v>2964</v>
      </c>
      <c r="AA2346" t="s">
        <v>2965</v>
      </c>
      <c r="AB2346" t="s">
        <v>96</v>
      </c>
      <c r="AC2346" t="s">
        <v>97</v>
      </c>
      <c r="AD2346" t="s">
        <v>2859</v>
      </c>
      <c r="AG2346" t="s">
        <v>2966</v>
      </c>
      <c r="AH2346">
        <v>0</v>
      </c>
      <c r="AI2346">
        <v>244</v>
      </c>
      <c r="AJ2346">
        <v>12</v>
      </c>
      <c r="AK2346">
        <v>682</v>
      </c>
      <c r="AL2346">
        <v>1.58</v>
      </c>
    </row>
    <row r="2347" spans="1:38" x14ac:dyDescent="0.3">
      <c r="A2347" t="s">
        <v>2854</v>
      </c>
      <c r="B2347">
        <v>27513</v>
      </c>
      <c r="C2347">
        <v>5</v>
      </c>
      <c r="D2347" t="s">
        <v>2963</v>
      </c>
      <c r="E2347" t="s">
        <v>1485</v>
      </c>
      <c r="F2347">
        <v>432</v>
      </c>
      <c r="G2347">
        <v>10.93</v>
      </c>
      <c r="H2347">
        <v>36.159999999999997</v>
      </c>
      <c r="I2347">
        <v>7.23</v>
      </c>
      <c r="J2347">
        <v>23.92</v>
      </c>
      <c r="K2347">
        <v>12</v>
      </c>
      <c r="T2347">
        <v>1</v>
      </c>
      <c r="U2347">
        <v>1</v>
      </c>
      <c r="V2347" t="s">
        <v>211</v>
      </c>
      <c r="W2347" t="s">
        <v>2001</v>
      </c>
      <c r="X2347">
        <v>34</v>
      </c>
      <c r="Y2347">
        <v>6</v>
      </c>
      <c r="Z2347" t="s">
        <v>2964</v>
      </c>
      <c r="AA2347" t="s">
        <v>2965</v>
      </c>
      <c r="AB2347" t="s">
        <v>96</v>
      </c>
      <c r="AC2347" t="s">
        <v>97</v>
      </c>
      <c r="AD2347" t="s">
        <v>2859</v>
      </c>
      <c r="AG2347" t="s">
        <v>2966</v>
      </c>
      <c r="AH2347">
        <v>0</v>
      </c>
      <c r="AI2347">
        <v>244</v>
      </c>
      <c r="AJ2347">
        <v>12</v>
      </c>
      <c r="AK2347">
        <v>682</v>
      </c>
      <c r="AL2347">
        <v>1.58</v>
      </c>
    </row>
    <row r="2348" spans="1:38" x14ac:dyDescent="0.3">
      <c r="A2348" t="s">
        <v>2854</v>
      </c>
      <c r="B2348">
        <v>27513</v>
      </c>
      <c r="C2348">
        <v>6</v>
      </c>
      <c r="D2348" t="s">
        <v>2963</v>
      </c>
      <c r="E2348" t="s">
        <v>1485</v>
      </c>
      <c r="F2348">
        <v>432</v>
      </c>
      <c r="G2348">
        <v>11.27</v>
      </c>
      <c r="H2348">
        <v>37.28</v>
      </c>
      <c r="I2348">
        <v>7.45</v>
      </c>
      <c r="J2348">
        <v>24.66</v>
      </c>
      <c r="K2348">
        <v>5</v>
      </c>
      <c r="T2348">
        <v>1</v>
      </c>
      <c r="U2348">
        <v>1</v>
      </c>
      <c r="V2348" t="s">
        <v>211</v>
      </c>
      <c r="W2348">
        <v>37</v>
      </c>
      <c r="X2348">
        <v>34</v>
      </c>
      <c r="Y2348">
        <v>6</v>
      </c>
      <c r="Z2348" t="s">
        <v>2964</v>
      </c>
      <c r="AA2348" t="s">
        <v>2965</v>
      </c>
      <c r="AB2348" t="s">
        <v>96</v>
      </c>
      <c r="AC2348" t="s">
        <v>97</v>
      </c>
      <c r="AD2348" t="s">
        <v>2859</v>
      </c>
      <c r="AG2348" t="s">
        <v>2966</v>
      </c>
      <c r="AH2348">
        <v>0</v>
      </c>
      <c r="AI2348">
        <v>244</v>
      </c>
      <c r="AJ2348">
        <v>12</v>
      </c>
      <c r="AK2348">
        <v>682</v>
      </c>
      <c r="AL2348">
        <v>1.58</v>
      </c>
    </row>
    <row r="2349" spans="1:38" x14ac:dyDescent="0.3">
      <c r="A2349" t="s">
        <v>2854</v>
      </c>
      <c r="B2349">
        <v>27513</v>
      </c>
      <c r="C2349">
        <v>7</v>
      </c>
      <c r="D2349" t="s">
        <v>2963</v>
      </c>
      <c r="E2349" t="s">
        <v>1485</v>
      </c>
      <c r="F2349">
        <v>432</v>
      </c>
      <c r="G2349">
        <v>12.42</v>
      </c>
      <c r="H2349">
        <v>41.07</v>
      </c>
      <c r="I2349">
        <v>8.32</v>
      </c>
      <c r="J2349">
        <v>27.52</v>
      </c>
      <c r="K2349">
        <v>12</v>
      </c>
      <c r="T2349">
        <v>1</v>
      </c>
      <c r="U2349">
        <v>1</v>
      </c>
      <c r="V2349" t="s">
        <v>211</v>
      </c>
      <c r="W2349">
        <v>41</v>
      </c>
      <c r="X2349">
        <v>34</v>
      </c>
      <c r="Y2349">
        <v>6</v>
      </c>
      <c r="Z2349" t="s">
        <v>2964</v>
      </c>
      <c r="AA2349" t="s">
        <v>2965</v>
      </c>
      <c r="AB2349" t="s">
        <v>96</v>
      </c>
      <c r="AC2349" t="s">
        <v>97</v>
      </c>
      <c r="AD2349" t="s">
        <v>2859</v>
      </c>
      <c r="AG2349" t="s">
        <v>2966</v>
      </c>
      <c r="AH2349">
        <v>0</v>
      </c>
      <c r="AI2349">
        <v>244</v>
      </c>
      <c r="AJ2349">
        <v>12</v>
      </c>
      <c r="AK2349">
        <v>682</v>
      </c>
      <c r="AL2349">
        <v>1.58</v>
      </c>
    </row>
    <row r="2350" spans="1:38" x14ac:dyDescent="0.3">
      <c r="A2350" t="s">
        <v>2854</v>
      </c>
      <c r="B2350">
        <v>27513</v>
      </c>
      <c r="C2350">
        <v>8</v>
      </c>
      <c r="D2350" t="s">
        <v>2963</v>
      </c>
      <c r="E2350" t="s">
        <v>1485</v>
      </c>
      <c r="F2350">
        <v>432</v>
      </c>
      <c r="G2350">
        <v>17.920000000000002</v>
      </c>
      <c r="H2350">
        <v>59.24</v>
      </c>
      <c r="I2350">
        <v>11.78</v>
      </c>
      <c r="J2350">
        <v>38.96</v>
      </c>
      <c r="K2350">
        <v>5</v>
      </c>
      <c r="T2350">
        <v>1</v>
      </c>
      <c r="U2350">
        <v>1</v>
      </c>
      <c r="V2350" t="s">
        <v>211</v>
      </c>
      <c r="W2350">
        <v>59</v>
      </c>
      <c r="X2350">
        <v>34</v>
      </c>
      <c r="Y2350">
        <v>6</v>
      </c>
      <c r="Z2350" t="s">
        <v>2964</v>
      </c>
      <c r="AA2350" t="s">
        <v>2965</v>
      </c>
      <c r="AB2350" t="s">
        <v>96</v>
      </c>
      <c r="AC2350" t="s">
        <v>97</v>
      </c>
      <c r="AD2350" t="s">
        <v>2859</v>
      </c>
      <c r="AG2350" t="s">
        <v>2966</v>
      </c>
      <c r="AH2350">
        <v>0</v>
      </c>
      <c r="AI2350">
        <v>244</v>
      </c>
      <c r="AJ2350">
        <v>12</v>
      </c>
      <c r="AK2350">
        <v>682</v>
      </c>
      <c r="AL2350">
        <v>1.58</v>
      </c>
    </row>
    <row r="2351" spans="1:38" x14ac:dyDescent="0.3">
      <c r="A2351" t="s">
        <v>2854</v>
      </c>
      <c r="B2351">
        <v>27513</v>
      </c>
      <c r="C2351">
        <v>9</v>
      </c>
      <c r="D2351" t="s">
        <v>2963</v>
      </c>
      <c r="E2351" t="s">
        <v>1485</v>
      </c>
      <c r="F2351">
        <v>432</v>
      </c>
      <c r="G2351">
        <v>26.78</v>
      </c>
      <c r="H2351">
        <v>88.53</v>
      </c>
      <c r="I2351">
        <v>17.77</v>
      </c>
      <c r="J2351">
        <v>58.77</v>
      </c>
      <c r="K2351">
        <v>5</v>
      </c>
      <c r="T2351">
        <v>1</v>
      </c>
      <c r="U2351">
        <v>2</v>
      </c>
      <c r="V2351" t="s">
        <v>211</v>
      </c>
      <c r="W2351">
        <v>88</v>
      </c>
      <c r="X2351">
        <v>34</v>
      </c>
      <c r="Y2351">
        <v>6</v>
      </c>
      <c r="Z2351" t="s">
        <v>2964</v>
      </c>
      <c r="AA2351" t="s">
        <v>2965</v>
      </c>
      <c r="AB2351" t="s">
        <v>96</v>
      </c>
      <c r="AC2351" t="s">
        <v>97</v>
      </c>
      <c r="AD2351" t="s">
        <v>2859</v>
      </c>
      <c r="AG2351" t="s">
        <v>2966</v>
      </c>
      <c r="AH2351">
        <v>0</v>
      </c>
      <c r="AI2351">
        <v>244</v>
      </c>
      <c r="AJ2351">
        <v>12</v>
      </c>
      <c r="AK2351">
        <v>682</v>
      </c>
      <c r="AL2351">
        <v>1.58</v>
      </c>
    </row>
    <row r="2352" spans="1:38" x14ac:dyDescent="0.3">
      <c r="A2352" t="s">
        <v>2854</v>
      </c>
      <c r="B2352">
        <v>27513</v>
      </c>
      <c r="C2352">
        <v>10</v>
      </c>
      <c r="D2352" t="s">
        <v>2963</v>
      </c>
      <c r="E2352" t="s">
        <v>1485</v>
      </c>
      <c r="F2352">
        <v>432</v>
      </c>
      <c r="G2352">
        <v>32.82</v>
      </c>
      <c r="H2352">
        <v>108.52</v>
      </c>
      <c r="I2352">
        <v>25.64</v>
      </c>
      <c r="J2352">
        <v>84.77</v>
      </c>
      <c r="K2352">
        <v>52</v>
      </c>
      <c r="T2352">
        <v>3</v>
      </c>
      <c r="U2352">
        <v>2</v>
      </c>
      <c r="V2352" t="s">
        <v>211</v>
      </c>
      <c r="W2352" t="s">
        <v>2968</v>
      </c>
      <c r="X2352">
        <v>34</v>
      </c>
      <c r="Y2352">
        <v>6</v>
      </c>
      <c r="Z2352" t="s">
        <v>2964</v>
      </c>
      <c r="AA2352" t="s">
        <v>2965</v>
      </c>
      <c r="AB2352" t="s">
        <v>96</v>
      </c>
      <c r="AC2352" t="s">
        <v>97</v>
      </c>
      <c r="AD2352" t="s">
        <v>2859</v>
      </c>
      <c r="AG2352" t="s">
        <v>2966</v>
      </c>
      <c r="AH2352">
        <v>0</v>
      </c>
      <c r="AI2352">
        <v>244</v>
      </c>
      <c r="AJ2352">
        <v>12</v>
      </c>
      <c r="AK2352">
        <v>682</v>
      </c>
      <c r="AL2352">
        <v>1.58</v>
      </c>
    </row>
    <row r="2353" spans="1:38" x14ac:dyDescent="0.3">
      <c r="A2353" t="s">
        <v>2854</v>
      </c>
      <c r="B2353">
        <v>27513</v>
      </c>
      <c r="C2353">
        <v>11</v>
      </c>
      <c r="D2353" t="s">
        <v>2963</v>
      </c>
      <c r="E2353" t="s">
        <v>1485</v>
      </c>
      <c r="F2353">
        <v>432</v>
      </c>
      <c r="G2353">
        <v>33.32</v>
      </c>
      <c r="H2353">
        <v>110.15</v>
      </c>
      <c r="I2353">
        <v>25.69</v>
      </c>
      <c r="J2353">
        <v>84.94</v>
      </c>
      <c r="K2353">
        <v>48</v>
      </c>
      <c r="T2353">
        <v>3</v>
      </c>
      <c r="U2353">
        <v>2</v>
      </c>
      <c r="V2353" t="s">
        <v>211</v>
      </c>
      <c r="W2353" t="s">
        <v>157</v>
      </c>
      <c r="X2353">
        <v>34</v>
      </c>
      <c r="Y2353">
        <v>6</v>
      </c>
      <c r="Z2353" t="s">
        <v>2964</v>
      </c>
      <c r="AA2353" t="s">
        <v>2965</v>
      </c>
      <c r="AB2353" t="s">
        <v>96</v>
      </c>
      <c r="AC2353" t="s">
        <v>97</v>
      </c>
      <c r="AD2353" t="s">
        <v>2859</v>
      </c>
      <c r="AG2353" t="s">
        <v>2966</v>
      </c>
      <c r="AH2353">
        <v>0</v>
      </c>
      <c r="AI2353">
        <v>244</v>
      </c>
      <c r="AJ2353">
        <v>12</v>
      </c>
      <c r="AK2353">
        <v>682</v>
      </c>
      <c r="AL2353">
        <v>1.58</v>
      </c>
    </row>
    <row r="2354" spans="1:38" x14ac:dyDescent="0.3">
      <c r="A2354" t="s">
        <v>2854</v>
      </c>
      <c r="B2354">
        <v>27513</v>
      </c>
      <c r="C2354">
        <v>12</v>
      </c>
      <c r="D2354" t="s">
        <v>2963</v>
      </c>
      <c r="E2354" t="s">
        <v>1485</v>
      </c>
      <c r="F2354">
        <v>432</v>
      </c>
      <c r="G2354">
        <v>45.99</v>
      </c>
      <c r="H2354">
        <v>152.06</v>
      </c>
      <c r="I2354">
        <v>38.07</v>
      </c>
      <c r="J2354">
        <v>125.87</v>
      </c>
      <c r="K2354">
        <v>130</v>
      </c>
      <c r="T2354">
        <v>4</v>
      </c>
      <c r="U2354">
        <v>2</v>
      </c>
      <c r="V2354" t="s">
        <v>211</v>
      </c>
      <c r="W2354">
        <v>152</v>
      </c>
      <c r="X2354">
        <v>34</v>
      </c>
      <c r="Y2354">
        <v>6</v>
      </c>
      <c r="Z2354" t="s">
        <v>2964</v>
      </c>
      <c r="AA2354" t="s">
        <v>2965</v>
      </c>
      <c r="AB2354" t="s">
        <v>96</v>
      </c>
      <c r="AC2354" t="s">
        <v>97</v>
      </c>
      <c r="AD2354" t="s">
        <v>2859</v>
      </c>
      <c r="AG2354" t="s">
        <v>2966</v>
      </c>
      <c r="AH2354">
        <v>0</v>
      </c>
      <c r="AI2354">
        <v>244</v>
      </c>
      <c r="AJ2354">
        <v>12</v>
      </c>
      <c r="AK2354">
        <v>682</v>
      </c>
      <c r="AL2354">
        <v>1.58</v>
      </c>
    </row>
    <row r="2355" spans="1:38" x14ac:dyDescent="0.3">
      <c r="A2355" t="s">
        <v>2854</v>
      </c>
      <c r="B2355">
        <v>27513</v>
      </c>
      <c r="C2355">
        <v>13</v>
      </c>
      <c r="D2355" t="s">
        <v>2963</v>
      </c>
      <c r="E2355" t="s">
        <v>1485</v>
      </c>
      <c r="F2355">
        <v>432</v>
      </c>
      <c r="G2355">
        <v>53.77</v>
      </c>
      <c r="H2355">
        <v>177.77</v>
      </c>
      <c r="I2355">
        <v>44.25</v>
      </c>
      <c r="J2355">
        <v>146.29</v>
      </c>
      <c r="K2355">
        <v>122</v>
      </c>
      <c r="T2355">
        <v>4</v>
      </c>
      <c r="U2355">
        <v>2</v>
      </c>
      <c r="V2355" t="s">
        <v>211</v>
      </c>
      <c r="W2355">
        <v>177</v>
      </c>
      <c r="X2355">
        <v>34</v>
      </c>
      <c r="Y2355">
        <v>6</v>
      </c>
      <c r="Z2355" t="s">
        <v>2964</v>
      </c>
      <c r="AA2355" t="s">
        <v>2965</v>
      </c>
      <c r="AB2355" t="s">
        <v>96</v>
      </c>
      <c r="AC2355" t="s">
        <v>97</v>
      </c>
      <c r="AD2355" t="s">
        <v>2859</v>
      </c>
      <c r="AG2355" t="s">
        <v>2966</v>
      </c>
      <c r="AH2355">
        <v>0</v>
      </c>
      <c r="AI2355">
        <v>244</v>
      </c>
      <c r="AJ2355">
        <v>12</v>
      </c>
      <c r="AK2355">
        <v>682</v>
      </c>
      <c r="AL2355">
        <v>1.58</v>
      </c>
    </row>
    <row r="2356" spans="1:38" x14ac:dyDescent="0.3">
      <c r="A2356" t="s">
        <v>2854</v>
      </c>
      <c r="B2356">
        <v>120320</v>
      </c>
      <c r="C2356">
        <v>1</v>
      </c>
      <c r="D2356" t="s">
        <v>2969</v>
      </c>
      <c r="E2356" t="s">
        <v>397</v>
      </c>
      <c r="F2356">
        <v>30</v>
      </c>
      <c r="G2356">
        <v>13.83</v>
      </c>
      <c r="H2356">
        <v>45.73</v>
      </c>
      <c r="I2356">
        <v>11.64</v>
      </c>
      <c r="J2356">
        <v>38.49</v>
      </c>
      <c r="K2356">
        <v>1</v>
      </c>
      <c r="T2356">
        <v>1</v>
      </c>
      <c r="U2356">
        <v>1</v>
      </c>
      <c r="V2356" t="s">
        <v>93</v>
      </c>
      <c r="W2356" t="s">
        <v>965</v>
      </c>
      <c r="X2356">
        <v>12</v>
      </c>
      <c r="Y2356">
        <v>11</v>
      </c>
      <c r="Z2356" t="s">
        <v>2970</v>
      </c>
      <c r="AA2356" t="s">
        <v>2971</v>
      </c>
      <c r="AB2356" t="s">
        <v>96</v>
      </c>
      <c r="AC2356" t="s">
        <v>97</v>
      </c>
      <c r="AD2356" t="s">
        <v>2859</v>
      </c>
      <c r="AG2356" t="s">
        <v>2972</v>
      </c>
      <c r="AH2356">
        <v>0</v>
      </c>
      <c r="AI2356">
        <v>399</v>
      </c>
      <c r="AJ2356">
        <v>58</v>
      </c>
      <c r="AK2356">
        <v>21</v>
      </c>
      <c r="AL2356">
        <v>0.7</v>
      </c>
    </row>
    <row r="2357" spans="1:38" x14ac:dyDescent="0.3">
      <c r="A2357" t="s">
        <v>2854</v>
      </c>
      <c r="B2357">
        <v>120320</v>
      </c>
      <c r="C2357">
        <v>2</v>
      </c>
      <c r="D2357" t="s">
        <v>2969</v>
      </c>
      <c r="E2357" t="s">
        <v>397</v>
      </c>
      <c r="F2357">
        <v>30</v>
      </c>
      <c r="G2357">
        <v>14.43</v>
      </c>
      <c r="H2357">
        <v>47.72</v>
      </c>
      <c r="I2357">
        <v>12.25</v>
      </c>
      <c r="J2357">
        <v>40.51</v>
      </c>
      <c r="K2357">
        <v>1</v>
      </c>
      <c r="T2357">
        <v>1</v>
      </c>
      <c r="U2357">
        <v>1</v>
      </c>
      <c r="V2357" t="s">
        <v>93</v>
      </c>
      <c r="W2357" t="s">
        <v>2072</v>
      </c>
      <c r="X2357">
        <v>12</v>
      </c>
      <c r="Y2357">
        <v>11</v>
      </c>
      <c r="Z2357" t="s">
        <v>2970</v>
      </c>
      <c r="AA2357" t="s">
        <v>2971</v>
      </c>
      <c r="AB2357" t="s">
        <v>96</v>
      </c>
      <c r="AC2357" t="s">
        <v>97</v>
      </c>
      <c r="AD2357" t="s">
        <v>2859</v>
      </c>
      <c r="AG2357" t="s">
        <v>2972</v>
      </c>
      <c r="AH2357">
        <v>0</v>
      </c>
      <c r="AI2357">
        <v>399</v>
      </c>
      <c r="AJ2357">
        <v>58</v>
      </c>
      <c r="AK2357">
        <v>21</v>
      </c>
      <c r="AL2357">
        <v>0.7</v>
      </c>
    </row>
    <row r="2358" spans="1:38" x14ac:dyDescent="0.3">
      <c r="A2358" t="s">
        <v>2854</v>
      </c>
      <c r="B2358">
        <v>120320</v>
      </c>
      <c r="C2358">
        <v>3</v>
      </c>
      <c r="D2358" t="s">
        <v>2969</v>
      </c>
      <c r="E2358" t="s">
        <v>397</v>
      </c>
      <c r="F2358">
        <v>30</v>
      </c>
      <c r="G2358">
        <v>16.2</v>
      </c>
      <c r="H2358">
        <v>53.56</v>
      </c>
      <c r="I2358">
        <v>13.98</v>
      </c>
      <c r="J2358">
        <v>46.22</v>
      </c>
      <c r="K2358">
        <v>1</v>
      </c>
      <c r="T2358">
        <v>3</v>
      </c>
      <c r="U2358">
        <v>2</v>
      </c>
      <c r="V2358" t="s">
        <v>93</v>
      </c>
      <c r="W2358" t="s">
        <v>1273</v>
      </c>
      <c r="X2358">
        <v>12</v>
      </c>
      <c r="Y2358">
        <v>11</v>
      </c>
      <c r="Z2358" t="s">
        <v>2970</v>
      </c>
      <c r="AA2358" t="s">
        <v>2971</v>
      </c>
      <c r="AB2358" t="s">
        <v>96</v>
      </c>
      <c r="AC2358" t="s">
        <v>97</v>
      </c>
      <c r="AD2358" t="s">
        <v>2859</v>
      </c>
      <c r="AG2358" t="s">
        <v>2972</v>
      </c>
      <c r="AH2358">
        <v>0</v>
      </c>
      <c r="AI2358">
        <v>399</v>
      </c>
      <c r="AJ2358">
        <v>58</v>
      </c>
      <c r="AK2358">
        <v>21</v>
      </c>
      <c r="AL2358">
        <v>0.7</v>
      </c>
    </row>
    <row r="2359" spans="1:38" x14ac:dyDescent="0.3">
      <c r="A2359" t="s">
        <v>2854</v>
      </c>
      <c r="B2359">
        <v>120320</v>
      </c>
      <c r="C2359">
        <v>4</v>
      </c>
      <c r="D2359" t="s">
        <v>2969</v>
      </c>
      <c r="E2359" t="s">
        <v>397</v>
      </c>
      <c r="F2359">
        <v>30</v>
      </c>
      <c r="G2359">
        <v>16.23</v>
      </c>
      <c r="H2359">
        <v>53.67</v>
      </c>
      <c r="I2359">
        <v>14.05</v>
      </c>
      <c r="J2359">
        <v>46.45</v>
      </c>
      <c r="K2359">
        <v>1</v>
      </c>
      <c r="T2359">
        <v>3</v>
      </c>
      <c r="U2359">
        <v>2</v>
      </c>
      <c r="V2359" t="s">
        <v>93</v>
      </c>
      <c r="W2359" t="s">
        <v>1274</v>
      </c>
      <c r="X2359">
        <v>12</v>
      </c>
      <c r="Y2359">
        <v>11</v>
      </c>
      <c r="Z2359" t="s">
        <v>2970</v>
      </c>
      <c r="AA2359" t="s">
        <v>2971</v>
      </c>
      <c r="AB2359" t="s">
        <v>96</v>
      </c>
      <c r="AC2359" t="s">
        <v>97</v>
      </c>
      <c r="AD2359" t="s">
        <v>2859</v>
      </c>
      <c r="AG2359" t="s">
        <v>2972</v>
      </c>
      <c r="AH2359">
        <v>0</v>
      </c>
      <c r="AI2359">
        <v>399</v>
      </c>
      <c r="AJ2359">
        <v>58</v>
      </c>
      <c r="AK2359">
        <v>21</v>
      </c>
      <c r="AL2359">
        <v>0.7</v>
      </c>
    </row>
    <row r="2360" spans="1:38" x14ac:dyDescent="0.3">
      <c r="A2360" t="s">
        <v>2854</v>
      </c>
      <c r="B2360">
        <v>120320</v>
      </c>
      <c r="C2360">
        <v>5</v>
      </c>
      <c r="D2360" t="s">
        <v>2969</v>
      </c>
      <c r="E2360" t="s">
        <v>397</v>
      </c>
      <c r="F2360">
        <v>30</v>
      </c>
      <c r="G2360">
        <v>16.41</v>
      </c>
      <c r="H2360">
        <v>54.25</v>
      </c>
      <c r="I2360">
        <v>13.7</v>
      </c>
      <c r="J2360">
        <v>45.31</v>
      </c>
      <c r="K2360">
        <v>1</v>
      </c>
      <c r="T2360">
        <v>2</v>
      </c>
      <c r="U2360">
        <v>1</v>
      </c>
      <c r="V2360" t="s">
        <v>93</v>
      </c>
      <c r="W2360" t="s">
        <v>176</v>
      </c>
      <c r="X2360">
        <v>12</v>
      </c>
      <c r="Y2360">
        <v>11</v>
      </c>
      <c r="Z2360" t="s">
        <v>2970</v>
      </c>
      <c r="AA2360" t="s">
        <v>2971</v>
      </c>
      <c r="AB2360" t="s">
        <v>96</v>
      </c>
      <c r="AC2360" t="s">
        <v>97</v>
      </c>
      <c r="AD2360" t="s">
        <v>2859</v>
      </c>
      <c r="AG2360" t="s">
        <v>2972</v>
      </c>
      <c r="AH2360">
        <v>0</v>
      </c>
      <c r="AI2360">
        <v>399</v>
      </c>
      <c r="AJ2360">
        <v>58</v>
      </c>
      <c r="AK2360">
        <v>21</v>
      </c>
      <c r="AL2360">
        <v>0.7</v>
      </c>
    </row>
    <row r="2361" spans="1:38" x14ac:dyDescent="0.3">
      <c r="A2361" t="s">
        <v>2854</v>
      </c>
      <c r="B2361">
        <v>120320</v>
      </c>
      <c r="C2361">
        <v>6</v>
      </c>
      <c r="D2361" t="s">
        <v>2969</v>
      </c>
      <c r="E2361" t="s">
        <v>397</v>
      </c>
      <c r="F2361" t="s">
        <v>2973</v>
      </c>
      <c r="G2361">
        <v>16.559999999999999</v>
      </c>
      <c r="H2361">
        <v>54.75</v>
      </c>
      <c r="I2361">
        <v>13.89</v>
      </c>
      <c r="J2361">
        <v>45.95</v>
      </c>
      <c r="K2361">
        <v>1</v>
      </c>
      <c r="T2361">
        <v>3</v>
      </c>
      <c r="U2361">
        <v>2</v>
      </c>
      <c r="V2361" t="s">
        <v>93</v>
      </c>
      <c r="W2361" t="s">
        <v>176</v>
      </c>
      <c r="X2361">
        <v>12</v>
      </c>
      <c r="Y2361">
        <v>11</v>
      </c>
      <c r="Z2361" t="s">
        <v>2970</v>
      </c>
      <c r="AA2361" t="s">
        <v>2971</v>
      </c>
      <c r="AB2361" t="s">
        <v>96</v>
      </c>
      <c r="AC2361" t="s">
        <v>97</v>
      </c>
      <c r="AD2361" t="s">
        <v>2859</v>
      </c>
      <c r="AG2361" t="s">
        <v>2972</v>
      </c>
      <c r="AH2361">
        <v>0</v>
      </c>
      <c r="AI2361">
        <v>399</v>
      </c>
      <c r="AJ2361">
        <v>58</v>
      </c>
      <c r="AK2361">
        <v>21</v>
      </c>
      <c r="AL2361">
        <v>0.7</v>
      </c>
    </row>
    <row r="2362" spans="1:38" x14ac:dyDescent="0.3">
      <c r="A2362" t="s">
        <v>2854</v>
      </c>
      <c r="B2362">
        <v>120320</v>
      </c>
      <c r="C2362">
        <v>7</v>
      </c>
      <c r="D2362" t="s">
        <v>2969</v>
      </c>
      <c r="E2362" t="s">
        <v>397</v>
      </c>
      <c r="F2362">
        <v>30</v>
      </c>
      <c r="G2362">
        <v>16.63</v>
      </c>
      <c r="H2362">
        <v>54.99</v>
      </c>
      <c r="I2362">
        <v>14.23</v>
      </c>
      <c r="J2362">
        <v>47.05</v>
      </c>
      <c r="K2362">
        <v>1</v>
      </c>
      <c r="T2362">
        <v>3</v>
      </c>
      <c r="U2362">
        <v>2</v>
      </c>
      <c r="V2362" t="s">
        <v>93</v>
      </c>
      <c r="W2362" t="s">
        <v>2074</v>
      </c>
      <c r="X2362">
        <v>12</v>
      </c>
      <c r="Y2362">
        <v>11</v>
      </c>
      <c r="Z2362" t="s">
        <v>2970</v>
      </c>
      <c r="AA2362" t="s">
        <v>2971</v>
      </c>
      <c r="AB2362" t="s">
        <v>96</v>
      </c>
      <c r="AC2362" t="s">
        <v>97</v>
      </c>
      <c r="AD2362" t="s">
        <v>2859</v>
      </c>
      <c r="AG2362" t="s">
        <v>2972</v>
      </c>
      <c r="AH2362">
        <v>0</v>
      </c>
      <c r="AI2362">
        <v>399</v>
      </c>
      <c r="AJ2362">
        <v>58</v>
      </c>
      <c r="AK2362">
        <v>21</v>
      </c>
      <c r="AL2362">
        <v>0.7</v>
      </c>
    </row>
    <row r="2363" spans="1:38" x14ac:dyDescent="0.3">
      <c r="A2363" t="s">
        <v>2854</v>
      </c>
      <c r="B2363">
        <v>120320</v>
      </c>
      <c r="C2363">
        <v>8</v>
      </c>
      <c r="D2363" t="s">
        <v>2969</v>
      </c>
      <c r="E2363" t="s">
        <v>397</v>
      </c>
      <c r="F2363">
        <v>30</v>
      </c>
      <c r="G2363">
        <v>16.8</v>
      </c>
      <c r="H2363">
        <v>55.57</v>
      </c>
      <c r="I2363">
        <v>14.43</v>
      </c>
      <c r="J2363">
        <v>47.71</v>
      </c>
      <c r="K2363">
        <v>6</v>
      </c>
      <c r="T2363">
        <v>3</v>
      </c>
      <c r="U2363">
        <v>2</v>
      </c>
      <c r="V2363" t="s">
        <v>93</v>
      </c>
      <c r="W2363" t="s">
        <v>2974</v>
      </c>
      <c r="X2363">
        <v>12</v>
      </c>
      <c r="Y2363">
        <v>11</v>
      </c>
      <c r="Z2363" t="s">
        <v>2970</v>
      </c>
      <c r="AA2363" t="s">
        <v>2971</v>
      </c>
      <c r="AB2363" t="s">
        <v>96</v>
      </c>
      <c r="AC2363" t="s">
        <v>97</v>
      </c>
      <c r="AD2363" t="s">
        <v>2859</v>
      </c>
      <c r="AG2363" t="s">
        <v>2972</v>
      </c>
      <c r="AH2363">
        <v>0</v>
      </c>
      <c r="AI2363">
        <v>399</v>
      </c>
      <c r="AJ2363">
        <v>58</v>
      </c>
      <c r="AK2363">
        <v>21</v>
      </c>
      <c r="AL2363">
        <v>0.7</v>
      </c>
    </row>
    <row r="2364" spans="1:38" x14ac:dyDescent="0.3">
      <c r="A2364" t="s">
        <v>2854</v>
      </c>
      <c r="B2364">
        <v>120320</v>
      </c>
      <c r="C2364">
        <v>9</v>
      </c>
      <c r="D2364" t="s">
        <v>2969</v>
      </c>
      <c r="E2364" t="s">
        <v>397</v>
      </c>
      <c r="F2364">
        <v>30</v>
      </c>
      <c r="G2364">
        <v>16.850000000000001</v>
      </c>
      <c r="H2364">
        <v>55.73</v>
      </c>
      <c r="I2364">
        <v>14.35</v>
      </c>
      <c r="J2364">
        <v>47.47</v>
      </c>
      <c r="K2364">
        <v>4</v>
      </c>
      <c r="T2364">
        <v>3</v>
      </c>
      <c r="U2364">
        <v>2</v>
      </c>
      <c r="V2364" t="s">
        <v>93</v>
      </c>
      <c r="W2364" t="s">
        <v>2975</v>
      </c>
      <c r="X2364">
        <v>12</v>
      </c>
      <c r="Y2364">
        <v>11</v>
      </c>
      <c r="Z2364" t="s">
        <v>2970</v>
      </c>
      <c r="AA2364" t="s">
        <v>2971</v>
      </c>
      <c r="AB2364" t="s">
        <v>96</v>
      </c>
      <c r="AC2364" t="s">
        <v>97</v>
      </c>
      <c r="AD2364" t="s">
        <v>2859</v>
      </c>
      <c r="AG2364" t="s">
        <v>2972</v>
      </c>
      <c r="AH2364">
        <v>0</v>
      </c>
      <c r="AI2364">
        <v>399</v>
      </c>
      <c r="AJ2364">
        <v>58</v>
      </c>
      <c r="AK2364">
        <v>21</v>
      </c>
      <c r="AL2364">
        <v>0.7</v>
      </c>
    </row>
    <row r="2365" spans="1:38" x14ac:dyDescent="0.3">
      <c r="A2365" t="s">
        <v>2854</v>
      </c>
      <c r="B2365">
        <v>120320</v>
      </c>
      <c r="C2365">
        <v>10</v>
      </c>
      <c r="D2365" t="s">
        <v>2969</v>
      </c>
      <c r="E2365" t="s">
        <v>397</v>
      </c>
      <c r="F2365">
        <v>30</v>
      </c>
      <c r="G2365">
        <v>16.899999999999999</v>
      </c>
      <c r="H2365">
        <v>55.88</v>
      </c>
      <c r="I2365">
        <v>14.43</v>
      </c>
      <c r="J2365">
        <v>47.72</v>
      </c>
      <c r="K2365">
        <v>4</v>
      </c>
      <c r="T2365">
        <v>3</v>
      </c>
      <c r="U2365">
        <v>2</v>
      </c>
      <c r="V2365" t="s">
        <v>93</v>
      </c>
      <c r="W2365" t="s">
        <v>2976</v>
      </c>
      <c r="X2365">
        <v>12</v>
      </c>
      <c r="Y2365">
        <v>11</v>
      </c>
      <c r="Z2365" t="s">
        <v>2970</v>
      </c>
      <c r="AA2365" t="s">
        <v>2971</v>
      </c>
      <c r="AB2365" t="s">
        <v>96</v>
      </c>
      <c r="AC2365" t="s">
        <v>97</v>
      </c>
      <c r="AD2365" t="s">
        <v>2859</v>
      </c>
      <c r="AG2365" t="s">
        <v>2972</v>
      </c>
      <c r="AH2365">
        <v>0</v>
      </c>
      <c r="AI2365">
        <v>399</v>
      </c>
      <c r="AJ2365">
        <v>58</v>
      </c>
      <c r="AK2365">
        <v>21</v>
      </c>
      <c r="AL2365">
        <v>0.7</v>
      </c>
    </row>
    <row r="2366" spans="1:38" x14ac:dyDescent="0.3">
      <c r="A2366" t="s">
        <v>2854</v>
      </c>
      <c r="B2366">
        <v>120320</v>
      </c>
      <c r="C2366">
        <v>11</v>
      </c>
      <c r="D2366" t="s">
        <v>2969</v>
      </c>
      <c r="E2366" t="s">
        <v>397</v>
      </c>
      <c r="F2366">
        <v>30</v>
      </c>
      <c r="G2366">
        <v>16.64</v>
      </c>
      <c r="H2366">
        <v>55.04</v>
      </c>
      <c r="I2366">
        <v>14.29</v>
      </c>
      <c r="J2366">
        <v>47.27</v>
      </c>
      <c r="K2366">
        <v>1</v>
      </c>
      <c r="T2366">
        <v>3</v>
      </c>
      <c r="U2366">
        <v>2</v>
      </c>
      <c r="V2366" t="s">
        <v>93</v>
      </c>
      <c r="W2366" t="s">
        <v>2625</v>
      </c>
      <c r="X2366">
        <v>12</v>
      </c>
      <c r="Y2366">
        <v>11</v>
      </c>
      <c r="Z2366" t="s">
        <v>2970</v>
      </c>
      <c r="AA2366" t="s">
        <v>2971</v>
      </c>
      <c r="AB2366" t="s">
        <v>96</v>
      </c>
      <c r="AC2366" t="s">
        <v>97</v>
      </c>
      <c r="AD2366" t="s">
        <v>2859</v>
      </c>
      <c r="AG2366" t="s">
        <v>2972</v>
      </c>
      <c r="AH2366">
        <v>0</v>
      </c>
      <c r="AI2366">
        <v>399</v>
      </c>
      <c r="AJ2366">
        <v>58</v>
      </c>
      <c r="AK2366">
        <v>21</v>
      </c>
      <c r="AL2366">
        <v>0.7</v>
      </c>
    </row>
    <row r="2367" spans="1:38" x14ac:dyDescent="0.3">
      <c r="A2367" t="s">
        <v>2854</v>
      </c>
      <c r="B2367">
        <v>120320</v>
      </c>
      <c r="C2367">
        <v>12</v>
      </c>
      <c r="D2367" t="s">
        <v>2969</v>
      </c>
      <c r="E2367" t="s">
        <v>397</v>
      </c>
      <c r="F2367">
        <v>30</v>
      </c>
      <c r="G2367">
        <v>16.79</v>
      </c>
      <c r="H2367">
        <v>55.51</v>
      </c>
      <c r="I2367">
        <v>14.33</v>
      </c>
      <c r="J2367">
        <v>47.39</v>
      </c>
      <c r="K2367">
        <v>1</v>
      </c>
      <c r="T2367">
        <v>3</v>
      </c>
      <c r="U2367">
        <v>2</v>
      </c>
      <c r="V2367" t="s">
        <v>93</v>
      </c>
      <c r="W2367" t="s">
        <v>2977</v>
      </c>
      <c r="X2367">
        <v>12</v>
      </c>
      <c r="Y2367">
        <v>11</v>
      </c>
      <c r="Z2367" t="s">
        <v>2970</v>
      </c>
      <c r="AA2367" t="s">
        <v>2971</v>
      </c>
      <c r="AB2367" t="s">
        <v>96</v>
      </c>
      <c r="AC2367" t="s">
        <v>97</v>
      </c>
      <c r="AD2367" t="s">
        <v>2859</v>
      </c>
      <c r="AG2367" t="s">
        <v>2972</v>
      </c>
      <c r="AH2367">
        <v>0</v>
      </c>
      <c r="AI2367">
        <v>399</v>
      </c>
      <c r="AJ2367">
        <v>58</v>
      </c>
      <c r="AK2367">
        <v>21</v>
      </c>
      <c r="AL2367">
        <v>0.7</v>
      </c>
    </row>
    <row r="2368" spans="1:38" x14ac:dyDescent="0.3">
      <c r="A2368" t="s">
        <v>2854</v>
      </c>
      <c r="B2368">
        <v>120320</v>
      </c>
      <c r="C2368">
        <v>13</v>
      </c>
      <c r="D2368" t="s">
        <v>2969</v>
      </c>
      <c r="E2368" t="s">
        <v>397</v>
      </c>
      <c r="F2368">
        <v>30</v>
      </c>
      <c r="G2368">
        <v>16.940000000000001</v>
      </c>
      <c r="H2368">
        <v>56.02</v>
      </c>
      <c r="I2368">
        <v>14.55</v>
      </c>
      <c r="J2368">
        <v>48.13</v>
      </c>
      <c r="K2368">
        <v>6</v>
      </c>
      <c r="T2368">
        <v>3</v>
      </c>
      <c r="U2368">
        <v>2</v>
      </c>
      <c r="V2368" t="s">
        <v>93</v>
      </c>
      <c r="W2368" t="s">
        <v>2978</v>
      </c>
      <c r="X2368">
        <v>12</v>
      </c>
      <c r="Y2368">
        <v>11</v>
      </c>
      <c r="Z2368" t="s">
        <v>2970</v>
      </c>
      <c r="AA2368" t="s">
        <v>2971</v>
      </c>
      <c r="AB2368" t="s">
        <v>96</v>
      </c>
      <c r="AC2368" t="s">
        <v>97</v>
      </c>
      <c r="AD2368" t="s">
        <v>2859</v>
      </c>
      <c r="AG2368" t="s">
        <v>2972</v>
      </c>
      <c r="AH2368">
        <v>0</v>
      </c>
      <c r="AI2368">
        <v>399</v>
      </c>
      <c r="AJ2368">
        <v>58</v>
      </c>
      <c r="AK2368">
        <v>21</v>
      </c>
      <c r="AL2368">
        <v>0.7</v>
      </c>
    </row>
    <row r="2369" spans="1:38" x14ac:dyDescent="0.3">
      <c r="A2369" t="s">
        <v>2854</v>
      </c>
      <c r="B2369">
        <v>120320</v>
      </c>
      <c r="C2369">
        <v>14</v>
      </c>
      <c r="D2369" t="s">
        <v>2969</v>
      </c>
      <c r="E2369" t="s">
        <v>397</v>
      </c>
      <c r="F2369">
        <v>30</v>
      </c>
      <c r="G2369">
        <v>17.27</v>
      </c>
      <c r="H2369">
        <v>57.11</v>
      </c>
      <c r="I2369">
        <v>14.79</v>
      </c>
      <c r="J2369">
        <v>48.9</v>
      </c>
      <c r="K2369">
        <v>1</v>
      </c>
      <c r="T2369">
        <v>3</v>
      </c>
      <c r="U2369">
        <v>2</v>
      </c>
      <c r="V2369" t="s">
        <v>93</v>
      </c>
      <c r="W2369" t="s">
        <v>2979</v>
      </c>
      <c r="X2369">
        <v>12</v>
      </c>
      <c r="Y2369">
        <v>11</v>
      </c>
      <c r="Z2369" t="s">
        <v>2970</v>
      </c>
      <c r="AA2369" t="s">
        <v>2971</v>
      </c>
      <c r="AB2369" t="s">
        <v>96</v>
      </c>
      <c r="AC2369" t="s">
        <v>97</v>
      </c>
      <c r="AD2369" t="s">
        <v>2859</v>
      </c>
      <c r="AG2369" t="s">
        <v>2972</v>
      </c>
      <c r="AH2369">
        <v>0</v>
      </c>
      <c r="AI2369">
        <v>399</v>
      </c>
      <c r="AJ2369">
        <v>58</v>
      </c>
      <c r="AK2369">
        <v>21</v>
      </c>
      <c r="AL2369">
        <v>0.7</v>
      </c>
    </row>
    <row r="2370" spans="1:38" x14ac:dyDescent="0.3">
      <c r="A2370" t="s">
        <v>2854</v>
      </c>
      <c r="B2370">
        <v>8123</v>
      </c>
      <c r="C2370">
        <v>1</v>
      </c>
      <c r="D2370" t="s">
        <v>2980</v>
      </c>
      <c r="E2370" t="s">
        <v>1490</v>
      </c>
      <c r="F2370">
        <v>444</v>
      </c>
      <c r="G2370">
        <v>18.05</v>
      </c>
      <c r="H2370">
        <v>59.67</v>
      </c>
      <c r="I2370">
        <v>13.91</v>
      </c>
      <c r="J2370">
        <v>46.01</v>
      </c>
      <c r="K2370">
        <v>168</v>
      </c>
      <c r="T2370">
        <v>2</v>
      </c>
      <c r="U2370">
        <v>1</v>
      </c>
      <c r="V2370" t="s">
        <v>93</v>
      </c>
      <c r="W2370">
        <v>59</v>
      </c>
      <c r="X2370">
        <v>6</v>
      </c>
      <c r="Y2370">
        <v>6</v>
      </c>
      <c r="Z2370" t="s">
        <v>2981</v>
      </c>
      <c r="AA2370" t="s">
        <v>2982</v>
      </c>
      <c r="AB2370" t="s">
        <v>96</v>
      </c>
      <c r="AC2370" t="s">
        <v>97</v>
      </c>
      <c r="AD2370" t="s">
        <v>2859</v>
      </c>
      <c r="AG2370" t="s">
        <v>2983</v>
      </c>
      <c r="AH2370">
        <v>0</v>
      </c>
      <c r="AI2370">
        <v>189</v>
      </c>
      <c r="AJ2370">
        <v>33</v>
      </c>
      <c r="AK2370">
        <v>0</v>
      </c>
      <c r="AL2370">
        <v>0</v>
      </c>
    </row>
    <row r="2371" spans="1:38" x14ac:dyDescent="0.3">
      <c r="A2371" t="s">
        <v>2854</v>
      </c>
      <c r="B2371">
        <v>8123</v>
      </c>
      <c r="C2371">
        <v>2</v>
      </c>
      <c r="D2371" t="s">
        <v>2980</v>
      </c>
      <c r="E2371" t="s">
        <v>1490</v>
      </c>
      <c r="F2371">
        <v>444</v>
      </c>
      <c r="G2371">
        <v>19.850000000000001</v>
      </c>
      <c r="H2371">
        <v>65.64</v>
      </c>
      <c r="I2371">
        <v>15.46</v>
      </c>
      <c r="J2371">
        <v>51.12</v>
      </c>
      <c r="K2371">
        <v>36</v>
      </c>
      <c r="T2371">
        <v>3</v>
      </c>
      <c r="U2371">
        <v>1</v>
      </c>
      <c r="V2371" t="s">
        <v>93</v>
      </c>
      <c r="W2371">
        <v>65</v>
      </c>
      <c r="X2371">
        <v>6</v>
      </c>
      <c r="Y2371">
        <v>6</v>
      </c>
      <c r="Z2371" t="s">
        <v>2981</v>
      </c>
      <c r="AA2371" t="s">
        <v>2982</v>
      </c>
      <c r="AB2371" t="s">
        <v>96</v>
      </c>
      <c r="AC2371" t="s">
        <v>97</v>
      </c>
      <c r="AD2371" t="s">
        <v>2859</v>
      </c>
      <c r="AG2371" t="s">
        <v>2983</v>
      </c>
      <c r="AH2371">
        <v>0</v>
      </c>
      <c r="AI2371">
        <v>189</v>
      </c>
      <c r="AJ2371">
        <v>33</v>
      </c>
      <c r="AK2371">
        <v>0</v>
      </c>
      <c r="AL2371">
        <v>0</v>
      </c>
    </row>
    <row r="2372" spans="1:38" x14ac:dyDescent="0.3">
      <c r="A2372" t="s">
        <v>2854</v>
      </c>
      <c r="B2372">
        <v>8123</v>
      </c>
      <c r="C2372">
        <v>3</v>
      </c>
      <c r="D2372" t="s">
        <v>2980</v>
      </c>
      <c r="E2372" t="s">
        <v>1490</v>
      </c>
      <c r="F2372">
        <v>444</v>
      </c>
      <c r="G2372">
        <v>20.97</v>
      </c>
      <c r="H2372">
        <v>69.33</v>
      </c>
      <c r="I2372">
        <v>16.41</v>
      </c>
      <c r="J2372">
        <v>54.27</v>
      </c>
      <c r="K2372">
        <v>216</v>
      </c>
      <c r="T2372">
        <v>3</v>
      </c>
      <c r="U2372">
        <v>1</v>
      </c>
      <c r="V2372" t="s">
        <v>93</v>
      </c>
      <c r="W2372">
        <v>69</v>
      </c>
      <c r="X2372">
        <v>6</v>
      </c>
      <c r="Y2372">
        <v>6</v>
      </c>
      <c r="Z2372" t="s">
        <v>2981</v>
      </c>
      <c r="AA2372" t="s">
        <v>2982</v>
      </c>
      <c r="AB2372" t="s">
        <v>96</v>
      </c>
      <c r="AC2372" t="s">
        <v>97</v>
      </c>
      <c r="AD2372" t="s">
        <v>2859</v>
      </c>
      <c r="AG2372" t="s">
        <v>2983</v>
      </c>
      <c r="AH2372">
        <v>0</v>
      </c>
      <c r="AI2372">
        <v>189</v>
      </c>
      <c r="AJ2372">
        <v>33</v>
      </c>
      <c r="AK2372">
        <v>0</v>
      </c>
      <c r="AL2372">
        <v>0</v>
      </c>
    </row>
    <row r="2373" spans="1:38" x14ac:dyDescent="0.3">
      <c r="A2373" t="s">
        <v>2854</v>
      </c>
      <c r="B2373">
        <v>8123</v>
      </c>
      <c r="C2373">
        <v>4</v>
      </c>
      <c r="D2373" t="s">
        <v>2980</v>
      </c>
      <c r="E2373" t="s">
        <v>1490</v>
      </c>
      <c r="F2373">
        <v>444</v>
      </c>
      <c r="G2373">
        <v>26.76</v>
      </c>
      <c r="H2373">
        <v>88.49</v>
      </c>
      <c r="I2373">
        <v>21.37</v>
      </c>
      <c r="J2373">
        <v>70.650000000000006</v>
      </c>
      <c r="K2373">
        <v>24</v>
      </c>
      <c r="T2373">
        <v>3</v>
      </c>
      <c r="U2373">
        <v>1</v>
      </c>
      <c r="V2373" t="s">
        <v>93</v>
      </c>
      <c r="W2373">
        <v>88</v>
      </c>
      <c r="X2373">
        <v>6</v>
      </c>
      <c r="Y2373">
        <v>6</v>
      </c>
      <c r="Z2373" t="s">
        <v>2981</v>
      </c>
      <c r="AA2373" t="s">
        <v>2982</v>
      </c>
      <c r="AB2373" t="s">
        <v>96</v>
      </c>
      <c r="AC2373" t="s">
        <v>97</v>
      </c>
      <c r="AD2373" t="s">
        <v>2859</v>
      </c>
      <c r="AG2373" t="s">
        <v>2983</v>
      </c>
      <c r="AH2373">
        <v>0</v>
      </c>
      <c r="AI2373">
        <v>189</v>
      </c>
      <c r="AJ2373">
        <v>33</v>
      </c>
      <c r="AK2373">
        <v>0</v>
      </c>
      <c r="AL2373">
        <v>0</v>
      </c>
    </row>
    <row r="2374" spans="1:38" x14ac:dyDescent="0.3">
      <c r="A2374" t="s">
        <v>2854</v>
      </c>
      <c r="B2374">
        <v>26412</v>
      </c>
      <c r="C2374">
        <v>1</v>
      </c>
      <c r="D2374" t="s">
        <v>2984</v>
      </c>
      <c r="E2374" t="s">
        <v>1548</v>
      </c>
      <c r="F2374">
        <v>707</v>
      </c>
      <c r="G2374">
        <v>25.71</v>
      </c>
      <c r="H2374">
        <v>85.02</v>
      </c>
      <c r="I2374">
        <v>18.079999999999998</v>
      </c>
      <c r="J2374">
        <v>59.79</v>
      </c>
      <c r="K2374">
        <v>109</v>
      </c>
      <c r="T2374">
        <v>3</v>
      </c>
      <c r="U2374">
        <v>2</v>
      </c>
      <c r="V2374" t="s">
        <v>93</v>
      </c>
      <c r="W2374">
        <v>85</v>
      </c>
      <c r="X2374">
        <v>53</v>
      </c>
      <c r="Y2374">
        <v>36</v>
      </c>
      <c r="Z2374" t="s">
        <v>2985</v>
      </c>
      <c r="AA2374" t="s">
        <v>2986</v>
      </c>
      <c r="AB2374" t="s">
        <v>96</v>
      </c>
      <c r="AC2374" t="s">
        <v>97</v>
      </c>
      <c r="AD2374" t="s">
        <v>2859</v>
      </c>
      <c r="AG2374" t="s">
        <v>2987</v>
      </c>
      <c r="AH2374">
        <v>0</v>
      </c>
      <c r="AI2374">
        <v>249</v>
      </c>
      <c r="AJ2374">
        <v>9</v>
      </c>
      <c r="AK2374">
        <v>1067</v>
      </c>
      <c r="AL2374">
        <v>1.51</v>
      </c>
    </row>
    <row r="2375" spans="1:38" x14ac:dyDescent="0.3">
      <c r="A2375" t="s">
        <v>2854</v>
      </c>
      <c r="B2375">
        <v>26412</v>
      </c>
      <c r="C2375">
        <v>2</v>
      </c>
      <c r="D2375" t="s">
        <v>2984</v>
      </c>
      <c r="E2375" t="s">
        <v>1548</v>
      </c>
      <c r="F2375">
        <v>707</v>
      </c>
      <c r="G2375">
        <v>39.090000000000003</v>
      </c>
      <c r="H2375">
        <v>129.24</v>
      </c>
      <c r="I2375">
        <v>27.61</v>
      </c>
      <c r="J2375">
        <v>91.3</v>
      </c>
      <c r="K2375">
        <v>135</v>
      </c>
      <c r="T2375">
        <v>3</v>
      </c>
      <c r="U2375">
        <v>2</v>
      </c>
      <c r="V2375" t="s">
        <v>93</v>
      </c>
      <c r="W2375" t="s">
        <v>2988</v>
      </c>
      <c r="X2375">
        <v>53</v>
      </c>
      <c r="Y2375">
        <v>36</v>
      </c>
      <c r="Z2375" t="s">
        <v>2985</v>
      </c>
      <c r="AA2375" t="s">
        <v>2986</v>
      </c>
      <c r="AB2375" t="s">
        <v>96</v>
      </c>
      <c r="AC2375" t="s">
        <v>97</v>
      </c>
      <c r="AD2375" t="s">
        <v>2859</v>
      </c>
      <c r="AG2375" t="s">
        <v>2987</v>
      </c>
      <c r="AH2375">
        <v>0</v>
      </c>
      <c r="AI2375">
        <v>249</v>
      </c>
      <c r="AJ2375">
        <v>9</v>
      </c>
      <c r="AK2375">
        <v>1067</v>
      </c>
      <c r="AL2375">
        <v>1.51</v>
      </c>
    </row>
    <row r="2376" spans="1:38" x14ac:dyDescent="0.3">
      <c r="A2376" t="s">
        <v>2854</v>
      </c>
      <c r="B2376">
        <v>26412</v>
      </c>
      <c r="C2376">
        <v>3</v>
      </c>
      <c r="D2376" t="s">
        <v>2984</v>
      </c>
      <c r="E2376" t="s">
        <v>1548</v>
      </c>
      <c r="F2376">
        <v>707</v>
      </c>
      <c r="G2376">
        <v>39.04</v>
      </c>
      <c r="H2376">
        <v>129.06</v>
      </c>
      <c r="I2376">
        <v>28.15</v>
      </c>
      <c r="J2376">
        <v>93.06</v>
      </c>
      <c r="K2376">
        <v>38</v>
      </c>
      <c r="T2376">
        <v>3</v>
      </c>
      <c r="U2376">
        <v>2</v>
      </c>
      <c r="V2376" t="s">
        <v>93</v>
      </c>
      <c r="W2376" t="s">
        <v>2989</v>
      </c>
      <c r="X2376">
        <v>53</v>
      </c>
      <c r="Y2376">
        <v>36</v>
      </c>
      <c r="Z2376" t="s">
        <v>2985</v>
      </c>
      <c r="AA2376" t="s">
        <v>2986</v>
      </c>
      <c r="AB2376" t="s">
        <v>96</v>
      </c>
      <c r="AC2376" t="s">
        <v>97</v>
      </c>
      <c r="AD2376" t="s">
        <v>2859</v>
      </c>
      <c r="AG2376" t="s">
        <v>2987</v>
      </c>
      <c r="AH2376">
        <v>0</v>
      </c>
      <c r="AI2376">
        <v>249</v>
      </c>
      <c r="AJ2376">
        <v>9</v>
      </c>
      <c r="AK2376">
        <v>1067</v>
      </c>
      <c r="AL2376">
        <v>1.51</v>
      </c>
    </row>
    <row r="2377" spans="1:38" x14ac:dyDescent="0.3">
      <c r="A2377" t="s">
        <v>2854</v>
      </c>
      <c r="B2377">
        <v>26412</v>
      </c>
      <c r="C2377">
        <v>4</v>
      </c>
      <c r="D2377" t="s">
        <v>2984</v>
      </c>
      <c r="E2377" t="s">
        <v>1548</v>
      </c>
      <c r="F2377">
        <v>707</v>
      </c>
      <c r="G2377">
        <v>40.65</v>
      </c>
      <c r="H2377">
        <v>134.41</v>
      </c>
      <c r="I2377">
        <v>29.02</v>
      </c>
      <c r="J2377">
        <v>95.95</v>
      </c>
      <c r="K2377">
        <v>82</v>
      </c>
      <c r="T2377">
        <v>3</v>
      </c>
      <c r="U2377">
        <v>2</v>
      </c>
      <c r="V2377" t="s">
        <v>93</v>
      </c>
      <c r="W2377">
        <v>134</v>
      </c>
      <c r="X2377">
        <v>53</v>
      </c>
      <c r="Y2377">
        <v>36</v>
      </c>
      <c r="Z2377" t="s">
        <v>2985</v>
      </c>
      <c r="AA2377" t="s">
        <v>2986</v>
      </c>
      <c r="AB2377" t="s">
        <v>96</v>
      </c>
      <c r="AC2377" t="s">
        <v>97</v>
      </c>
      <c r="AD2377" t="s">
        <v>2859</v>
      </c>
      <c r="AG2377" t="s">
        <v>2987</v>
      </c>
      <c r="AH2377">
        <v>0</v>
      </c>
      <c r="AI2377">
        <v>249</v>
      </c>
      <c r="AJ2377">
        <v>9</v>
      </c>
      <c r="AK2377">
        <v>1067</v>
      </c>
      <c r="AL2377">
        <v>1.51</v>
      </c>
    </row>
    <row r="2378" spans="1:38" x14ac:dyDescent="0.3">
      <c r="A2378" t="s">
        <v>2854</v>
      </c>
      <c r="B2378">
        <v>26412</v>
      </c>
      <c r="C2378">
        <v>5</v>
      </c>
      <c r="D2378" t="s">
        <v>2984</v>
      </c>
      <c r="E2378" t="s">
        <v>1548</v>
      </c>
      <c r="F2378">
        <v>707</v>
      </c>
      <c r="G2378">
        <v>45.43</v>
      </c>
      <c r="H2378">
        <v>150.19999999999999</v>
      </c>
      <c r="I2378">
        <v>32.51</v>
      </c>
      <c r="J2378">
        <v>107.5</v>
      </c>
      <c r="K2378">
        <v>82</v>
      </c>
      <c r="T2378">
        <v>3</v>
      </c>
      <c r="U2378">
        <v>2</v>
      </c>
      <c r="V2378" t="s">
        <v>93</v>
      </c>
      <c r="W2378">
        <v>150</v>
      </c>
      <c r="X2378">
        <v>53</v>
      </c>
      <c r="Y2378">
        <v>36</v>
      </c>
      <c r="Z2378" t="s">
        <v>2985</v>
      </c>
      <c r="AA2378" t="s">
        <v>2986</v>
      </c>
      <c r="AB2378" t="s">
        <v>96</v>
      </c>
      <c r="AC2378" t="s">
        <v>97</v>
      </c>
      <c r="AD2378" t="s">
        <v>2859</v>
      </c>
      <c r="AG2378" t="s">
        <v>2987</v>
      </c>
      <c r="AH2378">
        <v>0</v>
      </c>
      <c r="AI2378">
        <v>249</v>
      </c>
      <c r="AJ2378">
        <v>9</v>
      </c>
      <c r="AK2378">
        <v>1067</v>
      </c>
      <c r="AL2378">
        <v>1.51</v>
      </c>
    </row>
    <row r="2379" spans="1:38" x14ac:dyDescent="0.3">
      <c r="A2379" t="s">
        <v>2854</v>
      </c>
      <c r="B2379">
        <v>26412</v>
      </c>
      <c r="C2379">
        <v>6</v>
      </c>
      <c r="D2379" t="s">
        <v>2984</v>
      </c>
      <c r="E2379" t="s">
        <v>1548</v>
      </c>
      <c r="F2379">
        <v>707</v>
      </c>
      <c r="G2379">
        <v>49.21</v>
      </c>
      <c r="H2379">
        <v>162.68</v>
      </c>
      <c r="I2379">
        <v>35.24</v>
      </c>
      <c r="J2379">
        <v>116.5</v>
      </c>
      <c r="K2379">
        <v>76</v>
      </c>
      <c r="T2379">
        <v>4</v>
      </c>
      <c r="U2379">
        <v>2</v>
      </c>
      <c r="V2379" t="s">
        <v>93</v>
      </c>
      <c r="W2379">
        <v>162</v>
      </c>
      <c r="X2379">
        <v>53</v>
      </c>
      <c r="Y2379">
        <v>36</v>
      </c>
      <c r="Z2379" t="s">
        <v>2985</v>
      </c>
      <c r="AA2379" t="s">
        <v>2986</v>
      </c>
      <c r="AB2379" t="s">
        <v>96</v>
      </c>
      <c r="AC2379" t="s">
        <v>97</v>
      </c>
      <c r="AD2379" t="s">
        <v>2859</v>
      </c>
      <c r="AG2379" t="s">
        <v>2987</v>
      </c>
      <c r="AH2379">
        <v>0</v>
      </c>
      <c r="AI2379">
        <v>249</v>
      </c>
      <c r="AJ2379">
        <v>9</v>
      </c>
      <c r="AK2379">
        <v>1067</v>
      </c>
      <c r="AL2379">
        <v>1.51</v>
      </c>
    </row>
    <row r="2380" spans="1:38" x14ac:dyDescent="0.3">
      <c r="A2380" t="s">
        <v>2854</v>
      </c>
      <c r="B2380">
        <v>26412</v>
      </c>
      <c r="C2380">
        <v>7</v>
      </c>
      <c r="D2380" t="s">
        <v>2984</v>
      </c>
      <c r="E2380" t="s">
        <v>1548</v>
      </c>
      <c r="F2380">
        <v>707</v>
      </c>
      <c r="G2380">
        <v>50.01</v>
      </c>
      <c r="H2380">
        <v>165.33</v>
      </c>
      <c r="I2380">
        <v>35.78</v>
      </c>
      <c r="J2380">
        <v>118.3</v>
      </c>
      <c r="K2380">
        <v>47</v>
      </c>
      <c r="T2380">
        <v>4</v>
      </c>
      <c r="U2380">
        <v>2</v>
      </c>
      <c r="V2380" t="s">
        <v>93</v>
      </c>
      <c r="W2380">
        <v>165</v>
      </c>
      <c r="X2380">
        <v>53</v>
      </c>
      <c r="Y2380">
        <v>36</v>
      </c>
      <c r="Z2380" t="s">
        <v>2985</v>
      </c>
      <c r="AA2380" t="s">
        <v>2986</v>
      </c>
      <c r="AB2380" t="s">
        <v>96</v>
      </c>
      <c r="AC2380" t="s">
        <v>97</v>
      </c>
      <c r="AD2380" t="s">
        <v>2859</v>
      </c>
      <c r="AG2380" t="s">
        <v>2987</v>
      </c>
      <c r="AH2380">
        <v>0</v>
      </c>
      <c r="AI2380">
        <v>249</v>
      </c>
      <c r="AJ2380">
        <v>9</v>
      </c>
      <c r="AK2380">
        <v>1067</v>
      </c>
      <c r="AL2380">
        <v>1.51</v>
      </c>
    </row>
    <row r="2381" spans="1:38" x14ac:dyDescent="0.3">
      <c r="A2381" t="s">
        <v>2854</v>
      </c>
      <c r="B2381">
        <v>26412</v>
      </c>
      <c r="C2381">
        <v>8</v>
      </c>
      <c r="D2381" t="s">
        <v>2984</v>
      </c>
      <c r="E2381" t="s">
        <v>1548</v>
      </c>
      <c r="F2381">
        <v>707</v>
      </c>
      <c r="G2381">
        <v>55.17</v>
      </c>
      <c r="H2381">
        <v>182.41</v>
      </c>
      <c r="I2381">
        <v>39.590000000000003</v>
      </c>
      <c r="J2381">
        <v>130.88999999999999</v>
      </c>
      <c r="K2381">
        <v>96</v>
      </c>
      <c r="T2381">
        <v>4</v>
      </c>
      <c r="U2381">
        <v>2</v>
      </c>
      <c r="V2381" t="s">
        <v>93</v>
      </c>
      <c r="W2381">
        <v>182</v>
      </c>
      <c r="X2381">
        <v>53</v>
      </c>
      <c r="Y2381">
        <v>36</v>
      </c>
      <c r="Z2381" t="s">
        <v>2985</v>
      </c>
      <c r="AA2381" t="s">
        <v>2986</v>
      </c>
      <c r="AB2381" t="s">
        <v>96</v>
      </c>
      <c r="AC2381" t="s">
        <v>97</v>
      </c>
      <c r="AD2381" t="s">
        <v>2859</v>
      </c>
      <c r="AG2381" t="s">
        <v>2987</v>
      </c>
      <c r="AH2381">
        <v>0</v>
      </c>
      <c r="AI2381">
        <v>249</v>
      </c>
      <c r="AJ2381">
        <v>9</v>
      </c>
      <c r="AK2381">
        <v>1067</v>
      </c>
      <c r="AL2381">
        <v>1.51</v>
      </c>
    </row>
    <row r="2382" spans="1:38" x14ac:dyDescent="0.3">
      <c r="A2382" t="s">
        <v>2854</v>
      </c>
      <c r="B2382">
        <v>26412</v>
      </c>
      <c r="C2382">
        <v>9</v>
      </c>
      <c r="D2382" t="s">
        <v>2984</v>
      </c>
      <c r="E2382" t="s">
        <v>1548</v>
      </c>
      <c r="F2382">
        <v>707</v>
      </c>
      <c r="G2382">
        <v>62.02</v>
      </c>
      <c r="H2382">
        <v>205.03</v>
      </c>
      <c r="I2382">
        <v>44.76</v>
      </c>
      <c r="J2382">
        <v>147.97</v>
      </c>
      <c r="K2382">
        <v>36</v>
      </c>
      <c r="T2382">
        <v>4</v>
      </c>
      <c r="U2382">
        <v>3</v>
      </c>
      <c r="V2382" t="s">
        <v>93</v>
      </c>
      <c r="W2382">
        <v>205</v>
      </c>
      <c r="X2382">
        <v>53</v>
      </c>
      <c r="Y2382">
        <v>36</v>
      </c>
      <c r="Z2382" t="s">
        <v>2985</v>
      </c>
      <c r="AA2382" t="s">
        <v>2986</v>
      </c>
      <c r="AB2382" t="s">
        <v>96</v>
      </c>
      <c r="AC2382" t="s">
        <v>97</v>
      </c>
      <c r="AD2382" t="s">
        <v>2859</v>
      </c>
      <c r="AG2382" t="s">
        <v>2987</v>
      </c>
      <c r="AH2382">
        <v>0</v>
      </c>
      <c r="AI2382">
        <v>249</v>
      </c>
      <c r="AJ2382">
        <v>9</v>
      </c>
      <c r="AK2382">
        <v>1067</v>
      </c>
      <c r="AL2382">
        <v>1.51</v>
      </c>
    </row>
    <row r="2383" spans="1:38" x14ac:dyDescent="0.3">
      <c r="A2383" t="s">
        <v>2854</v>
      </c>
      <c r="B2383">
        <v>26412</v>
      </c>
      <c r="C2383">
        <v>10</v>
      </c>
      <c r="D2383" t="s">
        <v>2984</v>
      </c>
      <c r="E2383" t="s">
        <v>1548</v>
      </c>
      <c r="F2383">
        <v>707</v>
      </c>
      <c r="G2383">
        <v>77.66</v>
      </c>
      <c r="H2383">
        <v>256.75</v>
      </c>
      <c r="I2383">
        <v>55.23</v>
      </c>
      <c r="J2383">
        <v>182.6</v>
      </c>
      <c r="K2383">
        <v>2</v>
      </c>
      <c r="T2383">
        <v>4</v>
      </c>
      <c r="U2383">
        <v>2</v>
      </c>
      <c r="V2383" t="s">
        <v>93</v>
      </c>
      <c r="W2383">
        <v>256</v>
      </c>
      <c r="X2383">
        <v>53</v>
      </c>
      <c r="Y2383">
        <v>36</v>
      </c>
      <c r="Z2383" t="s">
        <v>2985</v>
      </c>
      <c r="AA2383" t="s">
        <v>2986</v>
      </c>
      <c r="AB2383" t="s">
        <v>96</v>
      </c>
      <c r="AC2383" t="s">
        <v>97</v>
      </c>
      <c r="AD2383" t="s">
        <v>2859</v>
      </c>
      <c r="AG2383" t="s">
        <v>2987</v>
      </c>
      <c r="AH2383">
        <v>0</v>
      </c>
      <c r="AI2383">
        <v>249</v>
      </c>
      <c r="AJ2383">
        <v>9</v>
      </c>
      <c r="AK2383">
        <v>1067</v>
      </c>
      <c r="AL2383">
        <v>1.51</v>
      </c>
    </row>
    <row r="2384" spans="1:38" x14ac:dyDescent="0.3">
      <c r="A2384" t="s">
        <v>2854</v>
      </c>
      <c r="B2384">
        <v>26412</v>
      </c>
      <c r="C2384">
        <v>11</v>
      </c>
      <c r="D2384" t="s">
        <v>2984</v>
      </c>
      <c r="E2384" t="s">
        <v>1548</v>
      </c>
      <c r="F2384">
        <v>707</v>
      </c>
      <c r="G2384">
        <v>84.7</v>
      </c>
      <c r="H2384">
        <v>280.01</v>
      </c>
      <c r="I2384">
        <v>60.14</v>
      </c>
      <c r="J2384">
        <v>198.83</v>
      </c>
      <c r="K2384">
        <v>2</v>
      </c>
      <c r="T2384">
        <v>4</v>
      </c>
      <c r="U2384">
        <v>4</v>
      </c>
      <c r="V2384" t="s">
        <v>93</v>
      </c>
      <c r="W2384">
        <v>280</v>
      </c>
      <c r="X2384">
        <v>53</v>
      </c>
      <c r="Y2384">
        <v>36</v>
      </c>
      <c r="Z2384" t="s">
        <v>2985</v>
      </c>
      <c r="AA2384" t="s">
        <v>2986</v>
      </c>
      <c r="AB2384" t="s">
        <v>96</v>
      </c>
      <c r="AC2384" t="s">
        <v>97</v>
      </c>
      <c r="AD2384" t="s">
        <v>2859</v>
      </c>
      <c r="AG2384" t="s">
        <v>2987</v>
      </c>
      <c r="AH2384">
        <v>0</v>
      </c>
      <c r="AI2384">
        <v>249</v>
      </c>
      <c r="AJ2384">
        <v>9</v>
      </c>
      <c r="AK2384">
        <v>1067</v>
      </c>
      <c r="AL2384">
        <v>1.51</v>
      </c>
    </row>
    <row r="2385" spans="1:38" x14ac:dyDescent="0.3">
      <c r="A2385" t="s">
        <v>2854</v>
      </c>
      <c r="B2385">
        <v>26412</v>
      </c>
      <c r="C2385">
        <v>12</v>
      </c>
      <c r="D2385" t="s">
        <v>2984</v>
      </c>
      <c r="E2385" t="s">
        <v>1548</v>
      </c>
      <c r="F2385">
        <v>707</v>
      </c>
      <c r="G2385">
        <v>91.46</v>
      </c>
      <c r="H2385">
        <v>302.37</v>
      </c>
      <c r="I2385">
        <v>65.150000000000006</v>
      </c>
      <c r="J2385">
        <v>215.39</v>
      </c>
      <c r="K2385">
        <v>2</v>
      </c>
      <c r="T2385">
        <v>4</v>
      </c>
      <c r="U2385">
        <v>4</v>
      </c>
      <c r="V2385" t="s">
        <v>93</v>
      </c>
      <c r="W2385">
        <v>302</v>
      </c>
      <c r="X2385">
        <v>53</v>
      </c>
      <c r="Y2385">
        <v>36</v>
      </c>
      <c r="Z2385" t="s">
        <v>2985</v>
      </c>
      <c r="AA2385" t="s">
        <v>2986</v>
      </c>
      <c r="AB2385" t="s">
        <v>96</v>
      </c>
      <c r="AC2385" t="s">
        <v>97</v>
      </c>
      <c r="AD2385" t="s">
        <v>2859</v>
      </c>
      <c r="AG2385" t="s">
        <v>2987</v>
      </c>
      <c r="AH2385">
        <v>0</v>
      </c>
      <c r="AI2385">
        <v>249</v>
      </c>
      <c r="AJ2385">
        <v>9</v>
      </c>
      <c r="AK2385">
        <v>1067</v>
      </c>
      <c r="AL2385">
        <v>1.51</v>
      </c>
    </row>
    <row r="2386" spans="1:38" x14ac:dyDescent="0.3">
      <c r="A2386" t="s">
        <v>2854</v>
      </c>
      <c r="B2386">
        <v>11101</v>
      </c>
      <c r="C2386">
        <v>1</v>
      </c>
      <c r="D2386" t="s">
        <v>2990</v>
      </c>
      <c r="E2386" t="s">
        <v>1553</v>
      </c>
      <c r="F2386">
        <v>200</v>
      </c>
      <c r="G2386">
        <v>15.98</v>
      </c>
      <c r="H2386">
        <v>52.84</v>
      </c>
      <c r="I2386">
        <v>14.05</v>
      </c>
      <c r="J2386">
        <v>46.45</v>
      </c>
      <c r="K2386">
        <v>200</v>
      </c>
      <c r="T2386">
        <v>2</v>
      </c>
      <c r="U2386">
        <v>1</v>
      </c>
      <c r="V2386" t="s">
        <v>93</v>
      </c>
      <c r="W2386">
        <v>52</v>
      </c>
      <c r="X2386">
        <v>5</v>
      </c>
      <c r="Y2386">
        <v>5</v>
      </c>
      <c r="Z2386" t="s">
        <v>2991</v>
      </c>
      <c r="AA2386" t="s">
        <v>2992</v>
      </c>
      <c r="AB2386" t="s">
        <v>96</v>
      </c>
      <c r="AC2386" t="s">
        <v>97</v>
      </c>
      <c r="AD2386" t="s">
        <v>2859</v>
      </c>
      <c r="AG2386" t="s">
        <v>2993</v>
      </c>
      <c r="AH2386">
        <v>0</v>
      </c>
      <c r="AI2386">
        <v>98</v>
      </c>
      <c r="AJ2386">
        <v>19</v>
      </c>
      <c r="AK2386">
        <v>0</v>
      </c>
      <c r="AL2386">
        <v>0</v>
      </c>
    </row>
    <row r="2387" spans="1:38" x14ac:dyDescent="0.3">
      <c r="A2387" t="s">
        <v>2854</v>
      </c>
      <c r="B2387">
        <v>128407</v>
      </c>
      <c r="C2387">
        <v>1</v>
      </c>
      <c r="D2387" t="s">
        <v>2994</v>
      </c>
      <c r="E2387" t="s">
        <v>2995</v>
      </c>
      <c r="F2387">
        <v>336</v>
      </c>
      <c r="G2387">
        <v>24.79</v>
      </c>
      <c r="H2387">
        <v>81.97</v>
      </c>
      <c r="I2387">
        <v>18.12</v>
      </c>
      <c r="J2387">
        <v>59.93</v>
      </c>
      <c r="K2387">
        <v>26</v>
      </c>
      <c r="T2387">
        <v>3</v>
      </c>
      <c r="U2387">
        <v>2</v>
      </c>
      <c r="V2387" t="s">
        <v>93</v>
      </c>
      <c r="W2387" t="s">
        <v>746</v>
      </c>
      <c r="X2387">
        <v>27</v>
      </c>
      <c r="Y2387">
        <v>18</v>
      </c>
      <c r="Z2387" t="s">
        <v>2996</v>
      </c>
      <c r="AA2387" t="s">
        <v>2997</v>
      </c>
      <c r="AB2387" t="s">
        <v>96</v>
      </c>
      <c r="AC2387" t="s">
        <v>97</v>
      </c>
      <c r="AD2387" t="s">
        <v>2859</v>
      </c>
      <c r="AG2387" t="s">
        <v>285</v>
      </c>
      <c r="AH2387">
        <v>8</v>
      </c>
      <c r="AI2387">
        <v>0</v>
      </c>
      <c r="AJ2387">
        <v>0</v>
      </c>
      <c r="AK2387">
        <v>351</v>
      </c>
      <c r="AL2387">
        <v>1.04</v>
      </c>
    </row>
    <row r="2388" spans="1:38" x14ac:dyDescent="0.3">
      <c r="A2388" t="s">
        <v>2854</v>
      </c>
      <c r="B2388">
        <v>128407</v>
      </c>
      <c r="C2388">
        <v>2</v>
      </c>
      <c r="D2388" t="s">
        <v>2994</v>
      </c>
      <c r="E2388" t="s">
        <v>2995</v>
      </c>
      <c r="F2388">
        <v>336</v>
      </c>
      <c r="G2388">
        <v>24.88</v>
      </c>
      <c r="H2388">
        <v>82.25</v>
      </c>
      <c r="I2388">
        <v>18.14</v>
      </c>
      <c r="J2388">
        <v>59.98</v>
      </c>
      <c r="K2388">
        <v>216</v>
      </c>
      <c r="T2388">
        <v>3</v>
      </c>
      <c r="U2388">
        <v>2</v>
      </c>
      <c r="V2388" t="s">
        <v>93</v>
      </c>
      <c r="W2388" t="s">
        <v>152</v>
      </c>
      <c r="X2388">
        <v>27</v>
      </c>
      <c r="Y2388">
        <v>18</v>
      </c>
      <c r="Z2388" t="s">
        <v>2996</v>
      </c>
      <c r="AA2388" t="s">
        <v>2997</v>
      </c>
      <c r="AB2388" t="s">
        <v>96</v>
      </c>
      <c r="AC2388" t="s">
        <v>97</v>
      </c>
      <c r="AD2388" t="s">
        <v>2859</v>
      </c>
      <c r="AG2388" t="s">
        <v>285</v>
      </c>
      <c r="AH2388">
        <v>8</v>
      </c>
      <c r="AI2388">
        <v>0</v>
      </c>
      <c r="AJ2388">
        <v>0</v>
      </c>
      <c r="AK2388">
        <v>351</v>
      </c>
      <c r="AL2388">
        <v>1.04</v>
      </c>
    </row>
    <row r="2389" spans="1:38" x14ac:dyDescent="0.3">
      <c r="A2389" t="s">
        <v>2854</v>
      </c>
      <c r="B2389">
        <v>128407</v>
      </c>
      <c r="C2389">
        <v>3</v>
      </c>
      <c r="D2389" t="s">
        <v>2994</v>
      </c>
      <c r="E2389" t="s">
        <v>2995</v>
      </c>
      <c r="F2389">
        <v>336</v>
      </c>
      <c r="G2389">
        <v>30.61</v>
      </c>
      <c r="H2389">
        <v>101.2</v>
      </c>
      <c r="I2389">
        <v>22.66</v>
      </c>
      <c r="J2389">
        <v>74.92</v>
      </c>
      <c r="K2389">
        <v>86</v>
      </c>
      <c r="T2389">
        <v>3</v>
      </c>
      <c r="U2389">
        <v>2</v>
      </c>
      <c r="V2389" t="s">
        <v>93</v>
      </c>
      <c r="W2389">
        <v>101</v>
      </c>
      <c r="X2389">
        <v>27</v>
      </c>
      <c r="Y2389">
        <v>18</v>
      </c>
      <c r="Z2389" t="s">
        <v>2996</v>
      </c>
      <c r="AA2389" t="s">
        <v>2997</v>
      </c>
      <c r="AB2389" t="s">
        <v>96</v>
      </c>
      <c r="AC2389" t="s">
        <v>97</v>
      </c>
      <c r="AD2389" t="s">
        <v>2859</v>
      </c>
      <c r="AG2389" t="s">
        <v>285</v>
      </c>
      <c r="AH2389">
        <v>8</v>
      </c>
      <c r="AI2389">
        <v>0</v>
      </c>
      <c r="AJ2389">
        <v>0</v>
      </c>
      <c r="AK2389">
        <v>351</v>
      </c>
      <c r="AL2389">
        <v>1.04</v>
      </c>
    </row>
    <row r="2390" spans="1:38" x14ac:dyDescent="0.3">
      <c r="A2390" t="s">
        <v>2854</v>
      </c>
      <c r="B2390">
        <v>11606</v>
      </c>
      <c r="C2390">
        <v>1</v>
      </c>
      <c r="D2390" t="s">
        <v>2998</v>
      </c>
      <c r="E2390" t="s">
        <v>614</v>
      </c>
      <c r="F2390">
        <v>70</v>
      </c>
      <c r="G2390">
        <v>22.13</v>
      </c>
      <c r="H2390">
        <v>73.19</v>
      </c>
      <c r="I2390">
        <v>16.46</v>
      </c>
      <c r="J2390">
        <v>54.42</v>
      </c>
      <c r="K2390">
        <v>20</v>
      </c>
      <c r="T2390">
        <v>3</v>
      </c>
      <c r="U2390">
        <v>1</v>
      </c>
      <c r="V2390" t="s">
        <v>93</v>
      </c>
      <c r="W2390">
        <v>73</v>
      </c>
      <c r="X2390">
        <v>5</v>
      </c>
      <c r="Y2390">
        <v>5</v>
      </c>
      <c r="Z2390" t="s">
        <v>2999</v>
      </c>
      <c r="AA2390" t="s">
        <v>3000</v>
      </c>
      <c r="AB2390" t="s">
        <v>96</v>
      </c>
      <c r="AC2390" t="s">
        <v>97</v>
      </c>
      <c r="AD2390" t="s">
        <v>2859</v>
      </c>
      <c r="AG2390" t="s">
        <v>3001</v>
      </c>
      <c r="AH2390">
        <v>0</v>
      </c>
      <c r="AI2390">
        <v>0</v>
      </c>
      <c r="AJ2390">
        <v>0</v>
      </c>
      <c r="AK2390">
        <v>0</v>
      </c>
      <c r="AL2390">
        <v>0</v>
      </c>
    </row>
    <row r="2391" spans="1:38" x14ac:dyDescent="0.3">
      <c r="A2391" t="s">
        <v>2854</v>
      </c>
      <c r="B2391">
        <v>11606</v>
      </c>
      <c r="C2391">
        <v>2</v>
      </c>
      <c r="D2391" t="s">
        <v>2998</v>
      </c>
      <c r="E2391" t="s">
        <v>614</v>
      </c>
      <c r="F2391">
        <v>70</v>
      </c>
      <c r="G2391">
        <v>22.74</v>
      </c>
      <c r="H2391">
        <v>75.19</v>
      </c>
      <c r="I2391">
        <v>17.13</v>
      </c>
      <c r="J2391">
        <v>56.64</v>
      </c>
      <c r="K2391">
        <v>20</v>
      </c>
      <c r="T2391">
        <v>3</v>
      </c>
      <c r="U2391">
        <v>1</v>
      </c>
      <c r="V2391" t="s">
        <v>93</v>
      </c>
      <c r="W2391">
        <v>75</v>
      </c>
      <c r="X2391">
        <v>5</v>
      </c>
      <c r="Y2391">
        <v>5</v>
      </c>
      <c r="Z2391" t="s">
        <v>2999</v>
      </c>
      <c r="AA2391" t="s">
        <v>3000</v>
      </c>
      <c r="AB2391" t="s">
        <v>96</v>
      </c>
      <c r="AC2391" t="s">
        <v>97</v>
      </c>
      <c r="AD2391" t="s">
        <v>2859</v>
      </c>
      <c r="AG2391" t="s">
        <v>3001</v>
      </c>
      <c r="AH2391">
        <v>0</v>
      </c>
      <c r="AI2391">
        <v>0</v>
      </c>
      <c r="AJ2391">
        <v>0</v>
      </c>
      <c r="AK2391">
        <v>0</v>
      </c>
      <c r="AL2391">
        <v>0</v>
      </c>
    </row>
    <row r="2392" spans="1:38" x14ac:dyDescent="0.3">
      <c r="A2392" t="s">
        <v>2854</v>
      </c>
      <c r="B2392">
        <v>11606</v>
      </c>
      <c r="C2392">
        <v>3</v>
      </c>
      <c r="D2392" t="s">
        <v>2998</v>
      </c>
      <c r="E2392" t="s">
        <v>614</v>
      </c>
      <c r="F2392">
        <v>70</v>
      </c>
      <c r="G2392">
        <v>23.75</v>
      </c>
      <c r="H2392">
        <v>78.540000000000006</v>
      </c>
      <c r="I2392">
        <v>18.25</v>
      </c>
      <c r="J2392">
        <v>60.36</v>
      </c>
      <c r="K2392">
        <v>20</v>
      </c>
      <c r="T2392">
        <v>3</v>
      </c>
      <c r="U2392">
        <v>1</v>
      </c>
      <c r="V2392" t="s">
        <v>93</v>
      </c>
      <c r="W2392">
        <v>78</v>
      </c>
      <c r="X2392">
        <v>5</v>
      </c>
      <c r="Y2392">
        <v>5</v>
      </c>
      <c r="Z2392" t="s">
        <v>2999</v>
      </c>
      <c r="AA2392" t="s">
        <v>3000</v>
      </c>
      <c r="AB2392" t="s">
        <v>96</v>
      </c>
      <c r="AC2392" t="s">
        <v>97</v>
      </c>
      <c r="AD2392" t="s">
        <v>2859</v>
      </c>
      <c r="AG2392" t="s">
        <v>3001</v>
      </c>
      <c r="AH2392">
        <v>0</v>
      </c>
      <c r="AI2392">
        <v>0</v>
      </c>
      <c r="AJ2392">
        <v>0</v>
      </c>
      <c r="AK2392">
        <v>0</v>
      </c>
      <c r="AL2392">
        <v>0</v>
      </c>
    </row>
    <row r="2393" spans="1:38" x14ac:dyDescent="0.3">
      <c r="A2393" t="s">
        <v>2854</v>
      </c>
      <c r="B2393">
        <v>11606</v>
      </c>
      <c r="C2393">
        <v>4</v>
      </c>
      <c r="D2393" t="s">
        <v>2998</v>
      </c>
      <c r="E2393" t="s">
        <v>614</v>
      </c>
      <c r="F2393">
        <v>70</v>
      </c>
      <c r="G2393">
        <v>26.02</v>
      </c>
      <c r="H2393">
        <v>86.04</v>
      </c>
      <c r="I2393">
        <v>18.71</v>
      </c>
      <c r="J2393">
        <v>61.86</v>
      </c>
      <c r="K2393">
        <v>5</v>
      </c>
      <c r="T2393">
        <v>3</v>
      </c>
      <c r="U2393">
        <v>1</v>
      </c>
      <c r="V2393" t="s">
        <v>93</v>
      </c>
      <c r="W2393">
        <v>86</v>
      </c>
      <c r="X2393">
        <v>5</v>
      </c>
      <c r="Y2393">
        <v>5</v>
      </c>
      <c r="Z2393" t="s">
        <v>2999</v>
      </c>
      <c r="AA2393" t="s">
        <v>3000</v>
      </c>
      <c r="AB2393" t="s">
        <v>96</v>
      </c>
      <c r="AC2393" t="s">
        <v>97</v>
      </c>
      <c r="AD2393" t="s">
        <v>2859</v>
      </c>
      <c r="AG2393" t="s">
        <v>3001</v>
      </c>
      <c r="AH2393">
        <v>0</v>
      </c>
      <c r="AI2393">
        <v>0</v>
      </c>
      <c r="AJ2393">
        <v>0</v>
      </c>
      <c r="AK2393">
        <v>0</v>
      </c>
      <c r="AL2393">
        <v>0</v>
      </c>
    </row>
    <row r="2394" spans="1:38" x14ac:dyDescent="0.3">
      <c r="A2394" t="s">
        <v>2854</v>
      </c>
      <c r="B2394">
        <v>11606</v>
      </c>
      <c r="C2394">
        <v>5</v>
      </c>
      <c r="D2394" t="s">
        <v>2998</v>
      </c>
      <c r="E2394" t="s">
        <v>614</v>
      </c>
      <c r="F2394">
        <v>70</v>
      </c>
      <c r="G2394">
        <v>27.64</v>
      </c>
      <c r="H2394">
        <v>91.38</v>
      </c>
      <c r="I2394">
        <v>20.5</v>
      </c>
      <c r="J2394">
        <v>67.8</v>
      </c>
      <c r="K2394">
        <v>5</v>
      </c>
      <c r="T2394">
        <v>3</v>
      </c>
      <c r="U2394">
        <v>1</v>
      </c>
      <c r="V2394" t="s">
        <v>93</v>
      </c>
      <c r="W2394">
        <v>91</v>
      </c>
      <c r="X2394">
        <v>5</v>
      </c>
      <c r="Y2394">
        <v>5</v>
      </c>
      <c r="Z2394" t="s">
        <v>2999</v>
      </c>
      <c r="AA2394" t="s">
        <v>3000</v>
      </c>
      <c r="AB2394" t="s">
        <v>96</v>
      </c>
      <c r="AC2394" t="s">
        <v>97</v>
      </c>
      <c r="AD2394" t="s">
        <v>2859</v>
      </c>
      <c r="AG2394" t="s">
        <v>3001</v>
      </c>
      <c r="AH2394">
        <v>0</v>
      </c>
      <c r="AI2394">
        <v>0</v>
      </c>
      <c r="AJ2394">
        <v>0</v>
      </c>
      <c r="AK2394">
        <v>0</v>
      </c>
      <c r="AL2394">
        <v>0</v>
      </c>
    </row>
    <row r="2395" spans="1:38" x14ac:dyDescent="0.3">
      <c r="A2395" t="s">
        <v>2854</v>
      </c>
      <c r="B2395">
        <v>142997</v>
      </c>
      <c r="C2395">
        <v>1</v>
      </c>
      <c r="D2395" t="s">
        <v>3002</v>
      </c>
      <c r="E2395" t="s">
        <v>274</v>
      </c>
      <c r="F2395">
        <v>19</v>
      </c>
      <c r="G2395">
        <v>16.61</v>
      </c>
      <c r="H2395">
        <v>54.92</v>
      </c>
      <c r="I2395">
        <v>14.23</v>
      </c>
      <c r="J2395">
        <v>47.06</v>
      </c>
      <c r="K2395">
        <v>2</v>
      </c>
      <c r="T2395">
        <v>2</v>
      </c>
      <c r="U2395">
        <v>1</v>
      </c>
      <c r="V2395" t="s">
        <v>93</v>
      </c>
      <c r="W2395" t="s">
        <v>176</v>
      </c>
      <c r="X2395">
        <v>13</v>
      </c>
      <c r="Y2395">
        <v>12</v>
      </c>
      <c r="Z2395" t="s">
        <v>3003</v>
      </c>
      <c r="AA2395" t="s">
        <v>3004</v>
      </c>
      <c r="AB2395" t="s">
        <v>96</v>
      </c>
      <c r="AC2395" t="s">
        <v>97</v>
      </c>
      <c r="AD2395" t="s">
        <v>2859</v>
      </c>
      <c r="AG2395" t="s">
        <v>3005</v>
      </c>
      <c r="AH2395">
        <v>0</v>
      </c>
      <c r="AI2395">
        <v>429</v>
      </c>
      <c r="AJ2395">
        <v>44</v>
      </c>
      <c r="AK2395">
        <v>15</v>
      </c>
      <c r="AL2395">
        <v>0.79</v>
      </c>
    </row>
    <row r="2396" spans="1:38" x14ac:dyDescent="0.3">
      <c r="A2396" t="s">
        <v>2854</v>
      </c>
      <c r="B2396">
        <v>142997</v>
      </c>
      <c r="C2396">
        <v>2</v>
      </c>
      <c r="D2396" t="s">
        <v>3002</v>
      </c>
      <c r="E2396" t="s">
        <v>274</v>
      </c>
      <c r="F2396">
        <v>19</v>
      </c>
      <c r="G2396">
        <v>16.61</v>
      </c>
      <c r="H2396">
        <v>54.94</v>
      </c>
      <c r="I2396">
        <v>14.3</v>
      </c>
      <c r="J2396">
        <v>47.3</v>
      </c>
      <c r="K2396">
        <v>2</v>
      </c>
      <c r="T2396">
        <v>2</v>
      </c>
      <c r="U2396">
        <v>1</v>
      </c>
      <c r="V2396" t="s">
        <v>93</v>
      </c>
      <c r="W2396" t="s">
        <v>2074</v>
      </c>
      <c r="X2396">
        <v>13</v>
      </c>
      <c r="Y2396">
        <v>12</v>
      </c>
      <c r="Z2396" t="s">
        <v>3003</v>
      </c>
      <c r="AA2396" t="s">
        <v>3004</v>
      </c>
      <c r="AB2396" t="s">
        <v>96</v>
      </c>
      <c r="AC2396" t="s">
        <v>97</v>
      </c>
      <c r="AD2396" t="s">
        <v>2859</v>
      </c>
      <c r="AG2396" t="s">
        <v>3005</v>
      </c>
      <c r="AH2396">
        <v>0</v>
      </c>
      <c r="AI2396">
        <v>429</v>
      </c>
      <c r="AJ2396">
        <v>44</v>
      </c>
      <c r="AK2396">
        <v>15</v>
      </c>
      <c r="AL2396">
        <v>0.79</v>
      </c>
    </row>
    <row r="2397" spans="1:38" x14ac:dyDescent="0.3">
      <c r="A2397" t="s">
        <v>2854</v>
      </c>
      <c r="B2397">
        <v>142997</v>
      </c>
      <c r="C2397">
        <v>3</v>
      </c>
      <c r="D2397" t="s">
        <v>3002</v>
      </c>
      <c r="E2397" t="s">
        <v>274</v>
      </c>
      <c r="F2397">
        <v>19</v>
      </c>
      <c r="G2397">
        <v>17.28</v>
      </c>
      <c r="H2397">
        <v>57.15</v>
      </c>
      <c r="I2397">
        <v>14.85</v>
      </c>
      <c r="J2397">
        <v>49.1</v>
      </c>
      <c r="K2397">
        <v>2</v>
      </c>
      <c r="T2397">
        <v>2</v>
      </c>
      <c r="U2397">
        <v>1</v>
      </c>
      <c r="V2397" t="s">
        <v>93</v>
      </c>
      <c r="W2397" t="s">
        <v>2014</v>
      </c>
      <c r="X2397">
        <v>13</v>
      </c>
      <c r="Y2397">
        <v>12</v>
      </c>
      <c r="Z2397" t="s">
        <v>3003</v>
      </c>
      <c r="AA2397" t="s">
        <v>3004</v>
      </c>
      <c r="AB2397" t="s">
        <v>96</v>
      </c>
      <c r="AC2397" t="s">
        <v>97</v>
      </c>
      <c r="AD2397" t="s">
        <v>2859</v>
      </c>
      <c r="AG2397" t="s">
        <v>3005</v>
      </c>
      <c r="AH2397">
        <v>0</v>
      </c>
      <c r="AI2397">
        <v>429</v>
      </c>
      <c r="AJ2397">
        <v>44</v>
      </c>
      <c r="AK2397">
        <v>15</v>
      </c>
      <c r="AL2397">
        <v>0.79</v>
      </c>
    </row>
    <row r="2398" spans="1:38" x14ac:dyDescent="0.3">
      <c r="A2398" t="s">
        <v>2854</v>
      </c>
      <c r="B2398">
        <v>142997</v>
      </c>
      <c r="C2398">
        <v>4</v>
      </c>
      <c r="D2398" t="s">
        <v>3002</v>
      </c>
      <c r="E2398" t="s">
        <v>274</v>
      </c>
      <c r="F2398">
        <v>19</v>
      </c>
      <c r="G2398">
        <v>17.29</v>
      </c>
      <c r="H2398">
        <v>57.17</v>
      </c>
      <c r="I2398">
        <v>14.91</v>
      </c>
      <c r="J2398">
        <v>49.32</v>
      </c>
      <c r="K2398">
        <v>2</v>
      </c>
      <c r="T2398">
        <v>2</v>
      </c>
      <c r="U2398">
        <v>1</v>
      </c>
      <c r="V2398" t="s">
        <v>93</v>
      </c>
      <c r="W2398" t="s">
        <v>3006</v>
      </c>
      <c r="X2398">
        <v>13</v>
      </c>
      <c r="Y2398">
        <v>12</v>
      </c>
      <c r="Z2398" t="s">
        <v>3003</v>
      </c>
      <c r="AA2398" t="s">
        <v>3004</v>
      </c>
      <c r="AB2398" t="s">
        <v>96</v>
      </c>
      <c r="AC2398" t="s">
        <v>97</v>
      </c>
      <c r="AD2398" t="s">
        <v>2859</v>
      </c>
      <c r="AG2398" t="s">
        <v>3005</v>
      </c>
      <c r="AH2398">
        <v>0</v>
      </c>
      <c r="AI2398">
        <v>429</v>
      </c>
      <c r="AJ2398">
        <v>44</v>
      </c>
      <c r="AK2398">
        <v>15</v>
      </c>
      <c r="AL2398">
        <v>0.79</v>
      </c>
    </row>
    <row r="2399" spans="1:38" x14ac:dyDescent="0.3">
      <c r="A2399" t="s">
        <v>2854</v>
      </c>
      <c r="B2399">
        <v>142997</v>
      </c>
      <c r="C2399">
        <v>5</v>
      </c>
      <c r="D2399" t="s">
        <v>3002</v>
      </c>
      <c r="E2399" t="s">
        <v>274</v>
      </c>
      <c r="F2399">
        <v>19</v>
      </c>
      <c r="G2399">
        <v>18.73</v>
      </c>
      <c r="H2399">
        <v>61.94</v>
      </c>
      <c r="I2399">
        <v>15.92</v>
      </c>
      <c r="J2399">
        <v>52.64</v>
      </c>
      <c r="K2399">
        <v>2</v>
      </c>
      <c r="T2399">
        <v>2</v>
      </c>
      <c r="U2399">
        <v>1</v>
      </c>
      <c r="V2399" t="s">
        <v>93</v>
      </c>
      <c r="W2399" t="s">
        <v>693</v>
      </c>
      <c r="X2399">
        <v>13</v>
      </c>
      <c r="Y2399">
        <v>12</v>
      </c>
      <c r="Z2399" t="s">
        <v>3003</v>
      </c>
      <c r="AA2399" t="s">
        <v>3004</v>
      </c>
      <c r="AB2399" t="s">
        <v>96</v>
      </c>
      <c r="AC2399" t="s">
        <v>97</v>
      </c>
      <c r="AD2399" t="s">
        <v>2859</v>
      </c>
      <c r="AG2399" t="s">
        <v>3005</v>
      </c>
      <c r="AH2399">
        <v>0</v>
      </c>
      <c r="AI2399">
        <v>429</v>
      </c>
      <c r="AJ2399">
        <v>44</v>
      </c>
      <c r="AK2399">
        <v>15</v>
      </c>
      <c r="AL2399">
        <v>0.79</v>
      </c>
    </row>
    <row r="2400" spans="1:38" x14ac:dyDescent="0.3">
      <c r="A2400" t="s">
        <v>2854</v>
      </c>
      <c r="B2400">
        <v>142997</v>
      </c>
      <c r="C2400">
        <v>6</v>
      </c>
      <c r="D2400" t="s">
        <v>3002</v>
      </c>
      <c r="E2400" t="s">
        <v>274</v>
      </c>
      <c r="F2400">
        <v>19</v>
      </c>
      <c r="G2400">
        <v>18.690000000000001</v>
      </c>
      <c r="H2400">
        <v>61.8</v>
      </c>
      <c r="I2400">
        <v>16.04</v>
      </c>
      <c r="J2400">
        <v>53.03</v>
      </c>
      <c r="K2400">
        <v>1</v>
      </c>
      <c r="T2400">
        <v>2</v>
      </c>
      <c r="U2400">
        <v>1</v>
      </c>
      <c r="V2400" t="s">
        <v>93</v>
      </c>
      <c r="W2400" t="s">
        <v>698</v>
      </c>
      <c r="X2400">
        <v>13</v>
      </c>
      <c r="Y2400">
        <v>12</v>
      </c>
      <c r="Z2400" t="s">
        <v>3003</v>
      </c>
      <c r="AA2400" t="s">
        <v>3004</v>
      </c>
      <c r="AB2400" t="s">
        <v>96</v>
      </c>
      <c r="AC2400" t="s">
        <v>97</v>
      </c>
      <c r="AD2400" t="s">
        <v>2859</v>
      </c>
      <c r="AG2400" t="s">
        <v>3005</v>
      </c>
      <c r="AH2400">
        <v>0</v>
      </c>
      <c r="AI2400">
        <v>429</v>
      </c>
      <c r="AJ2400">
        <v>44</v>
      </c>
      <c r="AK2400">
        <v>15</v>
      </c>
      <c r="AL2400">
        <v>0.79</v>
      </c>
    </row>
    <row r="2401" spans="1:38" x14ac:dyDescent="0.3">
      <c r="A2401" t="s">
        <v>2854</v>
      </c>
      <c r="B2401">
        <v>142997</v>
      </c>
      <c r="C2401">
        <v>7</v>
      </c>
      <c r="D2401" t="s">
        <v>3002</v>
      </c>
      <c r="E2401" t="s">
        <v>274</v>
      </c>
      <c r="F2401">
        <v>19</v>
      </c>
      <c r="G2401">
        <v>18.88</v>
      </c>
      <c r="H2401">
        <v>62.43</v>
      </c>
      <c r="I2401">
        <v>15.97</v>
      </c>
      <c r="J2401">
        <v>52.8</v>
      </c>
      <c r="K2401">
        <v>4</v>
      </c>
      <c r="T2401">
        <v>2</v>
      </c>
      <c r="U2401">
        <v>1</v>
      </c>
      <c r="V2401" t="s">
        <v>93</v>
      </c>
      <c r="W2401" t="s">
        <v>255</v>
      </c>
      <c r="X2401">
        <v>13</v>
      </c>
      <c r="Y2401">
        <v>12</v>
      </c>
      <c r="Z2401" t="s">
        <v>3003</v>
      </c>
      <c r="AA2401" t="s">
        <v>3004</v>
      </c>
      <c r="AB2401" t="s">
        <v>96</v>
      </c>
      <c r="AC2401" t="s">
        <v>97</v>
      </c>
      <c r="AD2401" t="s">
        <v>2859</v>
      </c>
      <c r="AG2401" t="s">
        <v>3005</v>
      </c>
      <c r="AH2401">
        <v>0</v>
      </c>
      <c r="AI2401">
        <v>429</v>
      </c>
      <c r="AJ2401">
        <v>44</v>
      </c>
      <c r="AK2401">
        <v>15</v>
      </c>
      <c r="AL2401">
        <v>0.79</v>
      </c>
    </row>
    <row r="2402" spans="1:38" x14ac:dyDescent="0.3">
      <c r="A2402" t="s">
        <v>2854</v>
      </c>
      <c r="B2402">
        <v>142997</v>
      </c>
      <c r="C2402">
        <v>8</v>
      </c>
      <c r="D2402" t="s">
        <v>3002</v>
      </c>
      <c r="E2402" t="s">
        <v>274</v>
      </c>
      <c r="F2402">
        <v>19</v>
      </c>
      <c r="G2402">
        <v>18.989999999999998</v>
      </c>
      <c r="H2402">
        <v>62.78</v>
      </c>
      <c r="I2402">
        <v>16.41</v>
      </c>
      <c r="J2402">
        <v>54.28</v>
      </c>
      <c r="K2402">
        <v>1</v>
      </c>
      <c r="T2402">
        <v>2</v>
      </c>
      <c r="U2402">
        <v>1</v>
      </c>
      <c r="V2402" t="s">
        <v>93</v>
      </c>
      <c r="W2402" t="s">
        <v>848</v>
      </c>
      <c r="X2402">
        <v>13</v>
      </c>
      <c r="Y2402">
        <v>12</v>
      </c>
      <c r="Z2402" t="s">
        <v>3003</v>
      </c>
      <c r="AA2402" t="s">
        <v>3004</v>
      </c>
      <c r="AB2402" t="s">
        <v>96</v>
      </c>
      <c r="AC2402" t="s">
        <v>97</v>
      </c>
      <c r="AD2402" t="s">
        <v>2859</v>
      </c>
      <c r="AG2402" t="s">
        <v>3005</v>
      </c>
      <c r="AH2402">
        <v>0</v>
      </c>
      <c r="AI2402">
        <v>429</v>
      </c>
      <c r="AJ2402">
        <v>44</v>
      </c>
      <c r="AK2402">
        <v>15</v>
      </c>
      <c r="AL2402">
        <v>0.79</v>
      </c>
    </row>
    <row r="2403" spans="1:38" x14ac:dyDescent="0.3">
      <c r="A2403" t="s">
        <v>2854</v>
      </c>
      <c r="B2403">
        <v>142997</v>
      </c>
      <c r="C2403">
        <v>9</v>
      </c>
      <c r="D2403" t="s">
        <v>3002</v>
      </c>
      <c r="E2403" t="s">
        <v>274</v>
      </c>
      <c r="F2403">
        <v>19</v>
      </c>
      <c r="G2403">
        <v>19.239999999999998</v>
      </c>
      <c r="H2403">
        <v>63.61</v>
      </c>
      <c r="I2403">
        <v>16.68</v>
      </c>
      <c r="J2403">
        <v>55.16</v>
      </c>
      <c r="K2403">
        <v>1</v>
      </c>
      <c r="T2403">
        <v>2</v>
      </c>
      <c r="U2403">
        <v>1</v>
      </c>
      <c r="V2403" t="s">
        <v>93</v>
      </c>
      <c r="W2403" t="s">
        <v>1938</v>
      </c>
      <c r="X2403">
        <v>13</v>
      </c>
      <c r="Y2403">
        <v>12</v>
      </c>
      <c r="Z2403" t="s">
        <v>3003</v>
      </c>
      <c r="AA2403" t="s">
        <v>3004</v>
      </c>
      <c r="AB2403" t="s">
        <v>96</v>
      </c>
      <c r="AC2403" t="s">
        <v>97</v>
      </c>
      <c r="AD2403" t="s">
        <v>2859</v>
      </c>
      <c r="AG2403" t="s">
        <v>3005</v>
      </c>
      <c r="AH2403">
        <v>0</v>
      </c>
      <c r="AI2403">
        <v>429</v>
      </c>
      <c r="AJ2403">
        <v>44</v>
      </c>
      <c r="AK2403">
        <v>15</v>
      </c>
      <c r="AL2403">
        <v>0.79</v>
      </c>
    </row>
    <row r="2404" spans="1:38" x14ac:dyDescent="0.3">
      <c r="A2404" t="s">
        <v>2854</v>
      </c>
      <c r="B2404">
        <v>142997</v>
      </c>
      <c r="C2404">
        <v>10</v>
      </c>
      <c r="D2404" t="s">
        <v>3002</v>
      </c>
      <c r="E2404" t="s">
        <v>274</v>
      </c>
      <c r="F2404">
        <v>19</v>
      </c>
      <c r="G2404">
        <v>19.239999999999998</v>
      </c>
      <c r="H2404">
        <v>63.63</v>
      </c>
      <c r="I2404">
        <v>16.75</v>
      </c>
      <c r="J2404">
        <v>55.38</v>
      </c>
      <c r="K2404">
        <v>1</v>
      </c>
      <c r="T2404">
        <v>2</v>
      </c>
      <c r="U2404">
        <v>1</v>
      </c>
      <c r="V2404" t="s">
        <v>93</v>
      </c>
      <c r="W2404" t="s">
        <v>3007</v>
      </c>
      <c r="X2404">
        <v>13</v>
      </c>
      <c r="Y2404">
        <v>12</v>
      </c>
      <c r="Z2404" t="s">
        <v>3003</v>
      </c>
      <c r="AA2404" t="s">
        <v>3004</v>
      </c>
      <c r="AB2404" t="s">
        <v>96</v>
      </c>
      <c r="AC2404" t="s">
        <v>97</v>
      </c>
      <c r="AD2404" t="s">
        <v>2859</v>
      </c>
      <c r="AG2404" t="s">
        <v>3005</v>
      </c>
      <c r="AH2404">
        <v>0</v>
      </c>
      <c r="AI2404">
        <v>429</v>
      </c>
      <c r="AJ2404">
        <v>44</v>
      </c>
      <c r="AK2404">
        <v>15</v>
      </c>
      <c r="AL2404">
        <v>0.79</v>
      </c>
    </row>
    <row r="2405" spans="1:38" x14ac:dyDescent="0.3">
      <c r="A2405" t="s">
        <v>2854</v>
      </c>
      <c r="B2405">
        <v>142997</v>
      </c>
      <c r="C2405">
        <v>11</v>
      </c>
      <c r="D2405" t="s">
        <v>3002</v>
      </c>
      <c r="E2405" t="s">
        <v>274</v>
      </c>
      <c r="F2405">
        <v>19</v>
      </c>
      <c r="G2405">
        <v>19.63</v>
      </c>
      <c r="H2405">
        <v>64.900000000000006</v>
      </c>
      <c r="I2405">
        <v>16.82</v>
      </c>
      <c r="J2405">
        <v>55.61</v>
      </c>
      <c r="K2405">
        <v>1</v>
      </c>
      <c r="T2405">
        <v>2</v>
      </c>
      <c r="U2405">
        <v>1</v>
      </c>
      <c r="V2405" t="s">
        <v>93</v>
      </c>
      <c r="W2405">
        <v>64</v>
      </c>
      <c r="X2405">
        <v>13</v>
      </c>
      <c r="Y2405">
        <v>12</v>
      </c>
      <c r="Z2405" t="s">
        <v>3003</v>
      </c>
      <c r="AA2405" t="s">
        <v>3004</v>
      </c>
      <c r="AB2405" t="s">
        <v>96</v>
      </c>
      <c r="AC2405" t="s">
        <v>97</v>
      </c>
      <c r="AD2405" t="s">
        <v>2859</v>
      </c>
      <c r="AG2405" t="s">
        <v>3005</v>
      </c>
      <c r="AH2405">
        <v>0</v>
      </c>
      <c r="AI2405">
        <v>429</v>
      </c>
      <c r="AJ2405">
        <v>44</v>
      </c>
      <c r="AK2405">
        <v>15</v>
      </c>
      <c r="AL2405">
        <v>0.79</v>
      </c>
    </row>
    <row r="2406" spans="1:38" x14ac:dyDescent="0.3">
      <c r="A2406" t="s">
        <v>2854</v>
      </c>
      <c r="B2406">
        <v>8900</v>
      </c>
      <c r="C2406">
        <v>1</v>
      </c>
      <c r="D2406" t="s">
        <v>3008</v>
      </c>
      <c r="E2406" t="s">
        <v>3009</v>
      </c>
      <c r="F2406">
        <v>396</v>
      </c>
      <c r="G2406">
        <v>23.28</v>
      </c>
      <c r="H2406">
        <v>76.989999999999995</v>
      </c>
      <c r="I2406">
        <v>18.079999999999998</v>
      </c>
      <c r="J2406">
        <v>59.77</v>
      </c>
      <c r="K2406">
        <v>220</v>
      </c>
      <c r="T2406">
        <v>3</v>
      </c>
      <c r="U2406">
        <v>1</v>
      </c>
      <c r="V2406" t="s">
        <v>93</v>
      </c>
      <c r="W2406">
        <v>76</v>
      </c>
      <c r="X2406">
        <v>22</v>
      </c>
      <c r="Y2406">
        <v>22</v>
      </c>
      <c r="Z2406" t="s">
        <v>3010</v>
      </c>
      <c r="AA2406" t="s">
        <v>3011</v>
      </c>
      <c r="AB2406" t="s">
        <v>96</v>
      </c>
      <c r="AC2406" t="s">
        <v>97</v>
      </c>
      <c r="AD2406" t="s">
        <v>2859</v>
      </c>
      <c r="AG2406" t="s">
        <v>3012</v>
      </c>
      <c r="AH2406">
        <v>0</v>
      </c>
      <c r="AI2406">
        <v>311</v>
      </c>
      <c r="AJ2406">
        <v>18</v>
      </c>
      <c r="AK2406">
        <v>417</v>
      </c>
      <c r="AL2406">
        <v>1.05</v>
      </c>
    </row>
    <row r="2407" spans="1:38" x14ac:dyDescent="0.3">
      <c r="A2407" t="s">
        <v>2854</v>
      </c>
      <c r="B2407">
        <v>8900</v>
      </c>
      <c r="C2407">
        <v>2</v>
      </c>
      <c r="D2407" t="s">
        <v>3008</v>
      </c>
      <c r="E2407" t="s">
        <v>3009</v>
      </c>
      <c r="F2407">
        <v>396</v>
      </c>
      <c r="G2407">
        <v>31.43</v>
      </c>
      <c r="H2407">
        <v>103.93</v>
      </c>
      <c r="I2407">
        <v>25.69</v>
      </c>
      <c r="J2407">
        <v>84.93</v>
      </c>
      <c r="K2407">
        <v>176</v>
      </c>
      <c r="T2407">
        <v>3</v>
      </c>
      <c r="U2407">
        <v>2</v>
      </c>
      <c r="V2407" t="s">
        <v>93</v>
      </c>
      <c r="W2407">
        <v>103</v>
      </c>
      <c r="X2407">
        <v>22</v>
      </c>
      <c r="Y2407">
        <v>22</v>
      </c>
      <c r="Z2407" t="s">
        <v>3010</v>
      </c>
      <c r="AA2407" t="s">
        <v>3011</v>
      </c>
      <c r="AB2407" t="s">
        <v>96</v>
      </c>
      <c r="AC2407" t="s">
        <v>97</v>
      </c>
      <c r="AD2407" t="s">
        <v>2859</v>
      </c>
      <c r="AG2407" t="s">
        <v>3012</v>
      </c>
      <c r="AH2407">
        <v>0</v>
      </c>
      <c r="AI2407">
        <v>311</v>
      </c>
      <c r="AJ2407">
        <v>18</v>
      </c>
      <c r="AK2407">
        <v>417</v>
      </c>
      <c r="AL2407">
        <v>1.05</v>
      </c>
    </row>
    <row r="2408" spans="1:38" x14ac:dyDescent="0.3">
      <c r="A2408" t="s">
        <v>2854</v>
      </c>
      <c r="B2408">
        <v>8125</v>
      </c>
      <c r="C2408">
        <v>1</v>
      </c>
      <c r="D2408" t="s">
        <v>3013</v>
      </c>
      <c r="E2408" t="s">
        <v>3014</v>
      </c>
      <c r="F2408">
        <v>342</v>
      </c>
      <c r="G2408">
        <v>18.350000000000001</v>
      </c>
      <c r="H2408">
        <v>60.68</v>
      </c>
      <c r="I2408">
        <v>14.12</v>
      </c>
      <c r="J2408">
        <v>46.71</v>
      </c>
      <c r="K2408">
        <v>54</v>
      </c>
      <c r="T2408">
        <v>3</v>
      </c>
      <c r="U2408">
        <v>1</v>
      </c>
      <c r="V2408" t="s">
        <v>93</v>
      </c>
      <c r="W2408">
        <v>60</v>
      </c>
      <c r="X2408">
        <v>6</v>
      </c>
      <c r="Y2408">
        <v>6</v>
      </c>
      <c r="Z2408" t="s">
        <v>3015</v>
      </c>
      <c r="AA2408" t="s">
        <v>3016</v>
      </c>
      <c r="AB2408" t="s">
        <v>96</v>
      </c>
      <c r="AC2408" t="s">
        <v>97</v>
      </c>
      <c r="AD2408" t="s">
        <v>2859</v>
      </c>
      <c r="AG2408" t="s">
        <v>3017</v>
      </c>
      <c r="AH2408">
        <v>0</v>
      </c>
      <c r="AI2408">
        <v>0</v>
      </c>
      <c r="AJ2408">
        <v>34</v>
      </c>
      <c r="AK2408">
        <v>0</v>
      </c>
      <c r="AL2408">
        <v>0</v>
      </c>
    </row>
    <row r="2409" spans="1:38" x14ac:dyDescent="0.3">
      <c r="A2409" t="s">
        <v>2854</v>
      </c>
      <c r="B2409">
        <v>8125</v>
      </c>
      <c r="C2409">
        <v>2</v>
      </c>
      <c r="D2409" t="s">
        <v>3013</v>
      </c>
      <c r="E2409" t="s">
        <v>3014</v>
      </c>
      <c r="F2409">
        <v>342</v>
      </c>
      <c r="G2409">
        <v>19.45</v>
      </c>
      <c r="H2409">
        <v>64.319999999999993</v>
      </c>
      <c r="I2409">
        <v>15.11</v>
      </c>
      <c r="J2409">
        <v>49.98</v>
      </c>
      <c r="K2409">
        <v>36</v>
      </c>
      <c r="T2409">
        <v>3</v>
      </c>
      <c r="U2409">
        <v>1</v>
      </c>
      <c r="V2409" t="s">
        <v>93</v>
      </c>
      <c r="W2409">
        <v>64</v>
      </c>
      <c r="X2409">
        <v>6</v>
      </c>
      <c r="Y2409">
        <v>6</v>
      </c>
      <c r="Z2409" t="s">
        <v>3015</v>
      </c>
      <c r="AA2409" t="s">
        <v>3016</v>
      </c>
      <c r="AB2409" t="s">
        <v>96</v>
      </c>
      <c r="AC2409" t="s">
        <v>97</v>
      </c>
      <c r="AD2409" t="s">
        <v>2859</v>
      </c>
      <c r="AG2409" t="s">
        <v>3017</v>
      </c>
      <c r="AH2409">
        <v>0</v>
      </c>
      <c r="AI2409">
        <v>0</v>
      </c>
      <c r="AJ2409">
        <v>34</v>
      </c>
      <c r="AK2409">
        <v>0</v>
      </c>
      <c r="AL2409">
        <v>0</v>
      </c>
    </row>
    <row r="2410" spans="1:38" x14ac:dyDescent="0.3">
      <c r="A2410" t="s">
        <v>2854</v>
      </c>
      <c r="B2410">
        <v>8125</v>
      </c>
      <c r="C2410">
        <v>3</v>
      </c>
      <c r="D2410" t="s">
        <v>3013</v>
      </c>
      <c r="E2410" t="s">
        <v>3014</v>
      </c>
      <c r="F2410">
        <v>342</v>
      </c>
      <c r="G2410">
        <v>20.55</v>
      </c>
      <c r="H2410">
        <v>67.94</v>
      </c>
      <c r="I2410">
        <v>15.98</v>
      </c>
      <c r="J2410">
        <v>52.85</v>
      </c>
      <c r="K2410">
        <v>96</v>
      </c>
      <c r="T2410">
        <v>3</v>
      </c>
      <c r="U2410">
        <v>1</v>
      </c>
      <c r="V2410" t="s">
        <v>93</v>
      </c>
      <c r="W2410">
        <v>67</v>
      </c>
      <c r="X2410">
        <v>6</v>
      </c>
      <c r="Y2410">
        <v>6</v>
      </c>
      <c r="Z2410" t="s">
        <v>3015</v>
      </c>
      <c r="AA2410" t="s">
        <v>3016</v>
      </c>
      <c r="AB2410" t="s">
        <v>96</v>
      </c>
      <c r="AC2410" t="s">
        <v>97</v>
      </c>
      <c r="AD2410" t="s">
        <v>2859</v>
      </c>
      <c r="AG2410" t="s">
        <v>3017</v>
      </c>
      <c r="AH2410">
        <v>0</v>
      </c>
      <c r="AI2410">
        <v>0</v>
      </c>
      <c r="AJ2410">
        <v>34</v>
      </c>
      <c r="AK2410">
        <v>0</v>
      </c>
      <c r="AL2410">
        <v>0</v>
      </c>
    </row>
    <row r="2411" spans="1:38" x14ac:dyDescent="0.3">
      <c r="A2411" t="s">
        <v>2854</v>
      </c>
      <c r="B2411">
        <v>8125</v>
      </c>
      <c r="C2411">
        <v>4</v>
      </c>
      <c r="D2411" t="s">
        <v>3013</v>
      </c>
      <c r="E2411" t="s">
        <v>3014</v>
      </c>
      <c r="F2411">
        <v>342</v>
      </c>
      <c r="G2411">
        <v>21.6</v>
      </c>
      <c r="H2411">
        <v>71.42</v>
      </c>
      <c r="I2411">
        <v>16.89</v>
      </c>
      <c r="J2411">
        <v>55.86</v>
      </c>
      <c r="K2411">
        <v>156</v>
      </c>
      <c r="T2411">
        <v>3</v>
      </c>
      <c r="U2411">
        <v>1</v>
      </c>
      <c r="V2411" t="s">
        <v>93</v>
      </c>
      <c r="W2411">
        <v>71</v>
      </c>
      <c r="X2411">
        <v>6</v>
      </c>
      <c r="Y2411">
        <v>6</v>
      </c>
      <c r="Z2411" t="s">
        <v>3015</v>
      </c>
      <c r="AA2411" t="s">
        <v>3016</v>
      </c>
      <c r="AB2411" t="s">
        <v>96</v>
      </c>
      <c r="AC2411" t="s">
        <v>97</v>
      </c>
      <c r="AD2411" t="s">
        <v>2859</v>
      </c>
      <c r="AG2411" t="s">
        <v>3017</v>
      </c>
      <c r="AH2411">
        <v>0</v>
      </c>
      <c r="AI2411">
        <v>0</v>
      </c>
      <c r="AJ2411">
        <v>34</v>
      </c>
      <c r="AK2411">
        <v>0</v>
      </c>
      <c r="AL2411">
        <v>0</v>
      </c>
    </row>
    <row r="2412" spans="1:38" x14ac:dyDescent="0.3">
      <c r="A2412" t="s">
        <v>2854</v>
      </c>
      <c r="B2412">
        <v>8124</v>
      </c>
      <c r="C2412">
        <v>1</v>
      </c>
      <c r="D2412" t="s">
        <v>491</v>
      </c>
      <c r="E2412" t="s">
        <v>2021</v>
      </c>
      <c r="F2412">
        <v>402</v>
      </c>
      <c r="G2412">
        <v>15.84</v>
      </c>
      <c r="H2412">
        <v>52.37</v>
      </c>
      <c r="I2412">
        <v>12.92</v>
      </c>
      <c r="J2412">
        <v>42.72</v>
      </c>
      <c r="K2412">
        <v>108</v>
      </c>
      <c r="T2412">
        <v>2</v>
      </c>
      <c r="U2412">
        <v>1</v>
      </c>
      <c r="V2412" t="s">
        <v>93</v>
      </c>
      <c r="W2412">
        <v>52</v>
      </c>
      <c r="X2412">
        <v>6</v>
      </c>
      <c r="Y2412">
        <v>6</v>
      </c>
      <c r="Z2412" t="s">
        <v>3018</v>
      </c>
      <c r="AA2412" t="s">
        <v>3019</v>
      </c>
      <c r="AB2412" t="s">
        <v>96</v>
      </c>
      <c r="AC2412" t="s">
        <v>97</v>
      </c>
      <c r="AD2412" t="s">
        <v>2859</v>
      </c>
      <c r="AG2412" t="s">
        <v>3020</v>
      </c>
      <c r="AH2412">
        <v>0</v>
      </c>
      <c r="AI2412">
        <v>120</v>
      </c>
      <c r="AJ2412">
        <v>21</v>
      </c>
      <c r="AK2412">
        <v>0</v>
      </c>
      <c r="AL2412">
        <v>0</v>
      </c>
    </row>
    <row r="2413" spans="1:38" x14ac:dyDescent="0.3">
      <c r="A2413" t="s">
        <v>2854</v>
      </c>
      <c r="B2413">
        <v>8124</v>
      </c>
      <c r="C2413">
        <v>2</v>
      </c>
      <c r="D2413" t="s">
        <v>491</v>
      </c>
      <c r="E2413" t="s">
        <v>2021</v>
      </c>
      <c r="F2413">
        <v>402</v>
      </c>
      <c r="G2413">
        <v>16.55</v>
      </c>
      <c r="H2413">
        <v>54.72</v>
      </c>
      <c r="I2413">
        <v>13.29</v>
      </c>
      <c r="J2413">
        <v>43.95</v>
      </c>
      <c r="K2413">
        <v>72</v>
      </c>
      <c r="T2413">
        <v>2</v>
      </c>
      <c r="U2413">
        <v>1</v>
      </c>
      <c r="V2413" t="s">
        <v>211</v>
      </c>
      <c r="W2413">
        <v>54</v>
      </c>
      <c r="X2413">
        <v>6</v>
      </c>
      <c r="Y2413">
        <v>6</v>
      </c>
      <c r="Z2413" t="s">
        <v>3018</v>
      </c>
      <c r="AA2413" t="s">
        <v>3019</v>
      </c>
      <c r="AB2413" t="s">
        <v>96</v>
      </c>
      <c r="AC2413" t="s">
        <v>97</v>
      </c>
      <c r="AD2413" t="s">
        <v>2859</v>
      </c>
      <c r="AG2413" t="s">
        <v>3020</v>
      </c>
      <c r="AH2413">
        <v>0</v>
      </c>
      <c r="AI2413">
        <v>120</v>
      </c>
      <c r="AJ2413">
        <v>21</v>
      </c>
      <c r="AK2413">
        <v>0</v>
      </c>
      <c r="AL2413">
        <v>0</v>
      </c>
    </row>
    <row r="2414" spans="1:38" x14ac:dyDescent="0.3">
      <c r="A2414" t="s">
        <v>2854</v>
      </c>
      <c r="B2414">
        <v>8124</v>
      </c>
      <c r="C2414">
        <v>3</v>
      </c>
      <c r="D2414" t="s">
        <v>491</v>
      </c>
      <c r="E2414" t="s">
        <v>2021</v>
      </c>
      <c r="F2414">
        <v>402</v>
      </c>
      <c r="G2414">
        <v>18.239999999999998</v>
      </c>
      <c r="H2414">
        <v>60.33</v>
      </c>
      <c r="I2414">
        <v>15.11</v>
      </c>
      <c r="J2414">
        <v>49.96</v>
      </c>
      <c r="K2414">
        <v>168</v>
      </c>
      <c r="T2414">
        <v>3</v>
      </c>
      <c r="U2414">
        <v>1</v>
      </c>
      <c r="V2414" t="s">
        <v>93</v>
      </c>
      <c r="W2414">
        <v>60</v>
      </c>
      <c r="X2414">
        <v>6</v>
      </c>
      <c r="Y2414">
        <v>6</v>
      </c>
      <c r="Z2414" t="s">
        <v>3018</v>
      </c>
      <c r="AA2414" t="s">
        <v>3019</v>
      </c>
      <c r="AB2414" t="s">
        <v>96</v>
      </c>
      <c r="AC2414" t="s">
        <v>97</v>
      </c>
      <c r="AD2414" t="s">
        <v>2859</v>
      </c>
      <c r="AG2414" t="s">
        <v>3020</v>
      </c>
      <c r="AH2414">
        <v>0</v>
      </c>
      <c r="AI2414">
        <v>120</v>
      </c>
      <c r="AJ2414">
        <v>21</v>
      </c>
      <c r="AK2414">
        <v>0</v>
      </c>
      <c r="AL2414">
        <v>0</v>
      </c>
    </row>
    <row r="2415" spans="1:38" x14ac:dyDescent="0.3">
      <c r="A2415" t="s">
        <v>2854</v>
      </c>
      <c r="B2415">
        <v>8124</v>
      </c>
      <c r="C2415">
        <v>4</v>
      </c>
      <c r="D2415" t="s">
        <v>491</v>
      </c>
      <c r="E2415" t="s">
        <v>2021</v>
      </c>
      <c r="F2415">
        <v>402</v>
      </c>
      <c r="G2415">
        <v>18.670000000000002</v>
      </c>
      <c r="H2415">
        <v>61.75</v>
      </c>
      <c r="I2415">
        <v>15.2</v>
      </c>
      <c r="J2415">
        <v>50.27</v>
      </c>
      <c r="K2415">
        <v>48</v>
      </c>
      <c r="T2415">
        <v>3</v>
      </c>
      <c r="U2415">
        <v>1</v>
      </c>
      <c r="V2415" t="s">
        <v>211</v>
      </c>
      <c r="W2415">
        <v>61</v>
      </c>
      <c r="X2415">
        <v>6</v>
      </c>
      <c r="Y2415">
        <v>6</v>
      </c>
      <c r="Z2415" t="s">
        <v>3018</v>
      </c>
      <c r="AA2415" t="s">
        <v>3019</v>
      </c>
      <c r="AB2415" t="s">
        <v>96</v>
      </c>
      <c r="AC2415" t="s">
        <v>97</v>
      </c>
      <c r="AD2415" t="s">
        <v>2859</v>
      </c>
      <c r="AG2415" t="s">
        <v>3020</v>
      </c>
      <c r="AH2415">
        <v>0</v>
      </c>
      <c r="AI2415">
        <v>120</v>
      </c>
      <c r="AJ2415">
        <v>21</v>
      </c>
      <c r="AK2415">
        <v>0</v>
      </c>
      <c r="AL2415">
        <v>0</v>
      </c>
    </row>
    <row r="2416" spans="1:38" x14ac:dyDescent="0.3">
      <c r="A2416" t="s">
        <v>2854</v>
      </c>
      <c r="B2416">
        <v>8124</v>
      </c>
      <c r="C2416">
        <v>5</v>
      </c>
      <c r="D2416" t="s">
        <v>491</v>
      </c>
      <c r="E2416" t="s">
        <v>2021</v>
      </c>
      <c r="F2416">
        <v>402</v>
      </c>
      <c r="G2416">
        <v>20.010000000000002</v>
      </c>
      <c r="H2416">
        <v>66.150000000000006</v>
      </c>
      <c r="I2416">
        <v>15.22</v>
      </c>
      <c r="J2416">
        <v>50.33</v>
      </c>
      <c r="K2416">
        <v>6</v>
      </c>
      <c r="T2416">
        <v>2</v>
      </c>
      <c r="U2416">
        <v>1</v>
      </c>
      <c r="V2416" t="s">
        <v>93</v>
      </c>
      <c r="W2416">
        <v>66</v>
      </c>
      <c r="X2416">
        <v>6</v>
      </c>
      <c r="Y2416">
        <v>6</v>
      </c>
      <c r="Z2416" t="s">
        <v>3018</v>
      </c>
      <c r="AA2416" t="s">
        <v>3019</v>
      </c>
      <c r="AB2416" t="s">
        <v>96</v>
      </c>
      <c r="AC2416" t="s">
        <v>97</v>
      </c>
      <c r="AD2416" t="s">
        <v>2859</v>
      </c>
      <c r="AG2416" t="s">
        <v>3020</v>
      </c>
      <c r="AH2416">
        <v>0</v>
      </c>
      <c r="AI2416">
        <v>120</v>
      </c>
      <c r="AJ2416">
        <v>21</v>
      </c>
      <c r="AK2416">
        <v>0</v>
      </c>
      <c r="AL2416">
        <v>0</v>
      </c>
    </row>
    <row r="2417" spans="1:38" x14ac:dyDescent="0.3">
      <c r="A2417" t="s">
        <v>2854</v>
      </c>
      <c r="B2417">
        <v>8898</v>
      </c>
      <c r="C2417">
        <v>1</v>
      </c>
      <c r="D2417" t="s">
        <v>3021</v>
      </c>
      <c r="E2417" t="s">
        <v>3022</v>
      </c>
      <c r="F2417">
        <v>114</v>
      </c>
      <c r="G2417">
        <v>23.8</v>
      </c>
      <c r="H2417">
        <v>78.709999999999994</v>
      </c>
      <c r="I2417">
        <v>18.09</v>
      </c>
      <c r="J2417">
        <v>59.83</v>
      </c>
      <c r="K2417">
        <v>40</v>
      </c>
      <c r="T2417">
        <v>3</v>
      </c>
      <c r="U2417">
        <v>1</v>
      </c>
      <c r="V2417" t="s">
        <v>93</v>
      </c>
      <c r="W2417">
        <v>78</v>
      </c>
      <c r="X2417">
        <v>17</v>
      </c>
      <c r="Y2417">
        <v>8</v>
      </c>
      <c r="Z2417" t="s">
        <v>3023</v>
      </c>
      <c r="AA2417" t="s">
        <v>3024</v>
      </c>
      <c r="AB2417" t="s">
        <v>96</v>
      </c>
      <c r="AC2417" t="s">
        <v>97</v>
      </c>
      <c r="AD2417" t="s">
        <v>2859</v>
      </c>
      <c r="AG2417" t="s">
        <v>3025</v>
      </c>
      <c r="AH2417">
        <v>0</v>
      </c>
      <c r="AI2417">
        <v>290</v>
      </c>
      <c r="AJ2417">
        <v>40</v>
      </c>
      <c r="AK2417">
        <v>130</v>
      </c>
      <c r="AL2417">
        <v>1.1399999999999999</v>
      </c>
    </row>
    <row r="2418" spans="1:38" x14ac:dyDescent="0.3">
      <c r="A2418" t="s">
        <v>2854</v>
      </c>
      <c r="B2418">
        <v>8898</v>
      </c>
      <c r="C2418">
        <v>2</v>
      </c>
      <c r="D2418" t="s">
        <v>3021</v>
      </c>
      <c r="E2418" t="s">
        <v>3022</v>
      </c>
      <c r="F2418">
        <v>114</v>
      </c>
      <c r="G2418">
        <v>33.79</v>
      </c>
      <c r="H2418">
        <v>111.71</v>
      </c>
      <c r="I2418">
        <v>25.68</v>
      </c>
      <c r="J2418">
        <v>84.92</v>
      </c>
      <c r="K2418">
        <v>42</v>
      </c>
      <c r="T2418">
        <v>3</v>
      </c>
      <c r="U2418">
        <v>2</v>
      </c>
      <c r="V2418" t="s">
        <v>93</v>
      </c>
      <c r="W2418">
        <v>111</v>
      </c>
      <c r="X2418">
        <v>17</v>
      </c>
      <c r="Y2418">
        <v>8</v>
      </c>
      <c r="Z2418" t="s">
        <v>3023</v>
      </c>
      <c r="AA2418" t="s">
        <v>3024</v>
      </c>
      <c r="AB2418" t="s">
        <v>96</v>
      </c>
      <c r="AC2418" t="s">
        <v>97</v>
      </c>
      <c r="AD2418" t="s">
        <v>2859</v>
      </c>
      <c r="AG2418" t="s">
        <v>3025</v>
      </c>
      <c r="AH2418">
        <v>0</v>
      </c>
      <c r="AI2418">
        <v>290</v>
      </c>
      <c r="AJ2418">
        <v>40</v>
      </c>
      <c r="AK2418">
        <v>130</v>
      </c>
      <c r="AL2418">
        <v>1.1399999999999999</v>
      </c>
    </row>
    <row r="2419" spans="1:38" x14ac:dyDescent="0.3">
      <c r="A2419" t="s">
        <v>2854</v>
      </c>
      <c r="B2419">
        <v>8898</v>
      </c>
      <c r="C2419">
        <v>3</v>
      </c>
      <c r="D2419" t="s">
        <v>3021</v>
      </c>
      <c r="E2419" t="s">
        <v>3022</v>
      </c>
      <c r="F2419">
        <v>114</v>
      </c>
      <c r="G2419">
        <v>42.63</v>
      </c>
      <c r="H2419">
        <v>140.94</v>
      </c>
      <c r="I2419">
        <v>32.409999999999997</v>
      </c>
      <c r="J2419">
        <v>107.15</v>
      </c>
      <c r="K2419">
        <v>1</v>
      </c>
      <c r="T2419">
        <v>3</v>
      </c>
      <c r="U2419">
        <v>2</v>
      </c>
      <c r="V2419" t="s">
        <v>93</v>
      </c>
      <c r="W2419">
        <v>140</v>
      </c>
      <c r="X2419">
        <v>17</v>
      </c>
      <c r="Y2419">
        <v>8</v>
      </c>
      <c r="Z2419" t="s">
        <v>3023</v>
      </c>
      <c r="AA2419" t="s">
        <v>3024</v>
      </c>
      <c r="AB2419" t="s">
        <v>96</v>
      </c>
      <c r="AC2419" t="s">
        <v>97</v>
      </c>
      <c r="AD2419" t="s">
        <v>2859</v>
      </c>
      <c r="AG2419" t="s">
        <v>3025</v>
      </c>
      <c r="AH2419">
        <v>0</v>
      </c>
      <c r="AI2419">
        <v>290</v>
      </c>
      <c r="AJ2419">
        <v>40</v>
      </c>
      <c r="AK2419">
        <v>130</v>
      </c>
      <c r="AL2419">
        <v>1.1399999999999999</v>
      </c>
    </row>
    <row r="2420" spans="1:38" x14ac:dyDescent="0.3">
      <c r="A2420" t="s">
        <v>2854</v>
      </c>
      <c r="B2420">
        <v>8898</v>
      </c>
      <c r="C2420">
        <v>4</v>
      </c>
      <c r="D2420" t="s">
        <v>3021</v>
      </c>
      <c r="E2420" t="s">
        <v>3022</v>
      </c>
      <c r="F2420">
        <v>114</v>
      </c>
      <c r="G2420">
        <v>50.15</v>
      </c>
      <c r="H2420">
        <v>165.79</v>
      </c>
      <c r="I2420">
        <v>38.119999999999997</v>
      </c>
      <c r="J2420">
        <v>126.03</v>
      </c>
      <c r="K2420">
        <v>31</v>
      </c>
      <c r="T2420">
        <v>4</v>
      </c>
      <c r="U2420">
        <v>2</v>
      </c>
      <c r="V2420" t="s">
        <v>93</v>
      </c>
      <c r="W2420">
        <v>165</v>
      </c>
      <c r="X2420">
        <v>17</v>
      </c>
      <c r="Y2420">
        <v>8</v>
      </c>
      <c r="Z2420" t="s">
        <v>3023</v>
      </c>
      <c r="AA2420" t="s">
        <v>3024</v>
      </c>
      <c r="AB2420" t="s">
        <v>96</v>
      </c>
      <c r="AC2420" t="s">
        <v>97</v>
      </c>
      <c r="AD2420" t="s">
        <v>2859</v>
      </c>
      <c r="AG2420" t="s">
        <v>3025</v>
      </c>
      <c r="AH2420">
        <v>0</v>
      </c>
      <c r="AI2420">
        <v>290</v>
      </c>
      <c r="AJ2420">
        <v>40</v>
      </c>
      <c r="AK2420">
        <v>130</v>
      </c>
      <c r="AL2420">
        <v>1.1399999999999999</v>
      </c>
    </row>
    <row r="2421" spans="1:38" x14ac:dyDescent="0.3">
      <c r="A2421" t="s">
        <v>2854</v>
      </c>
      <c r="B2421">
        <v>123141</v>
      </c>
      <c r="C2421">
        <v>1</v>
      </c>
      <c r="D2421" t="s">
        <v>3026</v>
      </c>
      <c r="E2421" t="s">
        <v>3027</v>
      </c>
      <c r="F2421">
        <v>616</v>
      </c>
      <c r="G2421">
        <v>29.62</v>
      </c>
      <c r="H2421">
        <v>97.93</v>
      </c>
      <c r="I2421">
        <v>22.37</v>
      </c>
      <c r="J2421">
        <v>73.98</v>
      </c>
      <c r="K2421">
        <v>256</v>
      </c>
      <c r="T2421">
        <v>3</v>
      </c>
      <c r="U2421">
        <v>2</v>
      </c>
      <c r="V2421" t="s">
        <v>93</v>
      </c>
      <c r="W2421" t="s">
        <v>1297</v>
      </c>
      <c r="X2421">
        <v>40</v>
      </c>
      <c r="Y2421">
        <v>36</v>
      </c>
      <c r="Z2421" t="s">
        <v>3028</v>
      </c>
      <c r="AA2421" t="s">
        <v>3029</v>
      </c>
      <c r="AB2421" t="s">
        <v>96</v>
      </c>
      <c r="AC2421" t="s">
        <v>97</v>
      </c>
      <c r="AD2421" t="s">
        <v>2859</v>
      </c>
      <c r="AG2421" t="s">
        <v>3030</v>
      </c>
      <c r="AH2421">
        <v>0</v>
      </c>
      <c r="AI2421">
        <v>249</v>
      </c>
      <c r="AJ2421">
        <v>9</v>
      </c>
      <c r="AK2421">
        <v>782</v>
      </c>
      <c r="AL2421">
        <v>1.27</v>
      </c>
    </row>
    <row r="2422" spans="1:38" x14ac:dyDescent="0.3">
      <c r="A2422" t="s">
        <v>2854</v>
      </c>
      <c r="B2422">
        <v>123141</v>
      </c>
      <c r="C2422">
        <v>2</v>
      </c>
      <c r="D2422" t="s">
        <v>3026</v>
      </c>
      <c r="E2422" t="s">
        <v>3027</v>
      </c>
      <c r="F2422">
        <v>616</v>
      </c>
      <c r="G2422">
        <v>29.84</v>
      </c>
      <c r="H2422">
        <v>98.65</v>
      </c>
      <c r="I2422">
        <v>22.36</v>
      </c>
      <c r="J2422">
        <v>73.95</v>
      </c>
      <c r="K2422">
        <v>147</v>
      </c>
      <c r="T2422">
        <v>3</v>
      </c>
      <c r="U2422">
        <v>2</v>
      </c>
      <c r="V2422" t="s">
        <v>93</v>
      </c>
      <c r="W2422" t="s">
        <v>356</v>
      </c>
      <c r="X2422">
        <v>40</v>
      </c>
      <c r="Y2422">
        <v>36</v>
      </c>
      <c r="Z2422" t="s">
        <v>3028</v>
      </c>
      <c r="AA2422" t="s">
        <v>3029</v>
      </c>
      <c r="AB2422" t="s">
        <v>96</v>
      </c>
      <c r="AC2422" t="s">
        <v>97</v>
      </c>
      <c r="AD2422" t="s">
        <v>2859</v>
      </c>
      <c r="AG2422" t="s">
        <v>3030</v>
      </c>
      <c r="AH2422">
        <v>0</v>
      </c>
      <c r="AI2422">
        <v>249</v>
      </c>
      <c r="AJ2422">
        <v>9</v>
      </c>
      <c r="AK2422">
        <v>782</v>
      </c>
      <c r="AL2422">
        <v>1.27</v>
      </c>
    </row>
    <row r="2423" spans="1:38" x14ac:dyDescent="0.3">
      <c r="A2423" t="s">
        <v>2854</v>
      </c>
      <c r="B2423">
        <v>123141</v>
      </c>
      <c r="C2423">
        <v>3</v>
      </c>
      <c r="D2423" t="s">
        <v>3026</v>
      </c>
      <c r="E2423" t="s">
        <v>3027</v>
      </c>
      <c r="F2423">
        <v>616</v>
      </c>
      <c r="G2423">
        <v>34.090000000000003</v>
      </c>
      <c r="H2423">
        <v>112.7</v>
      </c>
      <c r="I2423">
        <v>25.7</v>
      </c>
      <c r="J2423">
        <v>84.99</v>
      </c>
      <c r="K2423">
        <v>213</v>
      </c>
      <c r="T2423">
        <v>3</v>
      </c>
      <c r="U2423">
        <v>2</v>
      </c>
      <c r="V2423" t="s">
        <v>93</v>
      </c>
      <c r="W2423">
        <v>112</v>
      </c>
      <c r="X2423">
        <v>40</v>
      </c>
      <c r="Y2423">
        <v>36</v>
      </c>
      <c r="Z2423" t="s">
        <v>3028</v>
      </c>
      <c r="AA2423" t="s">
        <v>3029</v>
      </c>
      <c r="AB2423" t="s">
        <v>96</v>
      </c>
      <c r="AC2423" t="s">
        <v>97</v>
      </c>
      <c r="AD2423" t="s">
        <v>2859</v>
      </c>
      <c r="AG2423" t="s">
        <v>3030</v>
      </c>
      <c r="AH2423">
        <v>0</v>
      </c>
      <c r="AI2423">
        <v>249</v>
      </c>
      <c r="AJ2423">
        <v>9</v>
      </c>
      <c r="AK2423">
        <v>782</v>
      </c>
      <c r="AL2423">
        <v>1.27</v>
      </c>
    </row>
    <row r="2424" spans="1:38" x14ac:dyDescent="0.3">
      <c r="A2424" t="s">
        <v>2854</v>
      </c>
      <c r="B2424">
        <v>9509</v>
      </c>
      <c r="C2424">
        <v>1</v>
      </c>
      <c r="D2424" t="s">
        <v>3031</v>
      </c>
      <c r="E2424" t="s">
        <v>264</v>
      </c>
      <c r="F2424">
        <v>630</v>
      </c>
      <c r="G2424">
        <v>18.8</v>
      </c>
      <c r="H2424">
        <v>62.17</v>
      </c>
      <c r="I2424">
        <v>14.18</v>
      </c>
      <c r="J2424">
        <v>46.89</v>
      </c>
      <c r="K2424">
        <v>50</v>
      </c>
      <c r="T2424">
        <v>2</v>
      </c>
      <c r="U2424">
        <v>1</v>
      </c>
      <c r="V2424" t="s">
        <v>93</v>
      </c>
      <c r="W2424">
        <v>62</v>
      </c>
      <c r="X2424">
        <v>5</v>
      </c>
      <c r="Y2424">
        <v>5</v>
      </c>
      <c r="Z2424" t="s">
        <v>3032</v>
      </c>
      <c r="AA2424" t="s">
        <v>3033</v>
      </c>
      <c r="AB2424" t="s">
        <v>96</v>
      </c>
      <c r="AC2424" t="s">
        <v>97</v>
      </c>
      <c r="AD2424" t="s">
        <v>2859</v>
      </c>
      <c r="AG2424" t="s">
        <v>3034</v>
      </c>
      <c r="AH2424">
        <v>0</v>
      </c>
      <c r="AI2424">
        <v>135</v>
      </c>
      <c r="AJ2424">
        <v>28</v>
      </c>
      <c r="AK2424">
        <v>514</v>
      </c>
      <c r="AL2424">
        <v>0.82</v>
      </c>
    </row>
    <row r="2425" spans="1:38" x14ac:dyDescent="0.3">
      <c r="A2425" t="s">
        <v>2854</v>
      </c>
      <c r="B2425">
        <v>9509</v>
      </c>
      <c r="C2425">
        <v>2</v>
      </c>
      <c r="D2425" t="s">
        <v>3031</v>
      </c>
      <c r="E2425" t="s">
        <v>264</v>
      </c>
      <c r="F2425">
        <v>630</v>
      </c>
      <c r="G2425">
        <v>23.69</v>
      </c>
      <c r="H2425">
        <v>78.33</v>
      </c>
      <c r="I2425">
        <v>20.190000000000001</v>
      </c>
      <c r="J2425">
        <v>66.75</v>
      </c>
      <c r="K2425">
        <v>120</v>
      </c>
      <c r="T2425">
        <v>3</v>
      </c>
      <c r="U2425">
        <v>1</v>
      </c>
      <c r="V2425" t="s">
        <v>93</v>
      </c>
      <c r="W2425">
        <v>78</v>
      </c>
      <c r="X2425">
        <v>5</v>
      </c>
      <c r="Y2425">
        <v>5</v>
      </c>
      <c r="Z2425" t="s">
        <v>3032</v>
      </c>
      <c r="AA2425" t="s">
        <v>3033</v>
      </c>
      <c r="AB2425" t="s">
        <v>96</v>
      </c>
      <c r="AC2425" t="s">
        <v>97</v>
      </c>
      <c r="AD2425" t="s">
        <v>2859</v>
      </c>
      <c r="AG2425" t="s">
        <v>3034</v>
      </c>
      <c r="AH2425">
        <v>0</v>
      </c>
      <c r="AI2425">
        <v>135</v>
      </c>
      <c r="AJ2425">
        <v>28</v>
      </c>
      <c r="AK2425">
        <v>514</v>
      </c>
      <c r="AL2425">
        <v>0.82</v>
      </c>
    </row>
    <row r="2426" spans="1:38" x14ac:dyDescent="0.3">
      <c r="A2426" t="s">
        <v>2854</v>
      </c>
      <c r="B2426">
        <v>9509</v>
      </c>
      <c r="C2426">
        <v>3</v>
      </c>
      <c r="D2426" t="s">
        <v>3031</v>
      </c>
      <c r="E2426" t="s">
        <v>264</v>
      </c>
      <c r="F2426">
        <v>630</v>
      </c>
      <c r="G2426">
        <v>27.47</v>
      </c>
      <c r="H2426">
        <v>90.81</v>
      </c>
      <c r="I2426">
        <v>23.42</v>
      </c>
      <c r="J2426">
        <v>77.430000000000007</v>
      </c>
      <c r="K2426">
        <v>110</v>
      </c>
      <c r="T2426">
        <v>3</v>
      </c>
      <c r="U2426">
        <v>1</v>
      </c>
      <c r="V2426" t="s">
        <v>93</v>
      </c>
      <c r="W2426">
        <v>90</v>
      </c>
      <c r="X2426">
        <v>5</v>
      </c>
      <c r="Y2426">
        <v>5</v>
      </c>
      <c r="Z2426" t="s">
        <v>3032</v>
      </c>
      <c r="AA2426" t="s">
        <v>3033</v>
      </c>
      <c r="AB2426" t="s">
        <v>96</v>
      </c>
      <c r="AC2426" t="s">
        <v>97</v>
      </c>
      <c r="AD2426" t="s">
        <v>2859</v>
      </c>
      <c r="AG2426" t="s">
        <v>3034</v>
      </c>
      <c r="AH2426">
        <v>0</v>
      </c>
      <c r="AI2426">
        <v>135</v>
      </c>
      <c r="AJ2426">
        <v>28</v>
      </c>
      <c r="AK2426">
        <v>514</v>
      </c>
      <c r="AL2426">
        <v>0.82</v>
      </c>
    </row>
    <row r="2427" spans="1:38" x14ac:dyDescent="0.3">
      <c r="A2427" t="s">
        <v>2854</v>
      </c>
      <c r="B2427">
        <v>9509</v>
      </c>
      <c r="C2427">
        <v>4</v>
      </c>
      <c r="D2427" t="s">
        <v>3031</v>
      </c>
      <c r="E2427" t="s">
        <v>264</v>
      </c>
      <c r="F2427">
        <v>630</v>
      </c>
      <c r="G2427">
        <v>32.18</v>
      </c>
      <c r="H2427">
        <v>106.41</v>
      </c>
      <c r="I2427">
        <v>27.46</v>
      </c>
      <c r="J2427">
        <v>90.78</v>
      </c>
      <c r="K2427">
        <v>341</v>
      </c>
      <c r="T2427">
        <v>3</v>
      </c>
      <c r="U2427">
        <v>1</v>
      </c>
      <c r="V2427" t="s">
        <v>93</v>
      </c>
      <c r="W2427" t="s">
        <v>3035</v>
      </c>
      <c r="X2427">
        <v>5</v>
      </c>
      <c r="Y2427">
        <v>5</v>
      </c>
      <c r="Z2427" t="s">
        <v>3032</v>
      </c>
      <c r="AA2427" t="s">
        <v>3033</v>
      </c>
      <c r="AB2427" t="s">
        <v>96</v>
      </c>
      <c r="AC2427" t="s">
        <v>97</v>
      </c>
      <c r="AD2427" t="s">
        <v>2859</v>
      </c>
      <c r="AG2427" t="s">
        <v>3034</v>
      </c>
      <c r="AH2427">
        <v>0</v>
      </c>
      <c r="AI2427">
        <v>135</v>
      </c>
      <c r="AJ2427">
        <v>28</v>
      </c>
      <c r="AK2427">
        <v>514</v>
      </c>
      <c r="AL2427">
        <v>0.82</v>
      </c>
    </row>
    <row r="2428" spans="1:38" x14ac:dyDescent="0.3">
      <c r="A2428" t="s">
        <v>2854</v>
      </c>
      <c r="B2428">
        <v>9509</v>
      </c>
      <c r="C2428">
        <v>5</v>
      </c>
      <c r="D2428" t="s">
        <v>3031</v>
      </c>
      <c r="E2428" t="s">
        <v>264</v>
      </c>
      <c r="F2428">
        <v>630</v>
      </c>
      <c r="G2428">
        <v>32.18</v>
      </c>
      <c r="H2428">
        <v>106.41</v>
      </c>
      <c r="I2428">
        <v>25.64</v>
      </c>
      <c r="J2428">
        <v>84.78</v>
      </c>
      <c r="K2428">
        <v>8</v>
      </c>
      <c r="T2428">
        <v>3</v>
      </c>
      <c r="U2428">
        <v>2</v>
      </c>
      <c r="V2428" t="s">
        <v>93</v>
      </c>
      <c r="W2428" t="s">
        <v>552</v>
      </c>
      <c r="X2428">
        <v>5</v>
      </c>
      <c r="Y2428">
        <v>5</v>
      </c>
      <c r="Z2428" t="s">
        <v>3032</v>
      </c>
      <c r="AA2428" t="s">
        <v>3033</v>
      </c>
      <c r="AB2428" t="s">
        <v>96</v>
      </c>
      <c r="AC2428" t="s">
        <v>97</v>
      </c>
      <c r="AD2428" t="s">
        <v>2859</v>
      </c>
      <c r="AG2428" t="s">
        <v>3034</v>
      </c>
      <c r="AH2428">
        <v>0</v>
      </c>
      <c r="AI2428">
        <v>135</v>
      </c>
      <c r="AJ2428">
        <v>28</v>
      </c>
      <c r="AK2428">
        <v>514</v>
      </c>
      <c r="AL2428">
        <v>0.82</v>
      </c>
    </row>
    <row r="2429" spans="1:38" x14ac:dyDescent="0.3">
      <c r="A2429" t="s">
        <v>2854</v>
      </c>
      <c r="B2429">
        <v>9509</v>
      </c>
      <c r="C2429">
        <v>6</v>
      </c>
      <c r="D2429" t="s">
        <v>3031</v>
      </c>
      <c r="E2429" t="s">
        <v>264</v>
      </c>
      <c r="F2429">
        <v>630</v>
      </c>
      <c r="G2429">
        <v>32.17</v>
      </c>
      <c r="H2429">
        <v>106.36</v>
      </c>
      <c r="I2429">
        <v>27.44</v>
      </c>
      <c r="J2429">
        <v>90.73</v>
      </c>
      <c r="K2429">
        <v>1</v>
      </c>
      <c r="T2429">
        <v>3</v>
      </c>
      <c r="U2429">
        <v>2</v>
      </c>
      <c r="V2429" t="s">
        <v>93</v>
      </c>
      <c r="W2429" t="s">
        <v>3036</v>
      </c>
      <c r="X2429">
        <v>5</v>
      </c>
      <c r="Y2429">
        <v>5</v>
      </c>
      <c r="Z2429" t="s">
        <v>3032</v>
      </c>
      <c r="AA2429" t="s">
        <v>3033</v>
      </c>
      <c r="AB2429" t="s">
        <v>96</v>
      </c>
      <c r="AC2429" t="s">
        <v>97</v>
      </c>
      <c r="AD2429" t="s">
        <v>2859</v>
      </c>
      <c r="AG2429" t="s">
        <v>3034</v>
      </c>
      <c r="AH2429">
        <v>0</v>
      </c>
      <c r="AI2429">
        <v>135</v>
      </c>
      <c r="AJ2429">
        <v>28</v>
      </c>
      <c r="AK2429">
        <v>514</v>
      </c>
      <c r="AL2429">
        <v>0.82</v>
      </c>
    </row>
    <row r="2430" spans="1:38" x14ac:dyDescent="0.3">
      <c r="A2430" t="s">
        <v>2854</v>
      </c>
      <c r="B2430">
        <v>8901</v>
      </c>
      <c r="C2430">
        <v>1</v>
      </c>
      <c r="D2430" t="s">
        <v>3037</v>
      </c>
      <c r="E2430" t="s">
        <v>3038</v>
      </c>
      <c r="F2430">
        <v>280</v>
      </c>
      <c r="G2430">
        <v>23.66</v>
      </c>
      <c r="H2430">
        <v>78.23</v>
      </c>
      <c r="I2430">
        <v>17.91</v>
      </c>
      <c r="J2430">
        <v>59.21</v>
      </c>
      <c r="K2430">
        <v>156</v>
      </c>
      <c r="T2430">
        <v>3</v>
      </c>
      <c r="U2430">
        <v>2</v>
      </c>
      <c r="V2430" t="s">
        <v>93</v>
      </c>
      <c r="W2430">
        <v>78</v>
      </c>
      <c r="X2430">
        <v>21</v>
      </c>
      <c r="Y2430">
        <v>19</v>
      </c>
      <c r="Z2430" t="s">
        <v>3039</v>
      </c>
      <c r="AA2430" t="s">
        <v>3040</v>
      </c>
      <c r="AB2430" t="s">
        <v>96</v>
      </c>
      <c r="AC2430" t="s">
        <v>97</v>
      </c>
      <c r="AD2430" t="s">
        <v>2859</v>
      </c>
      <c r="AG2430" t="s">
        <v>3041</v>
      </c>
      <c r="AH2430">
        <v>0</v>
      </c>
      <c r="AI2430">
        <v>300</v>
      </c>
      <c r="AJ2430">
        <v>21</v>
      </c>
      <c r="AK2430">
        <v>300</v>
      </c>
      <c r="AL2430">
        <v>1.07</v>
      </c>
    </row>
    <row r="2431" spans="1:38" x14ac:dyDescent="0.3">
      <c r="A2431" t="s">
        <v>2854</v>
      </c>
      <c r="B2431">
        <v>8901</v>
      </c>
      <c r="C2431">
        <v>2</v>
      </c>
      <c r="D2431" t="s">
        <v>3037</v>
      </c>
      <c r="E2431" t="s">
        <v>3038</v>
      </c>
      <c r="F2431">
        <v>280</v>
      </c>
      <c r="G2431">
        <v>31.91</v>
      </c>
      <c r="H2431">
        <v>105.5</v>
      </c>
      <c r="I2431">
        <v>25.7</v>
      </c>
      <c r="J2431">
        <v>84.98</v>
      </c>
      <c r="K2431">
        <v>84</v>
      </c>
      <c r="T2431">
        <v>3</v>
      </c>
      <c r="U2431">
        <v>2</v>
      </c>
      <c r="V2431" t="s">
        <v>93</v>
      </c>
      <c r="W2431">
        <v>105</v>
      </c>
      <c r="X2431">
        <v>21</v>
      </c>
      <c r="Y2431">
        <v>19</v>
      </c>
      <c r="Z2431" t="s">
        <v>3039</v>
      </c>
      <c r="AA2431" t="s">
        <v>3040</v>
      </c>
      <c r="AB2431" t="s">
        <v>96</v>
      </c>
      <c r="AC2431" t="s">
        <v>97</v>
      </c>
      <c r="AD2431" t="s">
        <v>2859</v>
      </c>
      <c r="AG2431" t="s">
        <v>3041</v>
      </c>
      <c r="AH2431">
        <v>0</v>
      </c>
      <c r="AI2431">
        <v>300</v>
      </c>
      <c r="AJ2431">
        <v>21</v>
      </c>
      <c r="AK2431">
        <v>300</v>
      </c>
      <c r="AL2431">
        <v>1.07</v>
      </c>
    </row>
    <row r="2432" spans="1:38" x14ac:dyDescent="0.3">
      <c r="A2432" t="s">
        <v>2854</v>
      </c>
      <c r="B2432">
        <v>8901</v>
      </c>
      <c r="C2432">
        <v>3</v>
      </c>
      <c r="D2432" t="s">
        <v>3037</v>
      </c>
      <c r="E2432" t="s">
        <v>3038</v>
      </c>
      <c r="F2432">
        <v>280</v>
      </c>
      <c r="G2432">
        <v>43.69</v>
      </c>
      <c r="H2432">
        <v>144.44999999999999</v>
      </c>
      <c r="I2432">
        <v>36.82</v>
      </c>
      <c r="J2432">
        <v>121.73</v>
      </c>
      <c r="K2432">
        <v>40</v>
      </c>
      <c r="T2432">
        <v>4</v>
      </c>
      <c r="U2432">
        <v>2</v>
      </c>
      <c r="V2432" t="s">
        <v>93</v>
      </c>
      <c r="W2432">
        <v>144</v>
      </c>
      <c r="X2432">
        <v>21</v>
      </c>
      <c r="Y2432">
        <v>19</v>
      </c>
      <c r="Z2432" t="s">
        <v>3039</v>
      </c>
      <c r="AA2432" t="s">
        <v>3040</v>
      </c>
      <c r="AB2432" t="s">
        <v>96</v>
      </c>
      <c r="AC2432" t="s">
        <v>97</v>
      </c>
      <c r="AD2432" t="s">
        <v>2859</v>
      </c>
      <c r="AG2432" t="s">
        <v>3041</v>
      </c>
      <c r="AH2432">
        <v>0</v>
      </c>
      <c r="AI2432">
        <v>300</v>
      </c>
      <c r="AJ2432">
        <v>21</v>
      </c>
      <c r="AK2432">
        <v>300</v>
      </c>
      <c r="AL2432">
        <v>1.07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관교동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3042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관교동 쌍용('91.07.,464^)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3043</v>
      </c>
      <c r="B6" s="16" t="s">
        <v>3044</v>
      </c>
      <c r="C6" s="28">
        <v>464</v>
      </c>
      <c r="D6" s="25">
        <v>103.3</v>
      </c>
      <c r="E6" s="106">
        <v>31</v>
      </c>
      <c r="F6" s="25">
        <v>85</v>
      </c>
      <c r="G6" s="27">
        <v>26</v>
      </c>
      <c r="H6" s="28">
        <v>464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3045</v>
      </c>
      <c r="T6" s="8">
        <v>103</v>
      </c>
      <c r="U6" s="13"/>
      <c r="W6" s="25">
        <f>D6</f>
        <v>103.3</v>
      </c>
      <c r="X6" s="106">
        <f>E6</f>
        <v>31</v>
      </c>
      <c r="Y6" s="32">
        <f>H6</f>
        <v>464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쌍용</v>
      </c>
      <c r="AI6" s="106">
        <f>IF(E6="","",E6)</f>
        <v>31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9"/>
      <c r="B7" s="113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70"/>
      <c r="U7" s="13"/>
      <c r="W7" s="107" t="str">
        <f>$A$4&amp;" "&amp;A8&amp;"("&amp;B8&amp;","&amp;C8&amp;"^)"</f>
        <v>관교동 풍림('91.02.,300^)</v>
      </c>
      <c r="X7" s="108"/>
      <c r="Y7" s="108"/>
      <c r="Z7" s="108"/>
      <c r="AA7" s="108"/>
      <c r="AB7" s="108"/>
      <c r="AC7" s="108"/>
      <c r="AD7" s="108"/>
      <c r="AE7" s="108"/>
      <c r="AF7" s="109"/>
      <c r="AH7" s="36" t="str">
        <f>IF(A7="","",A7)</f>
        <v/>
      </c>
      <c r="AI7" s="37" t="str">
        <f>IF(E7="","",E7)</f>
        <v/>
      </c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</row>
    <row r="8" spans="1:48" x14ac:dyDescent="0.3">
      <c r="A8" s="5" t="s">
        <v>3046</v>
      </c>
      <c r="B8" s="16" t="s">
        <v>3047</v>
      </c>
      <c r="C8" s="28">
        <v>300</v>
      </c>
      <c r="D8" s="25">
        <v>115.2</v>
      </c>
      <c r="E8" s="106">
        <v>35</v>
      </c>
      <c r="F8" s="25">
        <v>96.7</v>
      </c>
      <c r="G8" s="27">
        <v>29</v>
      </c>
      <c r="H8" s="28">
        <v>60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3048</v>
      </c>
      <c r="T8" s="8">
        <v>115</v>
      </c>
      <c r="U8" s="13"/>
      <c r="W8" s="25">
        <f>D8</f>
        <v>115.2</v>
      </c>
      <c r="X8" s="106">
        <f>E8</f>
        <v>35</v>
      </c>
      <c r="Y8" s="32">
        <f>H8</f>
        <v>60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풍림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3046</v>
      </c>
      <c r="B9" s="16" t="s">
        <v>3047</v>
      </c>
      <c r="C9" s="28">
        <v>300</v>
      </c>
      <c r="D9" s="25">
        <v>161.9</v>
      </c>
      <c r="E9" s="106">
        <v>49</v>
      </c>
      <c r="F9" s="25">
        <v>141.19999999999999</v>
      </c>
      <c r="G9" s="27">
        <v>43</v>
      </c>
      <c r="H9" s="28">
        <v>180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3048</v>
      </c>
      <c r="T9" s="8">
        <v>161</v>
      </c>
      <c r="U9" s="13"/>
      <c r="W9" s="25">
        <f>D9</f>
        <v>161.9</v>
      </c>
      <c r="X9" s="106">
        <f>E9</f>
        <v>49</v>
      </c>
      <c r="Y9" s="32">
        <f>H9</f>
        <v>180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풍림</v>
      </c>
      <c r="AI9" s="106">
        <f>IF(E9="","",E9)</f>
        <v>49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3046</v>
      </c>
      <c r="B10" s="16" t="s">
        <v>3047</v>
      </c>
      <c r="C10" s="28">
        <v>300</v>
      </c>
      <c r="D10" s="25">
        <v>187.3</v>
      </c>
      <c r="E10" s="106">
        <v>57</v>
      </c>
      <c r="F10" s="25">
        <v>164.8</v>
      </c>
      <c r="G10" s="27">
        <v>50</v>
      </c>
      <c r="H10" s="28">
        <v>60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5</v>
      </c>
      <c r="R10" s="15">
        <v>2</v>
      </c>
      <c r="S10" s="113" t="s">
        <v>3048</v>
      </c>
      <c r="T10" s="8">
        <v>187</v>
      </c>
      <c r="U10" s="13"/>
      <c r="W10" s="25">
        <f>D10</f>
        <v>187.3</v>
      </c>
      <c r="X10" s="106">
        <f>E10</f>
        <v>57</v>
      </c>
      <c r="Y10" s="32">
        <f>H10</f>
        <v>60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5/2</v>
      </c>
      <c r="AH10" s="36" t="str">
        <f>IF(A10="","",A10)</f>
        <v>풍림</v>
      </c>
      <c r="AI10" s="106">
        <f>IF(E10="","",E10)</f>
        <v>57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관교동 동부('91.09.,420^)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3049</v>
      </c>
      <c r="B12" s="16" t="s">
        <v>3050</v>
      </c>
      <c r="C12" s="28">
        <v>420</v>
      </c>
      <c r="D12" s="25">
        <v>102.4</v>
      </c>
      <c r="E12" s="106">
        <v>31</v>
      </c>
      <c r="F12" s="25">
        <v>84.9</v>
      </c>
      <c r="G12" s="27">
        <v>26</v>
      </c>
      <c r="H12" s="28">
        <v>420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3051</v>
      </c>
      <c r="T12" s="8">
        <v>102</v>
      </c>
      <c r="U12" s="13"/>
      <c r="W12" s="25">
        <f>D12</f>
        <v>102.4</v>
      </c>
      <c r="X12" s="106">
        <f>E12</f>
        <v>31</v>
      </c>
      <c r="Y12" s="32">
        <f>H12</f>
        <v>420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동부</v>
      </c>
      <c r="AI12" s="106">
        <f>IF(E12="","",E12)</f>
        <v>31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관교동 삼환1단지('92.04.,352^)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3052</v>
      </c>
      <c r="B14" s="16" t="s">
        <v>3053</v>
      </c>
      <c r="C14" s="28">
        <v>352</v>
      </c>
      <c r="D14" s="25">
        <v>156.9</v>
      </c>
      <c r="E14" s="106">
        <v>47</v>
      </c>
      <c r="F14" s="25">
        <v>133</v>
      </c>
      <c r="G14" s="27">
        <v>40</v>
      </c>
      <c r="H14" s="28">
        <v>160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3054</v>
      </c>
      <c r="T14" s="8">
        <v>156</v>
      </c>
      <c r="U14" s="13"/>
      <c r="W14" s="25">
        <f>D14</f>
        <v>156.9</v>
      </c>
      <c r="X14" s="106">
        <f>E14</f>
        <v>47</v>
      </c>
      <c r="Y14" s="32">
        <f>H14</f>
        <v>160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삼환1단지</v>
      </c>
      <c r="AI14" s="106">
        <f>IF(E14="","",E14)</f>
        <v>47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3055</v>
      </c>
      <c r="B15" s="16" t="s">
        <v>3056</v>
      </c>
      <c r="C15" s="28">
        <v>352</v>
      </c>
      <c r="D15" s="25">
        <v>184.4</v>
      </c>
      <c r="E15" s="106">
        <v>56</v>
      </c>
      <c r="F15" s="25">
        <v>156.30000000000001</v>
      </c>
      <c r="G15" s="27">
        <v>47</v>
      </c>
      <c r="H15" s="28">
        <v>192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3057</v>
      </c>
      <c r="T15" s="8">
        <v>184</v>
      </c>
      <c r="U15" s="13"/>
      <c r="W15" s="25">
        <f>D15</f>
        <v>184.4</v>
      </c>
      <c r="X15" s="106">
        <f>E15</f>
        <v>56</v>
      </c>
      <c r="Y15" s="32">
        <f>H15</f>
        <v>192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삼환1단지</v>
      </c>
      <c r="AI15" s="106">
        <f>IF(E15="","",E15)</f>
        <v>56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관교동 동아('90.10.,390^)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3058</v>
      </c>
      <c r="B17" s="16" t="s">
        <v>3059</v>
      </c>
      <c r="C17" s="28">
        <v>390</v>
      </c>
      <c r="D17" s="25">
        <v>126.4</v>
      </c>
      <c r="E17" s="106">
        <v>38</v>
      </c>
      <c r="F17" s="25">
        <v>108</v>
      </c>
      <c r="G17" s="27">
        <v>33</v>
      </c>
      <c r="H17" s="28">
        <v>120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3060</v>
      </c>
      <c r="T17" s="8">
        <v>126</v>
      </c>
      <c r="U17" s="13"/>
      <c r="W17" s="25">
        <f>D17</f>
        <v>126.4</v>
      </c>
      <c r="X17" s="106">
        <f>E17</f>
        <v>38</v>
      </c>
      <c r="Y17" s="32">
        <f>H17</f>
        <v>120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동아</v>
      </c>
      <c r="AI17" s="106">
        <f>IF(E17="","",E17)</f>
        <v>38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3061</v>
      </c>
      <c r="B18" s="16" t="s">
        <v>3059</v>
      </c>
      <c r="C18" s="28">
        <v>390</v>
      </c>
      <c r="D18" s="25">
        <v>151.80000000000001</v>
      </c>
      <c r="E18" s="106">
        <v>46</v>
      </c>
      <c r="F18" s="25">
        <v>131.5</v>
      </c>
      <c r="G18" s="27">
        <v>40</v>
      </c>
      <c r="H18" s="28">
        <v>210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3060</v>
      </c>
      <c r="T18" s="8">
        <v>151</v>
      </c>
      <c r="U18" s="13"/>
      <c r="W18" s="25">
        <f>D18</f>
        <v>151.80000000000001</v>
      </c>
      <c r="X18" s="106">
        <f>E18</f>
        <v>46</v>
      </c>
      <c r="Y18" s="32">
        <f>H18</f>
        <v>210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동아</v>
      </c>
      <c r="AI18" s="106">
        <f>IF(E18="","",E18)</f>
        <v>46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3061</v>
      </c>
      <c r="B19" s="16" t="s">
        <v>3059</v>
      </c>
      <c r="C19" s="28">
        <v>390</v>
      </c>
      <c r="D19" s="25">
        <v>186.9</v>
      </c>
      <c r="E19" s="106">
        <v>57</v>
      </c>
      <c r="F19" s="25">
        <v>162.6</v>
      </c>
      <c r="G19" s="27">
        <v>49</v>
      </c>
      <c r="H19" s="28">
        <v>60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5</v>
      </c>
      <c r="R19" s="15">
        <v>2</v>
      </c>
      <c r="S19" s="113" t="s">
        <v>3060</v>
      </c>
      <c r="T19" s="8">
        <v>186</v>
      </c>
      <c r="U19" s="13"/>
      <c r="W19" s="25">
        <f>D19</f>
        <v>186.9</v>
      </c>
      <c r="X19" s="106">
        <f>E19</f>
        <v>57</v>
      </c>
      <c r="Y19" s="32">
        <f>H19</f>
        <v>60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5/2</v>
      </c>
      <c r="AH19" s="36" t="str">
        <f>IF(A19="","",A19)</f>
        <v>동아</v>
      </c>
      <c r="AI19" s="106">
        <f>IF(E19="","",E19)</f>
        <v>57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관교동 삼환2단지('91.11.,410^)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3062</v>
      </c>
      <c r="B21" s="16" t="s">
        <v>3063</v>
      </c>
      <c r="C21" s="28">
        <v>410</v>
      </c>
      <c r="D21" s="25">
        <v>104.8</v>
      </c>
      <c r="E21" s="106">
        <v>32</v>
      </c>
      <c r="F21" s="25">
        <v>84.9</v>
      </c>
      <c r="G21" s="27">
        <v>26</v>
      </c>
      <c r="H21" s="28">
        <v>410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3060</v>
      </c>
      <c r="T21" s="8">
        <v>104</v>
      </c>
      <c r="U21" s="13"/>
      <c r="W21" s="25">
        <f>D21</f>
        <v>104.8</v>
      </c>
      <c r="X21" s="106">
        <f>E21</f>
        <v>32</v>
      </c>
      <c r="Y21" s="32">
        <f>H21</f>
        <v>410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삼환2단지</v>
      </c>
      <c r="AI21" s="106">
        <f>IF(E21="","",E21)</f>
        <v>32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관교동 성지('91.08.,420^)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3064</v>
      </c>
      <c r="B23" s="16" t="s">
        <v>3065</v>
      </c>
      <c r="C23" s="28">
        <v>420</v>
      </c>
      <c r="D23" s="25">
        <v>102.5</v>
      </c>
      <c r="E23" s="106">
        <v>31</v>
      </c>
      <c r="F23" s="25">
        <v>84.9</v>
      </c>
      <c r="G23" s="27">
        <v>26</v>
      </c>
      <c r="H23" s="28">
        <v>420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3060</v>
      </c>
      <c r="T23" s="8">
        <v>102</v>
      </c>
      <c r="U23" s="13"/>
      <c r="W23" s="25">
        <f>D23</f>
        <v>102.5</v>
      </c>
      <c r="X23" s="106">
        <f>E23</f>
        <v>31</v>
      </c>
      <c r="Y23" s="32">
        <f>H23</f>
        <v>420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성지</v>
      </c>
      <c r="AI23" s="106">
        <f>IF(E23="","",E23)</f>
        <v>31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관교동 신비마을('94.03.,240^)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3066</v>
      </c>
      <c r="B25" s="16" t="s">
        <v>3067</v>
      </c>
      <c r="C25" s="28">
        <v>240</v>
      </c>
      <c r="D25" s="25">
        <v>69.3</v>
      </c>
      <c r="E25" s="106">
        <v>21</v>
      </c>
      <c r="F25" s="25">
        <v>49.4</v>
      </c>
      <c r="G25" s="27">
        <v>15</v>
      </c>
      <c r="H25" s="28">
        <v>240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2</v>
      </c>
      <c r="R25" s="15">
        <v>1</v>
      </c>
      <c r="S25" s="113" t="s">
        <v>3068</v>
      </c>
      <c r="T25" s="8">
        <v>69</v>
      </c>
      <c r="U25" s="13"/>
      <c r="W25" s="25">
        <f>D25</f>
        <v>69.3</v>
      </c>
      <c r="X25" s="106">
        <f>E25</f>
        <v>21</v>
      </c>
      <c r="Y25" s="32">
        <f>H25</f>
        <v>240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복</v>
      </c>
      <c r="AF25" s="15" t="str">
        <f>Q25&amp;"/"&amp;R25</f>
        <v>2/1</v>
      </c>
      <c r="AH25" s="36" t="str">
        <f>IF(A25="","",A25)</f>
        <v>신비마을</v>
      </c>
      <c r="AI25" s="106">
        <f>IF(E25="","",E25)</f>
        <v>21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</sheetData>
  <mergeCells count="1">
    <mergeCell ref="AJ1:AN1"/>
  </mergeCells>
  <phoneticPr fontId="2" type="noConversion"/>
  <conditionalFormatting sqref="AV4:AV6">
    <cfRule type="expression" dxfId="7583" priority="283">
      <formula>AV4="X"</formula>
    </cfRule>
    <cfRule type="expression" dxfId="7582" priority="284">
      <formula>AV4="후보"</formula>
    </cfRule>
  </conditionalFormatting>
  <conditionalFormatting sqref="Z2:Z6">
    <cfRule type="colorScale" priority="2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581" priority="280" operator="greaterThan">
      <formula>0.9</formula>
    </cfRule>
    <cfRule type="cellIs" dxfId="7580" priority="281" operator="greaterThan">
      <formula>0.85</formula>
    </cfRule>
  </conditionalFormatting>
  <conditionalFormatting sqref="N1:N2">
    <cfRule type="cellIs" dxfId="7579" priority="278" operator="greaterThan">
      <formula>0.9</formula>
    </cfRule>
    <cfRule type="cellIs" dxfId="7578" priority="279" operator="greaterThan">
      <formula>0.85</formula>
    </cfRule>
  </conditionalFormatting>
  <conditionalFormatting sqref="N6">
    <cfRule type="cellIs" dxfId="7577" priority="276" operator="greaterThan">
      <formula>0.9</formula>
    </cfRule>
    <cfRule type="cellIs" dxfId="7576" priority="277" operator="greaterThan">
      <formula>0.85</formula>
    </cfRule>
  </conditionalFormatting>
  <conditionalFormatting sqref="E6">
    <cfRule type="expression" dxfId="7575" priority="272">
      <formula>AND(IF(OR($Q6=1,$Q6=2),1,0),IF($X6&lt;=20,1,0))</formula>
    </cfRule>
    <cfRule type="expression" dxfId="7574" priority="273">
      <formula>AND(IF($Q6=2,1,0),IF($X6&lt;30,1,0))</formula>
    </cfRule>
    <cfRule type="expression" dxfId="7573" priority="274">
      <formula>AND(IF($Q6=3,1,0),IF($X6&lt;30,1,0))</formula>
    </cfRule>
    <cfRule type="expression" dxfId="7572" priority="275">
      <formula>AND(IF($Q6=3,1,IF($Q6=4,1,0)),IF($F6&lt;=85,1,0))</formula>
    </cfRule>
  </conditionalFormatting>
  <conditionalFormatting sqref="X6">
    <cfRule type="expression" dxfId="7571" priority="268">
      <formula>AND(IF(OR($Q6=1,$Q6=2),1,0),IF($X6&lt;=20,1,0))</formula>
    </cfRule>
    <cfRule type="expression" dxfId="7570" priority="269">
      <formula>AND(IF($Q6=2,1,0),IF($X6&lt;30,1,0))</formula>
    </cfRule>
    <cfRule type="expression" dxfId="7569" priority="270">
      <formula>AND(IF($Q6=3,1,0),IF($X6&lt;30,1,0))</formula>
    </cfRule>
    <cfRule type="expression" dxfId="7568" priority="271">
      <formula>AND(IF($Q6=3,1,IF($Q6=4,1,0)),IF($F6&lt;=85,1,0))</formula>
    </cfRule>
  </conditionalFormatting>
  <conditionalFormatting sqref="AI6">
    <cfRule type="expression" dxfId="7567" priority="264">
      <formula>AND(IF(OR($Q6=1,$Q6=2),1,0),IF($X6&lt;=20,1,0))</formula>
    </cfRule>
    <cfRule type="expression" dxfId="7566" priority="265">
      <formula>AND(IF($Q6=2,1,0),IF($X6&lt;30,1,0))</formula>
    </cfRule>
    <cfRule type="expression" dxfId="7565" priority="266">
      <formula>AND(IF($Q6=3,1,0),IF($X6&lt;30,1,0))</formula>
    </cfRule>
    <cfRule type="expression" dxfId="7564" priority="267">
      <formula>AND(IF($Q6=3,1,IF($Q6=4,1,0)),IF($F6&lt;=85,1,0))</formula>
    </cfRule>
  </conditionalFormatting>
  <conditionalFormatting sqref="AV7">
    <cfRule type="expression" dxfId="7563" priority="262">
      <formula>AV7="X"</formula>
    </cfRule>
    <cfRule type="expression" dxfId="7562" priority="263">
      <formula>AV7="후보"</formula>
    </cfRule>
  </conditionalFormatting>
  <conditionalFormatting sqref="Z7">
    <cfRule type="colorScale" priority="2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7561" priority="259" operator="greaterThan">
      <formula>0.9</formula>
    </cfRule>
    <cfRule type="cellIs" dxfId="7560" priority="260" operator="greaterThan">
      <formula>0.85</formula>
    </cfRule>
  </conditionalFormatting>
  <conditionalFormatting sqref="AV8">
    <cfRule type="expression" dxfId="7559" priority="257">
      <formula>AV8="X"</formula>
    </cfRule>
    <cfRule type="expression" dxfId="7558" priority="258">
      <formula>AV8="후보"</formula>
    </cfRule>
  </conditionalFormatting>
  <conditionalFormatting sqref="Z8">
    <cfRule type="colorScale" priority="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557" priority="254" operator="greaterThan">
      <formula>0.9</formula>
    </cfRule>
    <cfRule type="cellIs" dxfId="7556" priority="255" operator="greaterThan">
      <formula>0.85</formula>
    </cfRule>
  </conditionalFormatting>
  <conditionalFormatting sqref="N8">
    <cfRule type="cellIs" dxfId="7555" priority="252" operator="greaterThan">
      <formula>0.9</formula>
    </cfRule>
    <cfRule type="cellIs" dxfId="7554" priority="253" operator="greaterThan">
      <formula>0.85</formula>
    </cfRule>
  </conditionalFormatting>
  <conditionalFormatting sqref="E8">
    <cfRule type="expression" dxfId="7553" priority="248">
      <formula>AND(IF(OR($Q8=1,$Q8=2),1,0),IF($X8&lt;=20,1,0))</formula>
    </cfRule>
    <cfRule type="expression" dxfId="7552" priority="249">
      <formula>AND(IF($Q8=2,1,0),IF($X8&lt;30,1,0))</formula>
    </cfRule>
    <cfRule type="expression" dxfId="7551" priority="250">
      <formula>AND(IF($Q8=3,1,0),IF($X8&lt;30,1,0))</formula>
    </cfRule>
    <cfRule type="expression" dxfId="7550" priority="251">
      <formula>AND(IF($Q8=3,1,IF($Q8=4,1,0)),IF($F8&lt;=85,1,0))</formula>
    </cfRule>
  </conditionalFormatting>
  <conditionalFormatting sqref="X8">
    <cfRule type="expression" dxfId="7549" priority="244">
      <formula>AND(IF(OR($Q8=1,$Q8=2),1,0),IF($X8&lt;=20,1,0))</formula>
    </cfRule>
    <cfRule type="expression" dxfId="7548" priority="245">
      <formula>AND(IF($Q8=2,1,0),IF($X8&lt;30,1,0))</formula>
    </cfRule>
    <cfRule type="expression" dxfId="7547" priority="246">
      <formula>AND(IF($Q8=3,1,0),IF($X8&lt;30,1,0))</formula>
    </cfRule>
    <cfRule type="expression" dxfId="7546" priority="247">
      <formula>AND(IF($Q8=3,1,IF($Q8=4,1,0)),IF($F8&lt;=85,1,0))</formula>
    </cfRule>
  </conditionalFormatting>
  <conditionalFormatting sqref="AI8">
    <cfRule type="expression" dxfId="7545" priority="240">
      <formula>AND(IF(OR($Q8=1,$Q8=2),1,0),IF($X8&lt;=20,1,0))</formula>
    </cfRule>
    <cfRule type="expression" dxfId="7544" priority="241">
      <formula>AND(IF($Q8=2,1,0),IF($X8&lt;30,1,0))</formula>
    </cfRule>
    <cfRule type="expression" dxfId="7543" priority="242">
      <formula>AND(IF($Q8=3,1,0),IF($X8&lt;30,1,0))</formula>
    </cfRule>
    <cfRule type="expression" dxfId="7542" priority="243">
      <formula>AND(IF($Q8=3,1,IF($Q8=4,1,0)),IF($F8&lt;=85,1,0))</formula>
    </cfRule>
  </conditionalFormatting>
  <conditionalFormatting sqref="AV9">
    <cfRule type="expression" dxfId="7541" priority="238">
      <formula>AV9="X"</formula>
    </cfRule>
    <cfRule type="expression" dxfId="7540" priority="239">
      <formula>AV9="후보"</formula>
    </cfRule>
  </conditionalFormatting>
  <conditionalFormatting sqref="Z9">
    <cfRule type="colorScale" priority="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539" priority="235" operator="greaterThan">
      <formula>0.9</formula>
    </cfRule>
    <cfRule type="cellIs" dxfId="7538" priority="236" operator="greaterThan">
      <formula>0.85</formula>
    </cfRule>
  </conditionalFormatting>
  <conditionalFormatting sqref="N9">
    <cfRule type="cellIs" dxfId="7537" priority="233" operator="greaterThan">
      <formula>0.9</formula>
    </cfRule>
    <cfRule type="cellIs" dxfId="7536" priority="234" operator="greaterThan">
      <formula>0.85</formula>
    </cfRule>
  </conditionalFormatting>
  <conditionalFormatting sqref="E9">
    <cfRule type="expression" dxfId="7535" priority="229">
      <formula>AND(IF(OR($Q9=1,$Q9=2),1,0),IF($X9&lt;=20,1,0))</formula>
    </cfRule>
    <cfRule type="expression" dxfId="7534" priority="230">
      <formula>AND(IF($Q9=2,1,0),IF($X9&lt;30,1,0))</formula>
    </cfRule>
    <cfRule type="expression" dxfId="7533" priority="231">
      <formula>AND(IF($Q9=3,1,0),IF($X9&lt;30,1,0))</formula>
    </cfRule>
    <cfRule type="expression" dxfId="7532" priority="232">
      <formula>AND(IF($Q9=3,1,IF($Q9=4,1,0)),IF($F9&lt;=85,1,0))</formula>
    </cfRule>
  </conditionalFormatting>
  <conditionalFormatting sqref="X9">
    <cfRule type="expression" dxfId="7531" priority="225">
      <formula>AND(IF(OR($Q9=1,$Q9=2),1,0),IF($X9&lt;=20,1,0))</formula>
    </cfRule>
    <cfRule type="expression" dxfId="7530" priority="226">
      <formula>AND(IF($Q9=2,1,0),IF($X9&lt;30,1,0))</formula>
    </cfRule>
    <cfRule type="expression" dxfId="7529" priority="227">
      <formula>AND(IF($Q9=3,1,0),IF($X9&lt;30,1,0))</formula>
    </cfRule>
    <cfRule type="expression" dxfId="7528" priority="228">
      <formula>AND(IF($Q9=3,1,IF($Q9=4,1,0)),IF($F9&lt;=85,1,0))</formula>
    </cfRule>
  </conditionalFormatting>
  <conditionalFormatting sqref="AI9">
    <cfRule type="expression" dxfId="7527" priority="221">
      <formula>AND(IF(OR($Q9=1,$Q9=2),1,0),IF($X9&lt;=20,1,0))</formula>
    </cfRule>
    <cfRule type="expression" dxfId="7526" priority="222">
      <formula>AND(IF($Q9=2,1,0),IF($X9&lt;30,1,0))</formula>
    </cfRule>
    <cfRule type="expression" dxfId="7525" priority="223">
      <formula>AND(IF($Q9=3,1,0),IF($X9&lt;30,1,0))</formula>
    </cfRule>
    <cfRule type="expression" dxfId="7524" priority="224">
      <formula>AND(IF($Q9=3,1,IF($Q9=4,1,0)),IF($F9&lt;=85,1,0))</formula>
    </cfRule>
  </conditionalFormatting>
  <conditionalFormatting sqref="AV10">
    <cfRule type="expression" dxfId="7523" priority="219">
      <formula>AV10="X"</formula>
    </cfRule>
    <cfRule type="expression" dxfId="7522" priority="220">
      <formula>AV10="후보"</formula>
    </cfRule>
  </conditionalFormatting>
  <conditionalFormatting sqref="Z10">
    <cfRule type="colorScale" priority="2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521" priority="216" operator="greaterThan">
      <formula>0.9</formula>
    </cfRule>
    <cfRule type="cellIs" dxfId="7520" priority="217" operator="greaterThan">
      <formula>0.85</formula>
    </cfRule>
  </conditionalFormatting>
  <conditionalFormatting sqref="N10">
    <cfRule type="cellIs" dxfId="7519" priority="214" operator="greaterThan">
      <formula>0.9</formula>
    </cfRule>
    <cfRule type="cellIs" dxfId="7518" priority="215" operator="greaterThan">
      <formula>0.85</formula>
    </cfRule>
  </conditionalFormatting>
  <conditionalFormatting sqref="E10">
    <cfRule type="expression" dxfId="7517" priority="210">
      <formula>AND(IF(OR($Q10=1,$Q10=2),1,0),IF($X10&lt;=20,1,0))</formula>
    </cfRule>
    <cfRule type="expression" dxfId="7516" priority="211">
      <formula>AND(IF($Q10=2,1,0),IF($X10&lt;30,1,0))</formula>
    </cfRule>
    <cfRule type="expression" dxfId="7515" priority="212">
      <formula>AND(IF($Q10=3,1,0),IF($X10&lt;30,1,0))</formula>
    </cfRule>
    <cfRule type="expression" dxfId="7514" priority="213">
      <formula>AND(IF($Q10=3,1,IF($Q10=4,1,0)),IF($F10&lt;=85,1,0))</formula>
    </cfRule>
  </conditionalFormatting>
  <conditionalFormatting sqref="X10">
    <cfRule type="expression" dxfId="7513" priority="206">
      <formula>AND(IF(OR($Q10=1,$Q10=2),1,0),IF($X10&lt;=20,1,0))</formula>
    </cfRule>
    <cfRule type="expression" dxfId="7512" priority="207">
      <formula>AND(IF($Q10=2,1,0),IF($X10&lt;30,1,0))</formula>
    </cfRule>
    <cfRule type="expression" dxfId="7511" priority="208">
      <formula>AND(IF($Q10=3,1,0),IF($X10&lt;30,1,0))</formula>
    </cfRule>
    <cfRule type="expression" dxfId="7510" priority="209">
      <formula>AND(IF($Q10=3,1,IF($Q10=4,1,0)),IF($F10&lt;=85,1,0))</formula>
    </cfRule>
  </conditionalFormatting>
  <conditionalFormatting sqref="AI10">
    <cfRule type="expression" dxfId="7509" priority="202">
      <formula>AND(IF(OR($Q10=1,$Q10=2),1,0),IF($X10&lt;=20,1,0))</formula>
    </cfRule>
    <cfRule type="expression" dxfId="7508" priority="203">
      <formula>AND(IF($Q10=2,1,0),IF($X10&lt;30,1,0))</formula>
    </cfRule>
    <cfRule type="expression" dxfId="7507" priority="204">
      <formula>AND(IF($Q10=3,1,0),IF($X10&lt;30,1,0))</formula>
    </cfRule>
    <cfRule type="expression" dxfId="7506" priority="205">
      <formula>AND(IF($Q10=3,1,IF($Q10=4,1,0)),IF($F10&lt;=85,1,0))</formula>
    </cfRule>
  </conditionalFormatting>
  <conditionalFormatting sqref="AV11">
    <cfRule type="expression" dxfId="7505" priority="200">
      <formula>AV11="X"</formula>
    </cfRule>
    <cfRule type="expression" dxfId="7504" priority="201">
      <formula>AV11="후보"</formula>
    </cfRule>
  </conditionalFormatting>
  <conditionalFormatting sqref="Z11">
    <cfRule type="colorScale" priority="1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7503" priority="197" operator="greaterThan">
      <formula>0.9</formula>
    </cfRule>
    <cfRule type="cellIs" dxfId="7502" priority="198" operator="greaterThan">
      <formula>0.85</formula>
    </cfRule>
  </conditionalFormatting>
  <conditionalFormatting sqref="AV12">
    <cfRule type="expression" dxfId="7501" priority="195">
      <formula>AV12="X"</formula>
    </cfRule>
    <cfRule type="expression" dxfId="7500" priority="196">
      <formula>AV12="후보"</formula>
    </cfRule>
  </conditionalFormatting>
  <conditionalFormatting sqref="Z12">
    <cfRule type="colorScale" priority="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499" priority="192" operator="greaterThan">
      <formula>0.9</formula>
    </cfRule>
    <cfRule type="cellIs" dxfId="7498" priority="193" operator="greaterThan">
      <formula>0.85</formula>
    </cfRule>
  </conditionalFormatting>
  <conditionalFormatting sqref="N12">
    <cfRule type="cellIs" dxfId="7497" priority="190" operator="greaterThan">
      <formula>0.9</formula>
    </cfRule>
    <cfRule type="cellIs" dxfId="7496" priority="191" operator="greaterThan">
      <formula>0.85</formula>
    </cfRule>
  </conditionalFormatting>
  <conditionalFormatting sqref="E12">
    <cfRule type="expression" dxfId="7495" priority="186">
      <formula>AND(IF(OR($Q12=1,$Q12=2),1,0),IF($X12&lt;=20,1,0))</formula>
    </cfRule>
    <cfRule type="expression" dxfId="7494" priority="187">
      <formula>AND(IF($Q12=2,1,0),IF($X12&lt;30,1,0))</formula>
    </cfRule>
    <cfRule type="expression" dxfId="7493" priority="188">
      <formula>AND(IF($Q12=3,1,0),IF($X12&lt;30,1,0))</formula>
    </cfRule>
    <cfRule type="expression" dxfId="7492" priority="189">
      <formula>AND(IF($Q12=3,1,IF($Q12=4,1,0)),IF($F12&lt;=85,1,0))</formula>
    </cfRule>
  </conditionalFormatting>
  <conditionalFormatting sqref="X12">
    <cfRule type="expression" dxfId="7491" priority="182">
      <formula>AND(IF(OR($Q12=1,$Q12=2),1,0),IF($X12&lt;=20,1,0))</formula>
    </cfRule>
    <cfRule type="expression" dxfId="7490" priority="183">
      <formula>AND(IF($Q12=2,1,0),IF($X12&lt;30,1,0))</formula>
    </cfRule>
    <cfRule type="expression" dxfId="7489" priority="184">
      <formula>AND(IF($Q12=3,1,0),IF($X12&lt;30,1,0))</formula>
    </cfRule>
    <cfRule type="expression" dxfId="7488" priority="185">
      <formula>AND(IF($Q12=3,1,IF($Q12=4,1,0)),IF($F12&lt;=85,1,0))</formula>
    </cfRule>
  </conditionalFormatting>
  <conditionalFormatting sqref="AI12">
    <cfRule type="expression" dxfId="7487" priority="178">
      <formula>AND(IF(OR($Q12=1,$Q12=2),1,0),IF($X12&lt;=20,1,0))</formula>
    </cfRule>
    <cfRule type="expression" dxfId="7486" priority="179">
      <formula>AND(IF($Q12=2,1,0),IF($X12&lt;30,1,0))</formula>
    </cfRule>
    <cfRule type="expression" dxfId="7485" priority="180">
      <formula>AND(IF($Q12=3,1,0),IF($X12&lt;30,1,0))</formula>
    </cfRule>
    <cfRule type="expression" dxfId="7484" priority="181">
      <formula>AND(IF($Q12=3,1,IF($Q12=4,1,0)),IF($F12&lt;=85,1,0))</formula>
    </cfRule>
  </conditionalFormatting>
  <conditionalFormatting sqref="AV13">
    <cfRule type="expression" dxfId="7483" priority="176">
      <formula>AV13="X"</formula>
    </cfRule>
    <cfRule type="expression" dxfId="7482" priority="177">
      <formula>AV13="후보"</formula>
    </cfRule>
  </conditionalFormatting>
  <conditionalFormatting sqref="Z13">
    <cfRule type="colorScale" priority="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7481" priority="173" operator="greaterThan">
      <formula>0.9</formula>
    </cfRule>
    <cfRule type="cellIs" dxfId="7480" priority="174" operator="greaterThan">
      <formula>0.85</formula>
    </cfRule>
  </conditionalFormatting>
  <conditionalFormatting sqref="AV14">
    <cfRule type="expression" dxfId="7479" priority="171">
      <formula>AV14="X"</formula>
    </cfRule>
    <cfRule type="expression" dxfId="7478" priority="172">
      <formula>AV14="후보"</formula>
    </cfRule>
  </conditionalFormatting>
  <conditionalFormatting sqref="Z14">
    <cfRule type="colorScale" priority="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477" priority="168" operator="greaterThan">
      <formula>0.9</formula>
    </cfRule>
    <cfRule type="cellIs" dxfId="7476" priority="169" operator="greaterThan">
      <formula>0.85</formula>
    </cfRule>
  </conditionalFormatting>
  <conditionalFormatting sqref="N14">
    <cfRule type="cellIs" dxfId="7475" priority="166" operator="greaterThan">
      <formula>0.9</formula>
    </cfRule>
    <cfRule type="cellIs" dxfId="7474" priority="167" operator="greaterThan">
      <formula>0.85</formula>
    </cfRule>
  </conditionalFormatting>
  <conditionalFormatting sqref="E14">
    <cfRule type="expression" dxfId="7473" priority="162">
      <formula>AND(IF(OR($Q14=1,$Q14=2),1,0),IF($X14&lt;=20,1,0))</formula>
    </cfRule>
    <cfRule type="expression" dxfId="7472" priority="163">
      <formula>AND(IF($Q14=2,1,0),IF($X14&lt;30,1,0))</formula>
    </cfRule>
    <cfRule type="expression" dxfId="7471" priority="164">
      <formula>AND(IF($Q14=3,1,0),IF($X14&lt;30,1,0))</formula>
    </cfRule>
    <cfRule type="expression" dxfId="7470" priority="165">
      <formula>AND(IF($Q14=3,1,IF($Q14=4,1,0)),IF($F14&lt;=85,1,0))</formula>
    </cfRule>
  </conditionalFormatting>
  <conditionalFormatting sqref="X14">
    <cfRule type="expression" dxfId="7469" priority="158">
      <formula>AND(IF(OR($Q14=1,$Q14=2),1,0),IF($X14&lt;=20,1,0))</formula>
    </cfRule>
    <cfRule type="expression" dxfId="7468" priority="159">
      <formula>AND(IF($Q14=2,1,0),IF($X14&lt;30,1,0))</formula>
    </cfRule>
    <cfRule type="expression" dxfId="7467" priority="160">
      <formula>AND(IF($Q14=3,1,0),IF($X14&lt;30,1,0))</formula>
    </cfRule>
    <cfRule type="expression" dxfId="7466" priority="161">
      <formula>AND(IF($Q14=3,1,IF($Q14=4,1,0)),IF($F14&lt;=85,1,0))</formula>
    </cfRule>
  </conditionalFormatting>
  <conditionalFormatting sqref="AI14">
    <cfRule type="expression" dxfId="7465" priority="154">
      <formula>AND(IF(OR($Q14=1,$Q14=2),1,0),IF($X14&lt;=20,1,0))</formula>
    </cfRule>
    <cfRule type="expression" dxfId="7464" priority="155">
      <formula>AND(IF($Q14=2,1,0),IF($X14&lt;30,1,0))</formula>
    </cfRule>
    <cfRule type="expression" dxfId="7463" priority="156">
      <formula>AND(IF($Q14=3,1,0),IF($X14&lt;30,1,0))</formula>
    </cfRule>
    <cfRule type="expression" dxfId="7462" priority="157">
      <formula>AND(IF($Q14=3,1,IF($Q14=4,1,0)),IF($F14&lt;=85,1,0))</formula>
    </cfRule>
  </conditionalFormatting>
  <conditionalFormatting sqref="AV15">
    <cfRule type="expression" dxfId="7461" priority="152">
      <formula>AV15="X"</formula>
    </cfRule>
    <cfRule type="expression" dxfId="7460" priority="153">
      <formula>AV15="후보"</formula>
    </cfRule>
  </conditionalFormatting>
  <conditionalFormatting sqref="Z15">
    <cfRule type="colorScale" priority="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459" priority="149" operator="greaterThan">
      <formula>0.9</formula>
    </cfRule>
    <cfRule type="cellIs" dxfId="7458" priority="150" operator="greaterThan">
      <formula>0.85</formula>
    </cfRule>
  </conditionalFormatting>
  <conditionalFormatting sqref="N15">
    <cfRule type="cellIs" dxfId="7457" priority="147" operator="greaterThan">
      <formula>0.9</formula>
    </cfRule>
    <cfRule type="cellIs" dxfId="7456" priority="148" operator="greaterThan">
      <formula>0.85</formula>
    </cfRule>
  </conditionalFormatting>
  <conditionalFormatting sqref="E15">
    <cfRule type="expression" dxfId="7455" priority="143">
      <formula>AND(IF(OR($Q15=1,$Q15=2),1,0),IF($X15&lt;=20,1,0))</formula>
    </cfRule>
    <cfRule type="expression" dxfId="7454" priority="144">
      <formula>AND(IF($Q15=2,1,0),IF($X15&lt;30,1,0))</formula>
    </cfRule>
    <cfRule type="expression" dxfId="7453" priority="145">
      <formula>AND(IF($Q15=3,1,0),IF($X15&lt;30,1,0))</formula>
    </cfRule>
    <cfRule type="expression" dxfId="7452" priority="146">
      <formula>AND(IF($Q15=3,1,IF($Q15=4,1,0)),IF($F15&lt;=85,1,0))</formula>
    </cfRule>
  </conditionalFormatting>
  <conditionalFormatting sqref="X15">
    <cfRule type="expression" dxfId="7451" priority="139">
      <formula>AND(IF(OR($Q15=1,$Q15=2),1,0),IF($X15&lt;=20,1,0))</formula>
    </cfRule>
    <cfRule type="expression" dxfId="7450" priority="140">
      <formula>AND(IF($Q15=2,1,0),IF($X15&lt;30,1,0))</formula>
    </cfRule>
    <cfRule type="expression" dxfId="7449" priority="141">
      <formula>AND(IF($Q15=3,1,0),IF($X15&lt;30,1,0))</formula>
    </cfRule>
    <cfRule type="expression" dxfId="7448" priority="142">
      <formula>AND(IF($Q15=3,1,IF($Q15=4,1,0)),IF($F15&lt;=85,1,0))</formula>
    </cfRule>
  </conditionalFormatting>
  <conditionalFormatting sqref="AI15">
    <cfRule type="expression" dxfId="7447" priority="135">
      <formula>AND(IF(OR($Q15=1,$Q15=2),1,0),IF($X15&lt;=20,1,0))</formula>
    </cfRule>
    <cfRule type="expression" dxfId="7446" priority="136">
      <formula>AND(IF($Q15=2,1,0),IF($X15&lt;30,1,0))</formula>
    </cfRule>
    <cfRule type="expression" dxfId="7445" priority="137">
      <formula>AND(IF($Q15=3,1,0),IF($X15&lt;30,1,0))</formula>
    </cfRule>
    <cfRule type="expression" dxfId="7444" priority="138">
      <formula>AND(IF($Q15=3,1,IF($Q15=4,1,0)),IF($F15&lt;=85,1,0))</formula>
    </cfRule>
  </conditionalFormatting>
  <conditionalFormatting sqref="AV16">
    <cfRule type="expression" dxfId="7443" priority="133">
      <formula>AV16="X"</formula>
    </cfRule>
    <cfRule type="expression" dxfId="7442" priority="134">
      <formula>AV16="후보"</formula>
    </cfRule>
  </conditionalFormatting>
  <conditionalFormatting sqref="Z16">
    <cfRule type="colorScale" priority="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7441" priority="130" operator="greaterThan">
      <formula>0.9</formula>
    </cfRule>
    <cfRule type="cellIs" dxfId="7440" priority="131" operator="greaterThan">
      <formula>0.85</formula>
    </cfRule>
  </conditionalFormatting>
  <conditionalFormatting sqref="AV17">
    <cfRule type="expression" dxfId="7439" priority="128">
      <formula>AV17="X"</formula>
    </cfRule>
    <cfRule type="expression" dxfId="7438" priority="129">
      <formula>AV17="후보"</formula>
    </cfRule>
  </conditionalFormatting>
  <conditionalFormatting sqref="Z17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437" priority="125" operator="greaterThan">
      <formula>0.9</formula>
    </cfRule>
    <cfRule type="cellIs" dxfId="7436" priority="126" operator="greaterThan">
      <formula>0.85</formula>
    </cfRule>
  </conditionalFormatting>
  <conditionalFormatting sqref="N17">
    <cfRule type="cellIs" dxfId="7435" priority="123" operator="greaterThan">
      <formula>0.9</formula>
    </cfRule>
    <cfRule type="cellIs" dxfId="7434" priority="124" operator="greaterThan">
      <formula>0.85</formula>
    </cfRule>
  </conditionalFormatting>
  <conditionalFormatting sqref="E17">
    <cfRule type="expression" dxfId="7433" priority="119">
      <formula>AND(IF(OR($Q17=1,$Q17=2),1,0),IF($X17&lt;=20,1,0))</formula>
    </cfRule>
    <cfRule type="expression" dxfId="7432" priority="120">
      <formula>AND(IF($Q17=2,1,0),IF($X17&lt;30,1,0))</formula>
    </cfRule>
    <cfRule type="expression" dxfId="7431" priority="121">
      <formula>AND(IF($Q17=3,1,0),IF($X17&lt;30,1,0))</formula>
    </cfRule>
    <cfRule type="expression" dxfId="7430" priority="122">
      <formula>AND(IF($Q17=3,1,IF($Q17=4,1,0)),IF($F17&lt;=85,1,0))</formula>
    </cfRule>
  </conditionalFormatting>
  <conditionalFormatting sqref="X17">
    <cfRule type="expression" dxfId="7429" priority="115">
      <formula>AND(IF(OR($Q17=1,$Q17=2),1,0),IF($X17&lt;=20,1,0))</formula>
    </cfRule>
    <cfRule type="expression" dxfId="7428" priority="116">
      <formula>AND(IF($Q17=2,1,0),IF($X17&lt;30,1,0))</formula>
    </cfRule>
    <cfRule type="expression" dxfId="7427" priority="117">
      <formula>AND(IF($Q17=3,1,0),IF($X17&lt;30,1,0))</formula>
    </cfRule>
    <cfRule type="expression" dxfId="7426" priority="118">
      <formula>AND(IF($Q17=3,1,IF($Q17=4,1,0)),IF($F17&lt;=85,1,0))</formula>
    </cfRule>
  </conditionalFormatting>
  <conditionalFormatting sqref="AI17">
    <cfRule type="expression" dxfId="7425" priority="111">
      <formula>AND(IF(OR($Q17=1,$Q17=2),1,0),IF($X17&lt;=20,1,0))</formula>
    </cfRule>
    <cfRule type="expression" dxfId="7424" priority="112">
      <formula>AND(IF($Q17=2,1,0),IF($X17&lt;30,1,0))</formula>
    </cfRule>
    <cfRule type="expression" dxfId="7423" priority="113">
      <formula>AND(IF($Q17=3,1,0),IF($X17&lt;30,1,0))</formula>
    </cfRule>
    <cfRule type="expression" dxfId="7422" priority="114">
      <formula>AND(IF($Q17=3,1,IF($Q17=4,1,0)),IF($F17&lt;=85,1,0))</formula>
    </cfRule>
  </conditionalFormatting>
  <conditionalFormatting sqref="AV18">
    <cfRule type="expression" dxfId="7421" priority="109">
      <formula>AV18="X"</formula>
    </cfRule>
    <cfRule type="expression" dxfId="7420" priority="110">
      <formula>AV18="후보"</formula>
    </cfRule>
  </conditionalFormatting>
  <conditionalFormatting sqref="Z18">
    <cfRule type="colorScale" priority="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419" priority="106" operator="greaterThan">
      <formula>0.9</formula>
    </cfRule>
    <cfRule type="cellIs" dxfId="7418" priority="107" operator="greaterThan">
      <formula>0.85</formula>
    </cfRule>
  </conditionalFormatting>
  <conditionalFormatting sqref="N18">
    <cfRule type="cellIs" dxfId="7417" priority="104" operator="greaterThan">
      <formula>0.9</formula>
    </cfRule>
    <cfRule type="cellIs" dxfId="7416" priority="105" operator="greaterThan">
      <formula>0.85</formula>
    </cfRule>
  </conditionalFormatting>
  <conditionalFormatting sqref="E18">
    <cfRule type="expression" dxfId="7415" priority="100">
      <formula>AND(IF(OR($Q18=1,$Q18=2),1,0),IF($X18&lt;=20,1,0))</formula>
    </cfRule>
    <cfRule type="expression" dxfId="7414" priority="101">
      <formula>AND(IF($Q18=2,1,0),IF($X18&lt;30,1,0))</formula>
    </cfRule>
    <cfRule type="expression" dxfId="7413" priority="102">
      <formula>AND(IF($Q18=3,1,0),IF($X18&lt;30,1,0))</formula>
    </cfRule>
    <cfRule type="expression" dxfId="7412" priority="103">
      <formula>AND(IF($Q18=3,1,IF($Q18=4,1,0)),IF($F18&lt;=85,1,0))</formula>
    </cfRule>
  </conditionalFormatting>
  <conditionalFormatting sqref="X18">
    <cfRule type="expression" dxfId="7411" priority="96">
      <formula>AND(IF(OR($Q18=1,$Q18=2),1,0),IF($X18&lt;=20,1,0))</formula>
    </cfRule>
    <cfRule type="expression" dxfId="7410" priority="97">
      <formula>AND(IF($Q18=2,1,0),IF($X18&lt;30,1,0))</formula>
    </cfRule>
    <cfRule type="expression" dxfId="7409" priority="98">
      <formula>AND(IF($Q18=3,1,0),IF($X18&lt;30,1,0))</formula>
    </cfRule>
    <cfRule type="expression" dxfId="7408" priority="99">
      <formula>AND(IF($Q18=3,1,IF($Q18=4,1,0)),IF($F18&lt;=85,1,0))</formula>
    </cfRule>
  </conditionalFormatting>
  <conditionalFormatting sqref="AI18">
    <cfRule type="expression" dxfId="7407" priority="92">
      <formula>AND(IF(OR($Q18=1,$Q18=2),1,0),IF($X18&lt;=20,1,0))</formula>
    </cfRule>
    <cfRule type="expression" dxfId="7406" priority="93">
      <formula>AND(IF($Q18=2,1,0),IF($X18&lt;30,1,0))</formula>
    </cfRule>
    <cfRule type="expression" dxfId="7405" priority="94">
      <formula>AND(IF($Q18=3,1,0),IF($X18&lt;30,1,0))</formula>
    </cfRule>
    <cfRule type="expression" dxfId="7404" priority="95">
      <formula>AND(IF($Q18=3,1,IF($Q18=4,1,0)),IF($F18&lt;=85,1,0))</formula>
    </cfRule>
  </conditionalFormatting>
  <conditionalFormatting sqref="AV19">
    <cfRule type="expression" dxfId="7403" priority="90">
      <formula>AV19="X"</formula>
    </cfRule>
    <cfRule type="expression" dxfId="7402" priority="91">
      <formula>AV19="후보"</formula>
    </cfRule>
  </conditionalFormatting>
  <conditionalFormatting sqref="Z19">
    <cfRule type="colorScale" priority="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401" priority="87" operator="greaterThan">
      <formula>0.9</formula>
    </cfRule>
    <cfRule type="cellIs" dxfId="7400" priority="88" operator="greaterThan">
      <formula>0.85</formula>
    </cfRule>
  </conditionalFormatting>
  <conditionalFormatting sqref="N19">
    <cfRule type="cellIs" dxfId="7399" priority="85" operator="greaterThan">
      <formula>0.9</formula>
    </cfRule>
    <cfRule type="cellIs" dxfId="7398" priority="86" operator="greaterThan">
      <formula>0.85</formula>
    </cfRule>
  </conditionalFormatting>
  <conditionalFormatting sqref="E19">
    <cfRule type="expression" dxfId="7397" priority="81">
      <formula>AND(IF(OR($Q19=1,$Q19=2),1,0),IF($X19&lt;=20,1,0))</formula>
    </cfRule>
    <cfRule type="expression" dxfId="7396" priority="82">
      <formula>AND(IF($Q19=2,1,0),IF($X19&lt;30,1,0))</formula>
    </cfRule>
    <cfRule type="expression" dxfId="7395" priority="83">
      <formula>AND(IF($Q19=3,1,0),IF($X19&lt;30,1,0))</formula>
    </cfRule>
    <cfRule type="expression" dxfId="7394" priority="84">
      <formula>AND(IF($Q19=3,1,IF($Q19=4,1,0)),IF($F19&lt;=85,1,0))</formula>
    </cfRule>
  </conditionalFormatting>
  <conditionalFormatting sqref="X19">
    <cfRule type="expression" dxfId="7393" priority="77">
      <formula>AND(IF(OR($Q19=1,$Q19=2),1,0),IF($X19&lt;=20,1,0))</formula>
    </cfRule>
    <cfRule type="expression" dxfId="7392" priority="78">
      <formula>AND(IF($Q19=2,1,0),IF($X19&lt;30,1,0))</formula>
    </cfRule>
    <cfRule type="expression" dxfId="7391" priority="79">
      <formula>AND(IF($Q19=3,1,0),IF($X19&lt;30,1,0))</formula>
    </cfRule>
    <cfRule type="expression" dxfId="7390" priority="80">
      <formula>AND(IF($Q19=3,1,IF($Q19=4,1,0)),IF($F19&lt;=85,1,0))</formula>
    </cfRule>
  </conditionalFormatting>
  <conditionalFormatting sqref="AI19">
    <cfRule type="expression" dxfId="7389" priority="73">
      <formula>AND(IF(OR($Q19=1,$Q19=2),1,0),IF($X19&lt;=20,1,0))</formula>
    </cfRule>
    <cfRule type="expression" dxfId="7388" priority="74">
      <formula>AND(IF($Q19=2,1,0),IF($X19&lt;30,1,0))</formula>
    </cfRule>
    <cfRule type="expression" dxfId="7387" priority="75">
      <formula>AND(IF($Q19=3,1,0),IF($X19&lt;30,1,0))</formula>
    </cfRule>
    <cfRule type="expression" dxfId="7386" priority="76">
      <formula>AND(IF($Q19=3,1,IF($Q19=4,1,0)),IF($F19&lt;=85,1,0))</formula>
    </cfRule>
  </conditionalFormatting>
  <conditionalFormatting sqref="AV20">
    <cfRule type="expression" dxfId="7385" priority="71">
      <formula>AV20="X"</formula>
    </cfRule>
    <cfRule type="expression" dxfId="7384" priority="72">
      <formula>AV20="후보"</formula>
    </cfRule>
  </conditionalFormatting>
  <conditionalFormatting sqref="Z20">
    <cfRule type="colorScale" priority="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7383" priority="68" operator="greaterThan">
      <formula>0.9</formula>
    </cfRule>
    <cfRule type="cellIs" dxfId="7382" priority="69" operator="greaterThan">
      <formula>0.85</formula>
    </cfRule>
  </conditionalFormatting>
  <conditionalFormatting sqref="AV21">
    <cfRule type="expression" dxfId="7381" priority="66">
      <formula>AV21="X"</formula>
    </cfRule>
    <cfRule type="expression" dxfId="7380" priority="67">
      <formula>AV21="후보"</formula>
    </cfRule>
  </conditionalFormatting>
  <conditionalFormatting sqref="Z21">
    <cfRule type="colorScale" priority="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379" priority="63" operator="greaterThan">
      <formula>0.9</formula>
    </cfRule>
    <cfRule type="cellIs" dxfId="7378" priority="64" operator="greaterThan">
      <formula>0.85</formula>
    </cfRule>
  </conditionalFormatting>
  <conditionalFormatting sqref="N21">
    <cfRule type="cellIs" dxfId="7377" priority="61" operator="greaterThan">
      <formula>0.9</formula>
    </cfRule>
    <cfRule type="cellIs" dxfId="7376" priority="62" operator="greaterThan">
      <formula>0.85</formula>
    </cfRule>
  </conditionalFormatting>
  <conditionalFormatting sqref="E21">
    <cfRule type="expression" dxfId="7375" priority="57">
      <formula>AND(IF(OR($Q21=1,$Q21=2),1,0),IF($X21&lt;=20,1,0))</formula>
    </cfRule>
    <cfRule type="expression" dxfId="7374" priority="58">
      <formula>AND(IF($Q21=2,1,0),IF($X21&lt;30,1,0))</formula>
    </cfRule>
    <cfRule type="expression" dxfId="7373" priority="59">
      <formula>AND(IF($Q21=3,1,0),IF($X21&lt;30,1,0))</formula>
    </cfRule>
    <cfRule type="expression" dxfId="7372" priority="60">
      <formula>AND(IF($Q21=3,1,IF($Q21=4,1,0)),IF($F21&lt;=85,1,0))</formula>
    </cfRule>
  </conditionalFormatting>
  <conditionalFormatting sqref="X21">
    <cfRule type="expression" dxfId="7371" priority="53">
      <formula>AND(IF(OR($Q21=1,$Q21=2),1,0),IF($X21&lt;=20,1,0))</formula>
    </cfRule>
    <cfRule type="expression" dxfId="7370" priority="54">
      <formula>AND(IF($Q21=2,1,0),IF($X21&lt;30,1,0))</formula>
    </cfRule>
    <cfRule type="expression" dxfId="7369" priority="55">
      <formula>AND(IF($Q21=3,1,0),IF($X21&lt;30,1,0))</formula>
    </cfRule>
    <cfRule type="expression" dxfId="7368" priority="56">
      <formula>AND(IF($Q21=3,1,IF($Q21=4,1,0)),IF($F21&lt;=85,1,0))</formula>
    </cfRule>
  </conditionalFormatting>
  <conditionalFormatting sqref="AI21">
    <cfRule type="expression" dxfId="7367" priority="49">
      <formula>AND(IF(OR($Q21=1,$Q21=2),1,0),IF($X21&lt;=20,1,0))</formula>
    </cfRule>
    <cfRule type="expression" dxfId="7366" priority="50">
      <formula>AND(IF($Q21=2,1,0),IF($X21&lt;30,1,0))</formula>
    </cfRule>
    <cfRule type="expression" dxfId="7365" priority="51">
      <formula>AND(IF($Q21=3,1,0),IF($X21&lt;30,1,0))</formula>
    </cfRule>
    <cfRule type="expression" dxfId="7364" priority="52">
      <formula>AND(IF($Q21=3,1,IF($Q21=4,1,0)),IF($F21&lt;=85,1,0))</formula>
    </cfRule>
  </conditionalFormatting>
  <conditionalFormatting sqref="AV22">
    <cfRule type="expression" dxfId="7363" priority="47">
      <formula>AV22="X"</formula>
    </cfRule>
    <cfRule type="expression" dxfId="7362" priority="48">
      <formula>AV22="후보"</formula>
    </cfRule>
  </conditionalFormatting>
  <conditionalFormatting sqref="Z22">
    <cfRule type="colorScale" priority="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7361" priority="44" operator="greaterThan">
      <formula>0.9</formula>
    </cfRule>
    <cfRule type="cellIs" dxfId="7360" priority="45" operator="greaterThan">
      <formula>0.85</formula>
    </cfRule>
  </conditionalFormatting>
  <conditionalFormatting sqref="AV23">
    <cfRule type="expression" dxfId="7359" priority="42">
      <formula>AV23="X"</formula>
    </cfRule>
    <cfRule type="expression" dxfId="7358" priority="43">
      <formula>AV23="후보"</formula>
    </cfRule>
  </conditionalFormatting>
  <conditionalFormatting sqref="Z23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357" priority="39" operator="greaterThan">
      <formula>0.9</formula>
    </cfRule>
    <cfRule type="cellIs" dxfId="7356" priority="40" operator="greaterThan">
      <formula>0.85</formula>
    </cfRule>
  </conditionalFormatting>
  <conditionalFormatting sqref="N23">
    <cfRule type="cellIs" dxfId="7355" priority="37" operator="greaterThan">
      <formula>0.9</formula>
    </cfRule>
    <cfRule type="cellIs" dxfId="7354" priority="38" operator="greaterThan">
      <formula>0.85</formula>
    </cfRule>
  </conditionalFormatting>
  <conditionalFormatting sqref="E23">
    <cfRule type="expression" dxfId="7353" priority="33">
      <formula>AND(IF(OR($Q23=1,$Q23=2),1,0),IF($X23&lt;=20,1,0))</formula>
    </cfRule>
    <cfRule type="expression" dxfId="7352" priority="34">
      <formula>AND(IF($Q23=2,1,0),IF($X23&lt;30,1,0))</formula>
    </cfRule>
    <cfRule type="expression" dxfId="7351" priority="35">
      <formula>AND(IF($Q23=3,1,0),IF($X23&lt;30,1,0))</formula>
    </cfRule>
    <cfRule type="expression" dxfId="7350" priority="36">
      <formula>AND(IF($Q23=3,1,IF($Q23=4,1,0)),IF($F23&lt;=85,1,0))</formula>
    </cfRule>
  </conditionalFormatting>
  <conditionalFormatting sqref="X23">
    <cfRule type="expression" dxfId="7349" priority="29">
      <formula>AND(IF(OR($Q23=1,$Q23=2),1,0),IF($X23&lt;=20,1,0))</formula>
    </cfRule>
    <cfRule type="expression" dxfId="7348" priority="30">
      <formula>AND(IF($Q23=2,1,0),IF($X23&lt;30,1,0))</formula>
    </cfRule>
    <cfRule type="expression" dxfId="7347" priority="31">
      <formula>AND(IF($Q23=3,1,0),IF($X23&lt;30,1,0))</formula>
    </cfRule>
    <cfRule type="expression" dxfId="7346" priority="32">
      <formula>AND(IF($Q23=3,1,IF($Q23=4,1,0)),IF($F23&lt;=85,1,0))</formula>
    </cfRule>
  </conditionalFormatting>
  <conditionalFormatting sqref="AI23">
    <cfRule type="expression" dxfId="7345" priority="25">
      <formula>AND(IF(OR($Q23=1,$Q23=2),1,0),IF($X23&lt;=20,1,0))</formula>
    </cfRule>
    <cfRule type="expression" dxfId="7344" priority="26">
      <formula>AND(IF($Q23=2,1,0),IF($X23&lt;30,1,0))</formula>
    </cfRule>
    <cfRule type="expression" dxfId="7343" priority="27">
      <formula>AND(IF($Q23=3,1,0),IF($X23&lt;30,1,0))</formula>
    </cfRule>
    <cfRule type="expression" dxfId="7342" priority="28">
      <formula>AND(IF($Q23=3,1,IF($Q23=4,1,0)),IF($F23&lt;=85,1,0))</formula>
    </cfRule>
  </conditionalFormatting>
  <conditionalFormatting sqref="AV24">
    <cfRule type="expression" dxfId="7341" priority="23">
      <formula>AV24="X"</formula>
    </cfRule>
    <cfRule type="expression" dxfId="7340" priority="24">
      <formula>AV24="후보"</formula>
    </cfRule>
  </conditionalFormatting>
  <conditionalFormatting sqref="Z24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7339" priority="20" operator="greaterThan">
      <formula>0.9</formula>
    </cfRule>
    <cfRule type="cellIs" dxfId="7338" priority="21" operator="greaterThan">
      <formula>0.85</formula>
    </cfRule>
  </conditionalFormatting>
  <conditionalFormatting sqref="AV25">
    <cfRule type="expression" dxfId="7337" priority="18">
      <formula>AV25="X"</formula>
    </cfRule>
    <cfRule type="expression" dxfId="7336" priority="19">
      <formula>AV25="후보"</formula>
    </cfRule>
  </conditionalFormatting>
  <conditionalFormatting sqref="Z2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7335" priority="15" operator="greaterThan">
      <formula>0.9</formula>
    </cfRule>
    <cfRule type="cellIs" dxfId="7334" priority="16" operator="greaterThan">
      <formula>0.85</formula>
    </cfRule>
  </conditionalFormatting>
  <conditionalFormatting sqref="N25">
    <cfRule type="cellIs" dxfId="7333" priority="13" operator="greaterThan">
      <formula>0.9</formula>
    </cfRule>
    <cfRule type="cellIs" dxfId="7332" priority="14" operator="greaterThan">
      <formula>0.85</formula>
    </cfRule>
  </conditionalFormatting>
  <conditionalFormatting sqref="E25">
    <cfRule type="expression" dxfId="7331" priority="9">
      <formula>AND(IF(OR($Q25=1,$Q25=2),1,0),IF($X25&lt;=20,1,0))</formula>
    </cfRule>
    <cfRule type="expression" dxfId="7330" priority="10">
      <formula>AND(IF($Q25=2,1,0),IF($X25&lt;30,1,0))</formula>
    </cfRule>
    <cfRule type="expression" dxfId="7329" priority="11">
      <formula>AND(IF($Q25=3,1,0),IF($X25&lt;30,1,0))</formula>
    </cfRule>
    <cfRule type="expression" dxfId="7328" priority="12">
      <formula>AND(IF($Q25=3,1,IF($Q25=4,1,0)),IF($F25&lt;=85,1,0))</formula>
    </cfRule>
  </conditionalFormatting>
  <conditionalFormatting sqref="X25">
    <cfRule type="expression" dxfId="7327" priority="5">
      <formula>AND(IF(OR($Q25=1,$Q25=2),1,0),IF($X25&lt;=20,1,0))</formula>
    </cfRule>
    <cfRule type="expression" dxfId="7326" priority="6">
      <formula>AND(IF($Q25=2,1,0),IF($X25&lt;30,1,0))</formula>
    </cfRule>
    <cfRule type="expression" dxfId="7325" priority="7">
      <formula>AND(IF($Q25=3,1,0),IF($X25&lt;30,1,0))</formula>
    </cfRule>
    <cfRule type="expression" dxfId="7324" priority="8">
      <formula>AND(IF($Q25=3,1,IF($Q25=4,1,0)),IF($F25&lt;=85,1,0))</formula>
    </cfRule>
  </conditionalFormatting>
  <conditionalFormatting sqref="AI25">
    <cfRule type="expression" dxfId="7323" priority="1">
      <formula>AND(IF(OR($Q25=1,$Q25=2),1,0),IF($X25&lt;=20,1,0))</formula>
    </cfRule>
    <cfRule type="expression" dxfId="7322" priority="2">
      <formula>AND(IF($Q25=2,1,0),IF($X25&lt;30,1,0))</formula>
    </cfRule>
    <cfRule type="expression" dxfId="7321" priority="3">
      <formula>AND(IF($Q25=3,1,0),IF($X25&lt;30,1,0))</formula>
    </cfRule>
    <cfRule type="expression" dxfId="7320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도화동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3069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도화동 e편한세상도화5단지(민간임대)('18.01.,932^)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3070</v>
      </c>
      <c r="B6" s="16" t="s">
        <v>3071</v>
      </c>
      <c r="C6" s="28">
        <v>932</v>
      </c>
      <c r="D6" s="25">
        <v>82.7</v>
      </c>
      <c r="E6" s="106">
        <v>25</v>
      </c>
      <c r="F6" s="25">
        <v>59.8</v>
      </c>
      <c r="G6" s="27">
        <v>18</v>
      </c>
      <c r="H6" s="28">
        <v>230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3072</v>
      </c>
      <c r="T6" s="8" t="s">
        <v>152</v>
      </c>
      <c r="U6" s="13"/>
      <c r="W6" s="25">
        <f>D6</f>
        <v>82.7</v>
      </c>
      <c r="X6" s="106">
        <f>E6</f>
        <v>25</v>
      </c>
      <c r="Y6" s="32">
        <f>H6</f>
        <v>230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e편한세상도화5단지(민간임대)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3070</v>
      </c>
      <c r="B7" s="16" t="s">
        <v>3073</v>
      </c>
      <c r="C7" s="28">
        <v>932</v>
      </c>
      <c r="D7" s="25">
        <v>109.7</v>
      </c>
      <c r="E7" s="106">
        <v>33</v>
      </c>
      <c r="F7" s="25">
        <v>84.9</v>
      </c>
      <c r="G7" s="27">
        <v>26</v>
      </c>
      <c r="H7" s="28">
        <v>586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3060</v>
      </c>
      <c r="T7" s="8" t="s">
        <v>3074</v>
      </c>
      <c r="U7" s="13"/>
      <c r="W7" s="25">
        <f>D7</f>
        <v>109.7</v>
      </c>
      <c r="X7" s="106">
        <f>E7</f>
        <v>33</v>
      </c>
      <c r="Y7" s="32">
        <f>H7</f>
        <v>586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e편한세상도화5단지(민간임대)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3070</v>
      </c>
      <c r="B8" s="16" t="s">
        <v>3073</v>
      </c>
      <c r="C8" s="28">
        <v>932</v>
      </c>
      <c r="D8" s="25">
        <v>110.2</v>
      </c>
      <c r="E8" s="106">
        <v>33</v>
      </c>
      <c r="F8" s="25">
        <v>85</v>
      </c>
      <c r="G8" s="27">
        <v>26</v>
      </c>
      <c r="H8" s="28">
        <v>58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3060</v>
      </c>
      <c r="T8" s="8" t="s">
        <v>3075</v>
      </c>
      <c r="U8" s="13"/>
      <c r="W8" s="25">
        <f>D8</f>
        <v>110.2</v>
      </c>
      <c r="X8" s="106">
        <f>E8</f>
        <v>33</v>
      </c>
      <c r="Y8" s="32">
        <f>H8</f>
        <v>58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e편한세상도화5단지(민간임대)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3070</v>
      </c>
      <c r="B9" s="16" t="s">
        <v>3073</v>
      </c>
      <c r="C9" s="28">
        <v>932</v>
      </c>
      <c r="D9" s="25">
        <v>110.2</v>
      </c>
      <c r="E9" s="106">
        <v>33</v>
      </c>
      <c r="F9" s="25">
        <v>85</v>
      </c>
      <c r="G9" s="27">
        <v>26</v>
      </c>
      <c r="H9" s="28">
        <v>58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3060</v>
      </c>
      <c r="T9" s="8" t="s">
        <v>3076</v>
      </c>
      <c r="U9" s="13"/>
      <c r="W9" s="25">
        <f>D9</f>
        <v>110.2</v>
      </c>
      <c r="X9" s="106">
        <f>E9</f>
        <v>33</v>
      </c>
      <c r="Y9" s="32">
        <f>H9</f>
        <v>58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e편한세상도화5단지(민간임대)</v>
      </c>
      <c r="AI9" s="106">
        <f>IF(E9="","",E9)</f>
        <v>33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도화동 도화역대성유니드('14.09.,265^)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3077</v>
      </c>
      <c r="B11" s="16" t="s">
        <v>3078</v>
      </c>
      <c r="C11" s="28">
        <v>265</v>
      </c>
      <c r="D11" s="25">
        <v>86</v>
      </c>
      <c r="E11" s="106">
        <v>26</v>
      </c>
      <c r="F11" s="25">
        <v>59.9</v>
      </c>
      <c r="G11" s="27">
        <v>18</v>
      </c>
      <c r="H11" s="28">
        <v>83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3060</v>
      </c>
      <c r="T11" s="8">
        <v>86</v>
      </c>
      <c r="U11" s="13"/>
      <c r="W11" s="25">
        <f>D11</f>
        <v>86</v>
      </c>
      <c r="X11" s="106">
        <f>E11</f>
        <v>26</v>
      </c>
      <c r="Y11" s="32">
        <f>H11</f>
        <v>83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도화역대성유니드</v>
      </c>
      <c r="AI11" s="106">
        <f>IF(E11="","",E11)</f>
        <v>26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3077</v>
      </c>
      <c r="B12" s="16" t="s">
        <v>3078</v>
      </c>
      <c r="C12" s="28">
        <v>265</v>
      </c>
      <c r="D12" s="25">
        <v>111.6</v>
      </c>
      <c r="E12" s="106">
        <v>34</v>
      </c>
      <c r="F12" s="25">
        <v>85</v>
      </c>
      <c r="G12" s="27">
        <v>26</v>
      </c>
      <c r="H12" s="28">
        <v>98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3060</v>
      </c>
      <c r="T12" s="8">
        <v>111</v>
      </c>
      <c r="U12" s="13"/>
      <c r="W12" s="25">
        <f>D12</f>
        <v>111.6</v>
      </c>
      <c r="X12" s="106">
        <f>E12</f>
        <v>34</v>
      </c>
      <c r="Y12" s="32">
        <f>H12</f>
        <v>98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도화역대성유니드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  <row r="13" spans="1:48" x14ac:dyDescent="0.3">
      <c r="A13" s="5" t="s">
        <v>3077</v>
      </c>
      <c r="B13" s="16" t="s">
        <v>3078</v>
      </c>
      <c r="C13" s="28">
        <v>265</v>
      </c>
      <c r="D13" s="25">
        <v>141</v>
      </c>
      <c r="E13" s="106">
        <v>43</v>
      </c>
      <c r="F13" s="25">
        <v>112.4</v>
      </c>
      <c r="G13" s="27">
        <v>34</v>
      </c>
      <c r="H13" s="28">
        <v>38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3060</v>
      </c>
      <c r="T13" s="8">
        <v>141</v>
      </c>
      <c r="U13" s="13"/>
      <c r="W13" s="25">
        <f>D13</f>
        <v>141</v>
      </c>
      <c r="X13" s="106">
        <f>E13</f>
        <v>43</v>
      </c>
      <c r="Y13" s="32">
        <f>H13</f>
        <v>38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도화역대성유니드</v>
      </c>
      <c r="AI13" s="106">
        <f>IF(E13="","",E13)</f>
        <v>43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도화동 더샵인천스카이타워1단지('20.11.,1309^)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3079</v>
      </c>
      <c r="B15" s="16" t="s">
        <v>3080</v>
      </c>
      <c r="C15" s="28">
        <v>1309</v>
      </c>
      <c r="D15" s="25">
        <v>101.6</v>
      </c>
      <c r="E15" s="106">
        <v>31</v>
      </c>
      <c r="F15" s="25">
        <v>75</v>
      </c>
      <c r="G15" s="27">
        <v>23</v>
      </c>
      <c r="H15" s="28">
        <v>64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3060</v>
      </c>
      <c r="T15" s="8" t="s">
        <v>3081</v>
      </c>
      <c r="U15" s="13"/>
      <c r="W15" s="25">
        <f>D15</f>
        <v>101.6</v>
      </c>
      <c r="X15" s="106">
        <f>E15</f>
        <v>31</v>
      </c>
      <c r="Y15" s="32">
        <f>H15</f>
        <v>64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더샵인천스카이타워1단지</v>
      </c>
      <c r="AI15" s="106">
        <f>IF(E15="","",E15)</f>
        <v>31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3079</v>
      </c>
      <c r="B16" s="16" t="s">
        <v>3080</v>
      </c>
      <c r="C16" s="28">
        <v>1309</v>
      </c>
      <c r="D16" s="25">
        <v>102.3</v>
      </c>
      <c r="E16" s="106">
        <v>31</v>
      </c>
      <c r="F16" s="25">
        <v>75</v>
      </c>
      <c r="G16" s="27">
        <v>23</v>
      </c>
      <c r="H16" s="28">
        <v>583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3060</v>
      </c>
      <c r="T16" s="8" t="s">
        <v>3082</v>
      </c>
      <c r="U16" s="13"/>
      <c r="W16" s="25">
        <f>D16</f>
        <v>102.3</v>
      </c>
      <c r="X16" s="106">
        <f>E16</f>
        <v>31</v>
      </c>
      <c r="Y16" s="32">
        <f>H16</f>
        <v>583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더샵인천스카이타워1단지</v>
      </c>
      <c r="AI16" s="106">
        <f>IF(E16="","",E16)</f>
        <v>31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3079</v>
      </c>
      <c r="B17" s="16" t="s">
        <v>3080</v>
      </c>
      <c r="C17" s="28">
        <v>1309</v>
      </c>
      <c r="D17" s="25">
        <v>114.8</v>
      </c>
      <c r="E17" s="106">
        <v>35</v>
      </c>
      <c r="F17" s="25">
        <v>84.9</v>
      </c>
      <c r="G17" s="27">
        <v>26</v>
      </c>
      <c r="H17" s="28">
        <v>530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3060</v>
      </c>
      <c r="T17" s="8" t="s">
        <v>3083</v>
      </c>
      <c r="U17" s="13"/>
      <c r="W17" s="25">
        <f>D17</f>
        <v>114.8</v>
      </c>
      <c r="X17" s="106">
        <f>E17</f>
        <v>35</v>
      </c>
      <c r="Y17" s="32">
        <f>H17</f>
        <v>530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더샵인천스카이타워1단지</v>
      </c>
      <c r="AI17" s="106">
        <f>IF(E17="","",E17)</f>
        <v>35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3079</v>
      </c>
      <c r="B18" s="16" t="s">
        <v>3080</v>
      </c>
      <c r="C18" s="28">
        <v>1309</v>
      </c>
      <c r="D18" s="25">
        <v>114.3</v>
      </c>
      <c r="E18" s="106">
        <v>35</v>
      </c>
      <c r="F18" s="25">
        <v>85</v>
      </c>
      <c r="G18" s="27">
        <v>26</v>
      </c>
      <c r="H18" s="28">
        <v>132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3060</v>
      </c>
      <c r="T18" s="8" t="s">
        <v>3084</v>
      </c>
      <c r="U18" s="13"/>
      <c r="W18" s="25">
        <f>D18</f>
        <v>114.3</v>
      </c>
      <c r="X18" s="106">
        <f>E18</f>
        <v>35</v>
      </c>
      <c r="Y18" s="32">
        <f>H18</f>
        <v>132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더샵인천스카이타워1단지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도화동 도화신동아파밀리에('12.09.,396^)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3085</v>
      </c>
      <c r="B20" s="16" t="s">
        <v>3086</v>
      </c>
      <c r="C20" s="28">
        <v>396</v>
      </c>
      <c r="D20" s="25">
        <v>109.3</v>
      </c>
      <c r="E20" s="106">
        <v>33</v>
      </c>
      <c r="F20" s="25">
        <v>84.7</v>
      </c>
      <c r="G20" s="27">
        <v>26</v>
      </c>
      <c r="H20" s="28">
        <v>116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3087</v>
      </c>
      <c r="T20" s="8" t="s">
        <v>3088</v>
      </c>
      <c r="U20" s="13"/>
      <c r="W20" s="25">
        <f>D20</f>
        <v>109.3</v>
      </c>
      <c r="X20" s="106">
        <f>E20</f>
        <v>33</v>
      </c>
      <c r="Y20" s="32">
        <f>H20</f>
        <v>116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합</v>
      </c>
      <c r="AF20" s="15" t="str">
        <f>Q20&amp;"/"&amp;R20</f>
        <v>3/2</v>
      </c>
      <c r="AH20" s="36" t="str">
        <f>IF(A20="","",A20)</f>
        <v>도화신동아파밀리에</v>
      </c>
      <c r="AI20" s="106">
        <f>IF(E20="","",E20)</f>
        <v>33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3085</v>
      </c>
      <c r="B21" s="16" t="s">
        <v>3086</v>
      </c>
      <c r="C21" s="28">
        <v>396</v>
      </c>
      <c r="D21" s="25">
        <v>109.3</v>
      </c>
      <c r="E21" s="106">
        <v>33</v>
      </c>
      <c r="F21" s="25">
        <v>84.9</v>
      </c>
      <c r="G21" s="27">
        <v>26</v>
      </c>
      <c r="H21" s="28">
        <v>85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3087</v>
      </c>
      <c r="T21" s="8" t="s">
        <v>3074</v>
      </c>
      <c r="U21" s="13"/>
      <c r="W21" s="25">
        <f>D21</f>
        <v>109.3</v>
      </c>
      <c r="X21" s="106">
        <f>E21</f>
        <v>33</v>
      </c>
      <c r="Y21" s="32">
        <f>H21</f>
        <v>85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합</v>
      </c>
      <c r="AF21" s="15" t="str">
        <f>Q21&amp;"/"&amp;R21</f>
        <v>3/2</v>
      </c>
      <c r="AH21" s="36" t="str">
        <f>IF(A21="","",A21)</f>
        <v>도화신동아파밀리에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3085</v>
      </c>
      <c r="B22" s="16" t="s">
        <v>3086</v>
      </c>
      <c r="C22" s="28">
        <v>396</v>
      </c>
      <c r="D22" s="25">
        <v>109.5</v>
      </c>
      <c r="E22" s="106">
        <v>33</v>
      </c>
      <c r="F22" s="25">
        <v>85</v>
      </c>
      <c r="G22" s="27">
        <v>26</v>
      </c>
      <c r="H22" s="28">
        <v>28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3060</v>
      </c>
      <c r="T22" s="8" t="s">
        <v>3089</v>
      </c>
      <c r="U22" s="13"/>
      <c r="W22" s="25">
        <f>D22</f>
        <v>109.5</v>
      </c>
      <c r="X22" s="106">
        <f>E22</f>
        <v>33</v>
      </c>
      <c r="Y22" s="32">
        <f>H22</f>
        <v>28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도화신동아파밀리에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3090</v>
      </c>
      <c r="B23" s="16" t="s">
        <v>3091</v>
      </c>
      <c r="C23" s="28">
        <v>396</v>
      </c>
      <c r="D23" s="25">
        <v>110</v>
      </c>
      <c r="E23" s="106">
        <v>33</v>
      </c>
      <c r="F23" s="25">
        <v>84.7</v>
      </c>
      <c r="G23" s="27">
        <v>26</v>
      </c>
      <c r="H23" s="28">
        <v>165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3092</v>
      </c>
      <c r="T23" s="8" t="s">
        <v>3093</v>
      </c>
      <c r="U23" s="13"/>
      <c r="W23" s="25">
        <f>D23</f>
        <v>110</v>
      </c>
      <c r="X23" s="106">
        <f>E23</f>
        <v>33</v>
      </c>
      <c r="Y23" s="32">
        <f>H23</f>
        <v>165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합</v>
      </c>
      <c r="AF23" s="15" t="str">
        <f>Q23&amp;"/"&amp;R23</f>
        <v>3/2</v>
      </c>
      <c r="AH23" s="36" t="str">
        <f>IF(A23="","",A23)</f>
        <v>도화신동아파밀리에</v>
      </c>
      <c r="AI23" s="106">
        <f>IF(E23="","",E23)</f>
        <v>33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3094</v>
      </c>
      <c r="B24" s="16" t="s">
        <v>3095</v>
      </c>
      <c r="C24" s="28">
        <v>396</v>
      </c>
      <c r="D24" s="25">
        <v>139.80000000000001</v>
      </c>
      <c r="E24" s="106">
        <v>42</v>
      </c>
      <c r="F24" s="25">
        <v>106.4</v>
      </c>
      <c r="G24" s="27">
        <v>32</v>
      </c>
      <c r="H24" s="28">
        <v>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3096</v>
      </c>
      <c r="T24" s="8">
        <v>139</v>
      </c>
      <c r="U24" s="13"/>
      <c r="W24" s="25">
        <f>D24</f>
        <v>139.80000000000001</v>
      </c>
      <c r="X24" s="106">
        <f>E24</f>
        <v>42</v>
      </c>
      <c r="Y24" s="32">
        <f>H24</f>
        <v>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합</v>
      </c>
      <c r="AF24" s="15" t="str">
        <f>Q24&amp;"/"&amp;R24</f>
        <v>3/2</v>
      </c>
      <c r="AH24" s="36" t="str">
        <f>IF(A24="","",A24)</f>
        <v>도화신동아파밀리에</v>
      </c>
      <c r="AI24" s="106">
        <f>IF(E24="","",E24)</f>
        <v>42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도화동 도화역금강펜테리움센트럴파크('20.11.,479^)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3097</v>
      </c>
      <c r="B26" s="16" t="s">
        <v>3098</v>
      </c>
      <c r="C26" s="28">
        <v>479</v>
      </c>
      <c r="D26" s="25">
        <v>78.7</v>
      </c>
      <c r="E26" s="106">
        <v>24</v>
      </c>
      <c r="F26" s="25">
        <v>59.5</v>
      </c>
      <c r="G26" s="27">
        <v>18</v>
      </c>
      <c r="H26" s="28">
        <v>327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3099</v>
      </c>
      <c r="T26" s="8">
        <v>78</v>
      </c>
      <c r="U26" s="13"/>
      <c r="W26" s="25">
        <f>D26</f>
        <v>78.7</v>
      </c>
      <c r="X26" s="106">
        <f>E26</f>
        <v>24</v>
      </c>
      <c r="Y26" s="32">
        <f>H26</f>
        <v>327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도화역금강펜테리움센트럴파크</v>
      </c>
      <c r="AI26" s="106">
        <f>IF(E26="","",E26)</f>
        <v>24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3097</v>
      </c>
      <c r="B27" s="16" t="s">
        <v>3098</v>
      </c>
      <c r="C27" s="28">
        <v>479</v>
      </c>
      <c r="D27" s="25">
        <v>97.1</v>
      </c>
      <c r="E27" s="106">
        <v>29</v>
      </c>
      <c r="F27" s="25">
        <v>74.400000000000006</v>
      </c>
      <c r="G27" s="27">
        <v>22</v>
      </c>
      <c r="H27" s="28">
        <v>94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3099</v>
      </c>
      <c r="T27" s="8">
        <v>97</v>
      </c>
      <c r="U27" s="13"/>
      <c r="W27" s="25">
        <f>D27</f>
        <v>97.1</v>
      </c>
      <c r="X27" s="106">
        <f>E27</f>
        <v>29</v>
      </c>
      <c r="Y27" s="32">
        <f>H27</f>
        <v>94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도화역금강펜테리움센트럴파크</v>
      </c>
      <c r="AI27" s="106">
        <f>IF(E27="","",E27)</f>
        <v>29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3097</v>
      </c>
      <c r="B28" s="16" t="s">
        <v>3098</v>
      </c>
      <c r="C28" s="28">
        <v>479</v>
      </c>
      <c r="D28" s="25">
        <v>110.1</v>
      </c>
      <c r="E28" s="106">
        <v>33</v>
      </c>
      <c r="F28" s="25">
        <v>84.5</v>
      </c>
      <c r="G28" s="27">
        <v>26</v>
      </c>
      <c r="H28" s="28">
        <v>58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3099</v>
      </c>
      <c r="T28" s="8">
        <v>110</v>
      </c>
      <c r="U28" s="13"/>
      <c r="W28" s="25">
        <f>D28</f>
        <v>110.1</v>
      </c>
      <c r="X28" s="106">
        <f>E28</f>
        <v>33</v>
      </c>
      <c r="Y28" s="32">
        <f>H28</f>
        <v>58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도화역금강펜테리움센트럴파크</v>
      </c>
      <c r="AI28" s="106">
        <f>IF(E28="","",E28)</f>
        <v>33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도화동 더샵인천스카이타워2단지('20.11.,588^)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3100</v>
      </c>
      <c r="B30" s="16" t="s">
        <v>3098</v>
      </c>
      <c r="C30" s="28">
        <v>588</v>
      </c>
      <c r="D30" s="25">
        <v>101.8</v>
      </c>
      <c r="E30" s="106">
        <v>31</v>
      </c>
      <c r="F30" s="25">
        <v>75</v>
      </c>
      <c r="G30" s="27">
        <v>23</v>
      </c>
      <c r="H30" s="28">
        <v>229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3099</v>
      </c>
      <c r="T30" s="8" t="s">
        <v>3101</v>
      </c>
      <c r="U30" s="13"/>
      <c r="W30" s="25">
        <f>D30</f>
        <v>101.8</v>
      </c>
      <c r="X30" s="106">
        <f>E30</f>
        <v>31</v>
      </c>
      <c r="Y30" s="32">
        <f>H30</f>
        <v>229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더샵인천스카이타워2단지</v>
      </c>
      <c r="AI30" s="106">
        <f>IF(E30="","",E30)</f>
        <v>31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3100</v>
      </c>
      <c r="B31" s="16" t="s">
        <v>3098</v>
      </c>
      <c r="C31" s="28">
        <v>588</v>
      </c>
      <c r="D31" s="25">
        <v>113.8</v>
      </c>
      <c r="E31" s="106">
        <v>34</v>
      </c>
      <c r="F31" s="25">
        <v>85</v>
      </c>
      <c r="G31" s="27">
        <v>26</v>
      </c>
      <c r="H31" s="28">
        <v>64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3099</v>
      </c>
      <c r="T31" s="8" t="s">
        <v>3102</v>
      </c>
      <c r="U31" s="13"/>
      <c r="W31" s="25">
        <f>D31</f>
        <v>113.8</v>
      </c>
      <c r="X31" s="106">
        <f>E31</f>
        <v>34</v>
      </c>
      <c r="Y31" s="32">
        <f>H31</f>
        <v>64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더샵인천스카이타워2단지</v>
      </c>
      <c r="AI31" s="106">
        <f>IF(E31="","",E31)</f>
        <v>34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3100</v>
      </c>
      <c r="B32" s="16" t="s">
        <v>3098</v>
      </c>
      <c r="C32" s="28">
        <v>588</v>
      </c>
      <c r="D32" s="25">
        <v>114.3</v>
      </c>
      <c r="E32" s="106">
        <v>35</v>
      </c>
      <c r="F32" s="25">
        <v>84.9</v>
      </c>
      <c r="G32" s="27">
        <v>26</v>
      </c>
      <c r="H32" s="28">
        <v>295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3099</v>
      </c>
      <c r="T32" s="8" t="s">
        <v>3103</v>
      </c>
      <c r="U32" s="13"/>
      <c r="W32" s="25">
        <f>D32</f>
        <v>114.3</v>
      </c>
      <c r="X32" s="106">
        <f>E32</f>
        <v>35</v>
      </c>
      <c r="Y32" s="32">
        <f>H32</f>
        <v>295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더샵인천스카이타워2단지</v>
      </c>
      <c r="AI32" s="106">
        <f>IF(E32="","",E32)</f>
        <v>35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도화동 e편한세상도화6-1단지(민간임대)('18.01.,1173^)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3104</v>
      </c>
      <c r="B34" s="16" t="s">
        <v>3105</v>
      </c>
      <c r="C34" s="28">
        <v>1173</v>
      </c>
      <c r="D34" s="25">
        <v>84.8</v>
      </c>
      <c r="E34" s="106">
        <v>26</v>
      </c>
      <c r="F34" s="25">
        <v>59.8</v>
      </c>
      <c r="G34" s="27">
        <v>18</v>
      </c>
      <c r="H34" s="28">
        <v>217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3099</v>
      </c>
      <c r="T34" s="8" t="s">
        <v>3106</v>
      </c>
      <c r="U34" s="13"/>
      <c r="W34" s="25">
        <f>D34</f>
        <v>84.8</v>
      </c>
      <c r="X34" s="106">
        <f>E34</f>
        <v>26</v>
      </c>
      <c r="Y34" s="32">
        <f>H34</f>
        <v>217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e편한세상도화6-1단지(민간임대)</v>
      </c>
      <c r="AI34" s="106">
        <f>IF(E34="","",E34)</f>
        <v>26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3104</v>
      </c>
      <c r="B35" s="16" t="s">
        <v>3105</v>
      </c>
      <c r="C35" s="28">
        <v>1173</v>
      </c>
      <c r="D35" s="25">
        <v>85.6</v>
      </c>
      <c r="E35" s="106">
        <v>26</v>
      </c>
      <c r="F35" s="25">
        <v>59.9</v>
      </c>
      <c r="G35" s="27">
        <v>18</v>
      </c>
      <c r="H35" s="28">
        <v>102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3099</v>
      </c>
      <c r="T35" s="8" t="s">
        <v>3107</v>
      </c>
      <c r="U35" s="13"/>
      <c r="W35" s="25">
        <f>D35</f>
        <v>85.6</v>
      </c>
      <c r="X35" s="106">
        <f>E35</f>
        <v>26</v>
      </c>
      <c r="Y35" s="32">
        <f>H35</f>
        <v>102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e편한세상도화6-1단지(민간임대)</v>
      </c>
      <c r="AI35" s="106">
        <f>IF(E35="","",E35)</f>
        <v>26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3104</v>
      </c>
      <c r="B36" s="16" t="s">
        <v>3105</v>
      </c>
      <c r="C36" s="28">
        <v>1173</v>
      </c>
      <c r="D36" s="25">
        <v>95.2</v>
      </c>
      <c r="E36" s="106">
        <v>29</v>
      </c>
      <c r="F36" s="25">
        <v>72.099999999999994</v>
      </c>
      <c r="G36" s="27">
        <v>22</v>
      </c>
      <c r="H36" s="28">
        <v>326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3099</v>
      </c>
      <c r="T36" s="8" t="s">
        <v>3108</v>
      </c>
      <c r="U36" s="13"/>
      <c r="W36" s="25">
        <f>D36</f>
        <v>95.2</v>
      </c>
      <c r="X36" s="106">
        <f>E36</f>
        <v>29</v>
      </c>
      <c r="Y36" s="32">
        <f>H36</f>
        <v>326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e편한세상도화6-1단지(민간임대)</v>
      </c>
      <c r="AI36" s="106">
        <f>IF(E36="","",E36)</f>
        <v>29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3104</v>
      </c>
      <c r="B37" s="16" t="s">
        <v>3105</v>
      </c>
      <c r="C37" s="28">
        <v>1173</v>
      </c>
      <c r="D37" s="25">
        <v>96.2</v>
      </c>
      <c r="E37" s="106">
        <v>29</v>
      </c>
      <c r="F37" s="25">
        <v>72.900000000000006</v>
      </c>
      <c r="G37" s="27">
        <v>22</v>
      </c>
      <c r="H37" s="28">
        <v>85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3099</v>
      </c>
      <c r="T37" s="8" t="s">
        <v>3109</v>
      </c>
      <c r="U37" s="13"/>
      <c r="W37" s="25">
        <f>D37</f>
        <v>96.2</v>
      </c>
      <c r="X37" s="106">
        <f>E37</f>
        <v>29</v>
      </c>
      <c r="Y37" s="32">
        <f>H37</f>
        <v>85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e편한세상도화6-1단지(민간임대)</v>
      </c>
      <c r="AI37" s="106">
        <f>IF(E37="","",E37)</f>
        <v>29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3104</v>
      </c>
      <c r="B38" s="16" t="s">
        <v>3105</v>
      </c>
      <c r="C38" s="28">
        <v>1173</v>
      </c>
      <c r="D38" s="25">
        <v>96.4</v>
      </c>
      <c r="E38" s="106">
        <v>29</v>
      </c>
      <c r="F38" s="25">
        <v>72.8</v>
      </c>
      <c r="G38" s="27">
        <v>22</v>
      </c>
      <c r="H38" s="28">
        <v>84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3099</v>
      </c>
      <c r="T38" s="8" t="s">
        <v>3110</v>
      </c>
      <c r="U38" s="13"/>
      <c r="W38" s="25">
        <f>D38</f>
        <v>96.4</v>
      </c>
      <c r="X38" s="106">
        <f>E38</f>
        <v>29</v>
      </c>
      <c r="Y38" s="32">
        <f>H38</f>
        <v>84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e편한세상도화6-1단지(민간임대)</v>
      </c>
      <c r="AI38" s="106">
        <f>IF(E38="","",E38)</f>
        <v>29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3104</v>
      </c>
      <c r="B39" s="16" t="s">
        <v>3105</v>
      </c>
      <c r="C39" s="28">
        <v>1173</v>
      </c>
      <c r="D39" s="25">
        <v>96.2</v>
      </c>
      <c r="E39" s="106">
        <v>29</v>
      </c>
      <c r="F39" s="25">
        <v>72.900000000000006</v>
      </c>
      <c r="G39" s="27">
        <v>22</v>
      </c>
      <c r="H39" s="28">
        <v>58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3099</v>
      </c>
      <c r="T39" s="8" t="s">
        <v>3111</v>
      </c>
      <c r="U39" s="13"/>
      <c r="W39" s="25">
        <f>D39</f>
        <v>96.2</v>
      </c>
      <c r="X39" s="106">
        <f>E39</f>
        <v>29</v>
      </c>
      <c r="Y39" s="32">
        <f>H39</f>
        <v>58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e편한세상도화6-1단지(민간임대)</v>
      </c>
      <c r="AI39" s="106">
        <f>IF(E39="","",E39)</f>
        <v>29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3104</v>
      </c>
      <c r="B40" s="16" t="s">
        <v>3105</v>
      </c>
      <c r="C40" s="28">
        <v>1173</v>
      </c>
      <c r="D40" s="25">
        <v>96.4</v>
      </c>
      <c r="E40" s="106">
        <v>29</v>
      </c>
      <c r="F40" s="25">
        <v>72.8</v>
      </c>
      <c r="G40" s="27">
        <v>22</v>
      </c>
      <c r="H40" s="28">
        <v>55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3099</v>
      </c>
      <c r="T40" s="8" t="s">
        <v>3112</v>
      </c>
      <c r="U40" s="13"/>
      <c r="W40" s="25">
        <f>D40</f>
        <v>96.4</v>
      </c>
      <c r="X40" s="106">
        <f>E40</f>
        <v>29</v>
      </c>
      <c r="Y40" s="32">
        <f>H40</f>
        <v>55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e편한세상도화6-1단지(민간임대)</v>
      </c>
      <c r="AI40" s="106">
        <f>IF(E40="","",E40)</f>
        <v>29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3104</v>
      </c>
      <c r="B41" s="16" t="s">
        <v>3105</v>
      </c>
      <c r="C41" s="28">
        <v>1173</v>
      </c>
      <c r="D41" s="25">
        <v>110.4</v>
      </c>
      <c r="E41" s="106">
        <v>33</v>
      </c>
      <c r="F41" s="25">
        <v>84.9</v>
      </c>
      <c r="G41" s="27">
        <v>26</v>
      </c>
      <c r="H41" s="28">
        <v>146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3099</v>
      </c>
      <c r="T41" s="8" t="s">
        <v>3113</v>
      </c>
      <c r="U41" s="13"/>
      <c r="W41" s="25">
        <f>D41</f>
        <v>110.4</v>
      </c>
      <c r="X41" s="106">
        <f>E41</f>
        <v>33</v>
      </c>
      <c r="Y41" s="32">
        <f>H41</f>
        <v>146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e편한세상도화6-1단지(민간임대)</v>
      </c>
      <c r="AI41" s="106">
        <f>IF(E41="","",E41)</f>
        <v>33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3104</v>
      </c>
      <c r="B42" s="16" t="s">
        <v>3105</v>
      </c>
      <c r="C42" s="28">
        <v>1173</v>
      </c>
      <c r="D42" s="25">
        <v>110.9</v>
      </c>
      <c r="E42" s="106">
        <v>34</v>
      </c>
      <c r="F42" s="25">
        <v>85</v>
      </c>
      <c r="G42" s="27">
        <v>26</v>
      </c>
      <c r="H42" s="28">
        <v>56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3099</v>
      </c>
      <c r="T42" s="8" t="s">
        <v>3114</v>
      </c>
      <c r="U42" s="13"/>
      <c r="W42" s="25">
        <f>D42</f>
        <v>110.9</v>
      </c>
      <c r="X42" s="106">
        <f>E42</f>
        <v>34</v>
      </c>
      <c r="Y42" s="32">
        <f>H42</f>
        <v>56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e편한세상도화6-1단지(민간임대)</v>
      </c>
      <c r="AI42" s="106">
        <f>IF(E42="","",E42)</f>
        <v>34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3104</v>
      </c>
      <c r="B43" s="16" t="s">
        <v>3105</v>
      </c>
      <c r="C43" s="28">
        <v>1173</v>
      </c>
      <c r="D43" s="25">
        <v>110.8</v>
      </c>
      <c r="E43" s="106">
        <v>34</v>
      </c>
      <c r="F43" s="25">
        <v>85</v>
      </c>
      <c r="G43" s="27">
        <v>26</v>
      </c>
      <c r="H43" s="28">
        <v>44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3099</v>
      </c>
      <c r="T43" s="8" t="s">
        <v>3115</v>
      </c>
      <c r="U43" s="13"/>
      <c r="W43" s="25">
        <f>D43</f>
        <v>110.8</v>
      </c>
      <c r="X43" s="106">
        <f>E43</f>
        <v>34</v>
      </c>
      <c r="Y43" s="32">
        <f>H43</f>
        <v>44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e편한세상도화6-1단지(민간임대)</v>
      </c>
      <c r="AI43" s="106">
        <f>IF(E43="","",E43)</f>
        <v>34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도화동 나산('96.10.,211^)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3116</v>
      </c>
      <c r="B45" s="16" t="s">
        <v>3117</v>
      </c>
      <c r="C45" s="28">
        <v>211</v>
      </c>
      <c r="D45" s="25">
        <v>89.8</v>
      </c>
      <c r="E45" s="106">
        <v>27</v>
      </c>
      <c r="F45" s="25">
        <v>59.9</v>
      </c>
      <c r="G45" s="27">
        <v>18</v>
      </c>
      <c r="H45" s="28">
        <v>97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3118</v>
      </c>
      <c r="T45" s="8">
        <v>89</v>
      </c>
      <c r="U45" s="13"/>
      <c r="W45" s="25">
        <f>D45</f>
        <v>89.8</v>
      </c>
      <c r="X45" s="106">
        <f>E45</f>
        <v>27</v>
      </c>
      <c r="Y45" s="32">
        <f>H45</f>
        <v>97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3/1</v>
      </c>
      <c r="AH45" s="36" t="str">
        <f>IF(A45="","",A45)</f>
        <v>나산</v>
      </c>
      <c r="AI45" s="106">
        <f>IF(E45="","",E45)</f>
        <v>27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X</v>
      </c>
      <c r="AV45" s="113" t="str">
        <f>IF(AO45="","",IF(AND(AO45="O",AP45="O",AR45="O",AT45="O",AU45="O"),"후보","X"))</f>
        <v/>
      </c>
    </row>
    <row r="46" spans="1:48" x14ac:dyDescent="0.3">
      <c r="A46" s="5" t="s">
        <v>3116</v>
      </c>
      <c r="B46" s="16" t="s">
        <v>3117</v>
      </c>
      <c r="C46" s="28">
        <v>211</v>
      </c>
      <c r="D46" s="25">
        <v>109.4</v>
      </c>
      <c r="E46" s="106">
        <v>33</v>
      </c>
      <c r="F46" s="25">
        <v>84.9</v>
      </c>
      <c r="G46" s="27">
        <v>26</v>
      </c>
      <c r="H46" s="28">
        <v>114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>
        <v>109</v>
      </c>
      <c r="U46" s="13"/>
      <c r="W46" s="25">
        <f>D46</f>
        <v>109.4</v>
      </c>
      <c r="X46" s="106">
        <f>E46</f>
        <v>33</v>
      </c>
      <c r="Y46" s="32">
        <f>H46</f>
        <v>114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나산</v>
      </c>
      <c r="AI46" s="106">
        <f>IF(E46="","",E46)</f>
        <v>33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X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도화동 주안역미추홀더리브('23.09.,345^)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3119</v>
      </c>
      <c r="B48" s="16" t="s">
        <v>3120</v>
      </c>
      <c r="C48" s="28">
        <v>345</v>
      </c>
      <c r="D48" s="25">
        <v>85.8</v>
      </c>
      <c r="E48" s="106">
        <v>26</v>
      </c>
      <c r="F48" s="25">
        <v>59.9</v>
      </c>
      <c r="G48" s="27">
        <v>18</v>
      </c>
      <c r="H48" s="28">
        <v>26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>
        <v>85</v>
      </c>
      <c r="U48" s="13"/>
      <c r="W48" s="25">
        <f>D48</f>
        <v>85.8</v>
      </c>
      <c r="X48" s="106">
        <f>E48</f>
        <v>26</v>
      </c>
      <c r="Y48" s="32">
        <f>H48</f>
        <v>26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주안역미추홀더리브</v>
      </c>
      <c r="AI48" s="106">
        <f>IF(E48="","",E48)</f>
        <v>26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3119</v>
      </c>
      <c r="B49" s="16" t="s">
        <v>3120</v>
      </c>
      <c r="C49" s="28">
        <v>345</v>
      </c>
      <c r="D49" s="25">
        <v>105.9</v>
      </c>
      <c r="E49" s="106">
        <v>32</v>
      </c>
      <c r="F49" s="25">
        <v>74.5</v>
      </c>
      <c r="G49" s="27">
        <v>23</v>
      </c>
      <c r="H49" s="28">
        <v>52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64</v>
      </c>
      <c r="T49" s="8" t="s">
        <v>3121</v>
      </c>
      <c r="U49" s="13"/>
      <c r="W49" s="25">
        <f>D49</f>
        <v>105.9</v>
      </c>
      <c r="X49" s="106">
        <f>E49</f>
        <v>32</v>
      </c>
      <c r="Y49" s="32">
        <f>H49</f>
        <v>52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주안역미추홀더리브</v>
      </c>
      <c r="AI49" s="106">
        <f>IF(E49="","",E49)</f>
        <v>32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3119</v>
      </c>
      <c r="B50" s="16" t="s">
        <v>3120</v>
      </c>
      <c r="C50" s="28">
        <v>345</v>
      </c>
      <c r="D50" s="25">
        <v>106.5</v>
      </c>
      <c r="E50" s="106">
        <v>32</v>
      </c>
      <c r="F50" s="25">
        <v>74.3</v>
      </c>
      <c r="G50" s="27">
        <v>22</v>
      </c>
      <c r="H50" s="28">
        <v>51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3099</v>
      </c>
      <c r="T50" s="8" t="s">
        <v>3122</v>
      </c>
      <c r="U50" s="13"/>
      <c r="W50" s="25">
        <f>D50</f>
        <v>106.5</v>
      </c>
      <c r="X50" s="106">
        <f>E50</f>
        <v>32</v>
      </c>
      <c r="Y50" s="32">
        <f>H50</f>
        <v>51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주안역미추홀더리브</v>
      </c>
      <c r="AI50" s="106">
        <f>IF(E50="","",E50)</f>
        <v>32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3119</v>
      </c>
      <c r="B51" s="16" t="s">
        <v>3120</v>
      </c>
      <c r="C51" s="28">
        <v>345</v>
      </c>
      <c r="D51" s="25">
        <v>119.5</v>
      </c>
      <c r="E51" s="106">
        <v>36</v>
      </c>
      <c r="F51" s="25">
        <v>84.8</v>
      </c>
      <c r="G51" s="27">
        <v>26</v>
      </c>
      <c r="H51" s="28">
        <v>104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3099</v>
      </c>
      <c r="T51" s="8" t="s">
        <v>3123</v>
      </c>
      <c r="U51" s="13"/>
      <c r="W51" s="25">
        <f>D51</f>
        <v>119.5</v>
      </c>
      <c r="X51" s="106">
        <f>E51</f>
        <v>36</v>
      </c>
      <c r="Y51" s="32">
        <f>H51</f>
        <v>104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주안역미추홀더리브</v>
      </c>
      <c r="AI51" s="106">
        <f>IF(E51="","",E51)</f>
        <v>36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3119</v>
      </c>
      <c r="B52" s="16" t="s">
        <v>3120</v>
      </c>
      <c r="C52" s="28">
        <v>345</v>
      </c>
      <c r="D52" s="25">
        <v>120.2</v>
      </c>
      <c r="E52" s="106">
        <v>36</v>
      </c>
      <c r="F52" s="25">
        <v>84.9</v>
      </c>
      <c r="G52" s="27">
        <v>26</v>
      </c>
      <c r="H52" s="28">
        <v>102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3124</v>
      </c>
      <c r="U52" s="13"/>
      <c r="W52" s="25">
        <f>D52</f>
        <v>120.2</v>
      </c>
      <c r="X52" s="106">
        <f>E52</f>
        <v>36</v>
      </c>
      <c r="Y52" s="32">
        <f>H52</f>
        <v>102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주안역미추홀더리브</v>
      </c>
      <c r="AI52" s="106">
        <f>IF(E52="","",E52)</f>
        <v>36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3125</v>
      </c>
      <c r="B53" s="16" t="s">
        <v>3126</v>
      </c>
      <c r="C53" s="28">
        <v>345</v>
      </c>
      <c r="D53" s="25">
        <v>120.5</v>
      </c>
      <c r="E53" s="106">
        <v>36</v>
      </c>
      <c r="F53" s="25">
        <v>84.1</v>
      </c>
      <c r="G53" s="27">
        <v>25</v>
      </c>
      <c r="H53" s="28">
        <v>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3127</v>
      </c>
      <c r="T53" s="8" t="s">
        <v>3128</v>
      </c>
      <c r="U53" s="13"/>
      <c r="W53" s="25">
        <f>D53</f>
        <v>120.5</v>
      </c>
      <c r="X53" s="106">
        <f>E53</f>
        <v>36</v>
      </c>
      <c r="Y53" s="32">
        <f>H53</f>
        <v>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주안역미추홀더리브</v>
      </c>
      <c r="AI53" s="106">
        <f>IF(E53="","",E53)</f>
        <v>36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3125</v>
      </c>
      <c r="B54" s="16" t="s">
        <v>3126</v>
      </c>
      <c r="C54" s="28">
        <v>345</v>
      </c>
      <c r="D54" s="25">
        <v>121.1</v>
      </c>
      <c r="E54" s="106">
        <v>37</v>
      </c>
      <c r="F54" s="25">
        <v>84.2</v>
      </c>
      <c r="G54" s="27">
        <v>25</v>
      </c>
      <c r="H54" s="28">
        <v>1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3127</v>
      </c>
      <c r="T54" s="8" t="s">
        <v>3129</v>
      </c>
      <c r="U54" s="13"/>
      <c r="W54" s="25">
        <f>D54</f>
        <v>121.1</v>
      </c>
      <c r="X54" s="106">
        <f>E54</f>
        <v>37</v>
      </c>
      <c r="Y54" s="32">
        <f>H54</f>
        <v>1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주안역미추홀더리브</v>
      </c>
      <c r="AI54" s="106">
        <f>IF(E54="","",E54)</f>
        <v>37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3125</v>
      </c>
      <c r="B55" s="16" t="s">
        <v>3126</v>
      </c>
      <c r="C55" s="28">
        <v>345</v>
      </c>
      <c r="D55" s="25">
        <v>122.5</v>
      </c>
      <c r="E55" s="106">
        <v>37</v>
      </c>
      <c r="F55" s="25">
        <v>84.7</v>
      </c>
      <c r="G55" s="27">
        <v>26</v>
      </c>
      <c r="H55" s="28">
        <v>1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3127</v>
      </c>
      <c r="T55" s="8" t="s">
        <v>3130</v>
      </c>
      <c r="U55" s="13"/>
      <c r="W55" s="25">
        <f>D55</f>
        <v>122.5</v>
      </c>
      <c r="X55" s="106">
        <f>E55</f>
        <v>37</v>
      </c>
      <c r="Y55" s="32">
        <f>H55</f>
        <v>1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주안역미추홀더리브</v>
      </c>
      <c r="AI55" s="106">
        <f>IF(E55="","",E55)</f>
        <v>37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3125</v>
      </c>
      <c r="B56" s="16" t="s">
        <v>3126</v>
      </c>
      <c r="C56" s="28">
        <v>345</v>
      </c>
      <c r="D56" s="25">
        <v>140.19999999999999</v>
      </c>
      <c r="E56" s="106">
        <v>42</v>
      </c>
      <c r="F56" s="25">
        <v>98.4</v>
      </c>
      <c r="G56" s="27">
        <v>30</v>
      </c>
      <c r="H56" s="28">
        <v>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3127</v>
      </c>
      <c r="T56" s="8">
        <v>140</v>
      </c>
      <c r="U56" s="13"/>
      <c r="W56" s="25">
        <f>D56</f>
        <v>140.19999999999999</v>
      </c>
      <c r="X56" s="106">
        <f>E56</f>
        <v>42</v>
      </c>
      <c r="Y56" s="32">
        <f>H56</f>
        <v>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주안역미추홀더리브</v>
      </c>
      <c r="AI56" s="106">
        <f>IF(E56="","",E56)</f>
        <v>42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3125</v>
      </c>
      <c r="B57" s="16" t="s">
        <v>3126</v>
      </c>
      <c r="C57" s="28">
        <v>345</v>
      </c>
      <c r="D57" s="25">
        <v>154.9</v>
      </c>
      <c r="E57" s="106">
        <v>47</v>
      </c>
      <c r="F57" s="25">
        <v>108.9</v>
      </c>
      <c r="G57" s="27">
        <v>33</v>
      </c>
      <c r="H57" s="28">
        <v>2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3127</v>
      </c>
      <c r="T57" s="8">
        <v>154</v>
      </c>
      <c r="U57" s="13"/>
      <c r="W57" s="25">
        <f>D57</f>
        <v>154.9</v>
      </c>
      <c r="X57" s="106">
        <f>E57</f>
        <v>47</v>
      </c>
      <c r="Y57" s="32">
        <f>H57</f>
        <v>2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주안역미추홀더리브</v>
      </c>
      <c r="AI57" s="106">
        <f>IF(E57="","",E57)</f>
        <v>47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도화동 동아('92.02.,496^)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3058</v>
      </c>
      <c r="B59" s="16" t="s">
        <v>3131</v>
      </c>
      <c r="C59" s="28">
        <v>496</v>
      </c>
      <c r="D59" s="25">
        <v>101.3</v>
      </c>
      <c r="E59" s="106">
        <v>31</v>
      </c>
      <c r="F59" s="25">
        <v>85</v>
      </c>
      <c r="G59" s="27">
        <v>26</v>
      </c>
      <c r="H59" s="28">
        <v>496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>
        <v>101</v>
      </c>
      <c r="U59" s="13"/>
      <c r="W59" s="25">
        <f>D59</f>
        <v>101.3</v>
      </c>
      <c r="X59" s="106">
        <f>E59</f>
        <v>31</v>
      </c>
      <c r="Y59" s="32">
        <f>H59</f>
        <v>496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동아</v>
      </c>
      <c r="AI59" s="106">
        <f>IF(E59="","",E59)</f>
        <v>31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도화동 동원('87.05.,375^)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3132</v>
      </c>
      <c r="B61" s="16" t="s">
        <v>3133</v>
      </c>
      <c r="C61" s="28">
        <v>375</v>
      </c>
      <c r="D61" s="25">
        <v>61.9</v>
      </c>
      <c r="E61" s="106">
        <v>19</v>
      </c>
      <c r="F61" s="25">
        <v>47.1</v>
      </c>
      <c r="G61" s="27">
        <v>14</v>
      </c>
      <c r="H61" s="28">
        <v>375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1</v>
      </c>
      <c r="S61" s="113" t="s">
        <v>3127</v>
      </c>
      <c r="T61" s="8">
        <v>61</v>
      </c>
      <c r="U61" s="13"/>
      <c r="W61" s="25">
        <f>D61</f>
        <v>61.9</v>
      </c>
      <c r="X61" s="106">
        <f>E61</f>
        <v>19</v>
      </c>
      <c r="Y61" s="32">
        <f>H61</f>
        <v>375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3/1</v>
      </c>
      <c r="AH61" s="36" t="str">
        <f>IF(A61="","",A61)</f>
        <v>동원</v>
      </c>
      <c r="AI61" s="106">
        <f>IF(E61="","",E61)</f>
        <v>19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</sheetData>
  <mergeCells count="1">
    <mergeCell ref="AJ1:AN1"/>
  </mergeCells>
  <phoneticPr fontId="2" type="noConversion"/>
  <conditionalFormatting sqref="AV4:AV6">
    <cfRule type="expression" dxfId="7319" priority="925">
      <formula>AV4="X"</formula>
    </cfRule>
    <cfRule type="expression" dxfId="7318" priority="926">
      <formula>AV4="후보"</formula>
    </cfRule>
  </conditionalFormatting>
  <conditionalFormatting sqref="Z2:Z6">
    <cfRule type="colorScale" priority="9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317" priority="922" operator="greaterThan">
      <formula>0.9</formula>
    </cfRule>
    <cfRule type="cellIs" dxfId="7316" priority="923" operator="greaterThan">
      <formula>0.85</formula>
    </cfRule>
  </conditionalFormatting>
  <conditionalFormatting sqref="N1:N2">
    <cfRule type="cellIs" dxfId="7315" priority="920" operator="greaterThan">
      <formula>0.9</formula>
    </cfRule>
    <cfRule type="cellIs" dxfId="7314" priority="921" operator="greaterThan">
      <formula>0.85</formula>
    </cfRule>
  </conditionalFormatting>
  <conditionalFormatting sqref="N6">
    <cfRule type="cellIs" dxfId="7313" priority="918" operator="greaterThan">
      <formula>0.9</formula>
    </cfRule>
    <cfRule type="cellIs" dxfId="7312" priority="919" operator="greaterThan">
      <formula>0.85</formula>
    </cfRule>
  </conditionalFormatting>
  <conditionalFormatting sqref="E6">
    <cfRule type="expression" dxfId="7311" priority="914">
      <formula>AND(IF(OR($Q6=1,$Q6=2),1,0),IF($X6&lt;=20,1,0))</formula>
    </cfRule>
    <cfRule type="expression" dxfId="7310" priority="915">
      <formula>AND(IF($Q6=2,1,0),IF($X6&lt;30,1,0))</formula>
    </cfRule>
    <cfRule type="expression" dxfId="7309" priority="916">
      <formula>AND(IF($Q6=3,1,0),IF($X6&lt;30,1,0))</formula>
    </cfRule>
    <cfRule type="expression" dxfId="7308" priority="917">
      <formula>AND(IF($Q6=3,1,IF($Q6=4,1,0)),IF($F6&lt;=85,1,0))</formula>
    </cfRule>
  </conditionalFormatting>
  <conditionalFormatting sqref="X6">
    <cfRule type="expression" dxfId="7307" priority="910">
      <formula>AND(IF(OR($Q6=1,$Q6=2),1,0),IF($X6&lt;=20,1,0))</formula>
    </cfRule>
    <cfRule type="expression" dxfId="7306" priority="911">
      <formula>AND(IF($Q6=2,1,0),IF($X6&lt;30,1,0))</formula>
    </cfRule>
    <cfRule type="expression" dxfId="7305" priority="912">
      <formula>AND(IF($Q6=3,1,0),IF($X6&lt;30,1,0))</formula>
    </cfRule>
    <cfRule type="expression" dxfId="7304" priority="913">
      <formula>AND(IF($Q6=3,1,IF($Q6=4,1,0)),IF($F6&lt;=85,1,0))</formula>
    </cfRule>
  </conditionalFormatting>
  <conditionalFormatting sqref="AI6">
    <cfRule type="expression" dxfId="7303" priority="906">
      <formula>AND(IF(OR($Q6=1,$Q6=2),1,0),IF($X6&lt;=20,1,0))</formula>
    </cfRule>
    <cfRule type="expression" dxfId="7302" priority="907">
      <formula>AND(IF($Q6=2,1,0),IF($X6&lt;30,1,0))</formula>
    </cfRule>
    <cfRule type="expression" dxfId="7301" priority="908">
      <formula>AND(IF($Q6=3,1,0),IF($X6&lt;30,1,0))</formula>
    </cfRule>
    <cfRule type="expression" dxfId="7300" priority="909">
      <formula>AND(IF($Q6=3,1,IF($Q6=4,1,0)),IF($F6&lt;=85,1,0))</formula>
    </cfRule>
  </conditionalFormatting>
  <conditionalFormatting sqref="AV7">
    <cfRule type="expression" dxfId="7299" priority="904">
      <formula>AV7="X"</formula>
    </cfRule>
    <cfRule type="expression" dxfId="7298" priority="905">
      <formula>AV7="후보"</formula>
    </cfRule>
  </conditionalFormatting>
  <conditionalFormatting sqref="Z7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297" priority="901" operator="greaterThan">
      <formula>0.9</formula>
    </cfRule>
    <cfRule type="cellIs" dxfId="7296" priority="902" operator="greaterThan">
      <formula>0.85</formula>
    </cfRule>
  </conditionalFormatting>
  <conditionalFormatting sqref="N7">
    <cfRule type="cellIs" dxfId="7295" priority="899" operator="greaterThan">
      <formula>0.9</formula>
    </cfRule>
    <cfRule type="cellIs" dxfId="7294" priority="900" operator="greaterThan">
      <formula>0.85</formula>
    </cfRule>
  </conditionalFormatting>
  <conditionalFormatting sqref="E7">
    <cfRule type="expression" dxfId="7293" priority="895">
      <formula>AND(IF(OR($Q7=1,$Q7=2),1,0),IF($X7&lt;=20,1,0))</formula>
    </cfRule>
    <cfRule type="expression" dxfId="7292" priority="896">
      <formula>AND(IF($Q7=2,1,0),IF($X7&lt;30,1,0))</formula>
    </cfRule>
    <cfRule type="expression" dxfId="7291" priority="897">
      <formula>AND(IF($Q7=3,1,0),IF($X7&lt;30,1,0))</formula>
    </cfRule>
    <cfRule type="expression" dxfId="7290" priority="898">
      <formula>AND(IF($Q7=3,1,IF($Q7=4,1,0)),IF($F7&lt;=85,1,0))</formula>
    </cfRule>
  </conditionalFormatting>
  <conditionalFormatting sqref="X7">
    <cfRule type="expression" dxfId="7289" priority="891">
      <formula>AND(IF(OR($Q7=1,$Q7=2),1,0),IF($X7&lt;=20,1,0))</formula>
    </cfRule>
    <cfRule type="expression" dxfId="7288" priority="892">
      <formula>AND(IF($Q7=2,1,0),IF($X7&lt;30,1,0))</formula>
    </cfRule>
    <cfRule type="expression" dxfId="7287" priority="893">
      <formula>AND(IF($Q7=3,1,0),IF($X7&lt;30,1,0))</formula>
    </cfRule>
    <cfRule type="expression" dxfId="7286" priority="894">
      <formula>AND(IF($Q7=3,1,IF($Q7=4,1,0)),IF($F7&lt;=85,1,0))</formula>
    </cfRule>
  </conditionalFormatting>
  <conditionalFormatting sqref="AI7">
    <cfRule type="expression" dxfId="7285" priority="887">
      <formula>AND(IF(OR($Q7=1,$Q7=2),1,0),IF($X7&lt;=20,1,0))</formula>
    </cfRule>
    <cfRule type="expression" dxfId="7284" priority="888">
      <formula>AND(IF($Q7=2,1,0),IF($X7&lt;30,1,0))</formula>
    </cfRule>
    <cfRule type="expression" dxfId="7283" priority="889">
      <formula>AND(IF($Q7=3,1,0),IF($X7&lt;30,1,0))</formula>
    </cfRule>
    <cfRule type="expression" dxfId="7282" priority="890">
      <formula>AND(IF($Q7=3,1,IF($Q7=4,1,0)),IF($F7&lt;=85,1,0))</formula>
    </cfRule>
  </conditionalFormatting>
  <conditionalFormatting sqref="AV8">
    <cfRule type="expression" dxfId="7281" priority="885">
      <formula>AV8="X"</formula>
    </cfRule>
    <cfRule type="expression" dxfId="7280" priority="886">
      <formula>AV8="후보"</formula>
    </cfRule>
  </conditionalFormatting>
  <conditionalFormatting sqref="Z8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279" priority="882" operator="greaterThan">
      <formula>0.9</formula>
    </cfRule>
    <cfRule type="cellIs" dxfId="7278" priority="883" operator="greaterThan">
      <formula>0.85</formula>
    </cfRule>
  </conditionalFormatting>
  <conditionalFormatting sqref="N8">
    <cfRule type="cellIs" dxfId="7277" priority="880" operator="greaterThan">
      <formula>0.9</formula>
    </cfRule>
    <cfRule type="cellIs" dxfId="7276" priority="881" operator="greaterThan">
      <formula>0.85</formula>
    </cfRule>
  </conditionalFormatting>
  <conditionalFormatting sqref="E8">
    <cfRule type="expression" dxfId="7275" priority="876">
      <formula>AND(IF(OR($Q8=1,$Q8=2),1,0),IF($X8&lt;=20,1,0))</formula>
    </cfRule>
    <cfRule type="expression" dxfId="7274" priority="877">
      <formula>AND(IF($Q8=2,1,0),IF($X8&lt;30,1,0))</formula>
    </cfRule>
    <cfRule type="expression" dxfId="7273" priority="878">
      <formula>AND(IF($Q8=3,1,0),IF($X8&lt;30,1,0))</formula>
    </cfRule>
    <cfRule type="expression" dxfId="7272" priority="879">
      <formula>AND(IF($Q8=3,1,IF($Q8=4,1,0)),IF($F8&lt;=85,1,0))</formula>
    </cfRule>
  </conditionalFormatting>
  <conditionalFormatting sqref="X8">
    <cfRule type="expression" dxfId="7271" priority="872">
      <formula>AND(IF(OR($Q8=1,$Q8=2),1,0),IF($X8&lt;=20,1,0))</formula>
    </cfRule>
    <cfRule type="expression" dxfId="7270" priority="873">
      <formula>AND(IF($Q8=2,1,0),IF($X8&lt;30,1,0))</formula>
    </cfRule>
    <cfRule type="expression" dxfId="7269" priority="874">
      <formula>AND(IF($Q8=3,1,0),IF($X8&lt;30,1,0))</formula>
    </cfRule>
    <cfRule type="expression" dxfId="7268" priority="875">
      <formula>AND(IF($Q8=3,1,IF($Q8=4,1,0)),IF($F8&lt;=85,1,0))</formula>
    </cfRule>
  </conditionalFormatting>
  <conditionalFormatting sqref="AI8">
    <cfRule type="expression" dxfId="7267" priority="868">
      <formula>AND(IF(OR($Q8=1,$Q8=2),1,0),IF($X8&lt;=20,1,0))</formula>
    </cfRule>
    <cfRule type="expression" dxfId="7266" priority="869">
      <formula>AND(IF($Q8=2,1,0),IF($X8&lt;30,1,0))</formula>
    </cfRule>
    <cfRule type="expression" dxfId="7265" priority="870">
      <formula>AND(IF($Q8=3,1,0),IF($X8&lt;30,1,0))</formula>
    </cfRule>
    <cfRule type="expression" dxfId="7264" priority="871">
      <formula>AND(IF($Q8=3,1,IF($Q8=4,1,0)),IF($F8&lt;=85,1,0))</formula>
    </cfRule>
  </conditionalFormatting>
  <conditionalFormatting sqref="AV9">
    <cfRule type="expression" dxfId="7263" priority="866">
      <formula>AV9="X"</formula>
    </cfRule>
    <cfRule type="expression" dxfId="7262" priority="867">
      <formula>AV9="후보"</formula>
    </cfRule>
  </conditionalFormatting>
  <conditionalFormatting sqref="Z9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261" priority="863" operator="greaterThan">
      <formula>0.9</formula>
    </cfRule>
    <cfRule type="cellIs" dxfId="7260" priority="864" operator="greaterThan">
      <formula>0.85</formula>
    </cfRule>
  </conditionalFormatting>
  <conditionalFormatting sqref="N9">
    <cfRule type="cellIs" dxfId="7259" priority="861" operator="greaterThan">
      <formula>0.9</formula>
    </cfRule>
    <cfRule type="cellIs" dxfId="7258" priority="862" operator="greaterThan">
      <formula>0.85</formula>
    </cfRule>
  </conditionalFormatting>
  <conditionalFormatting sqref="E9">
    <cfRule type="expression" dxfId="7257" priority="857">
      <formula>AND(IF(OR($Q9=1,$Q9=2),1,0),IF($X9&lt;=20,1,0))</formula>
    </cfRule>
    <cfRule type="expression" dxfId="7256" priority="858">
      <formula>AND(IF($Q9=2,1,0),IF($X9&lt;30,1,0))</formula>
    </cfRule>
    <cfRule type="expression" dxfId="7255" priority="859">
      <formula>AND(IF($Q9=3,1,0),IF($X9&lt;30,1,0))</formula>
    </cfRule>
    <cfRule type="expression" dxfId="7254" priority="860">
      <formula>AND(IF($Q9=3,1,IF($Q9=4,1,0)),IF($F9&lt;=85,1,0))</formula>
    </cfRule>
  </conditionalFormatting>
  <conditionalFormatting sqref="X9">
    <cfRule type="expression" dxfId="7253" priority="853">
      <formula>AND(IF(OR($Q9=1,$Q9=2),1,0),IF($X9&lt;=20,1,0))</formula>
    </cfRule>
    <cfRule type="expression" dxfId="7252" priority="854">
      <formula>AND(IF($Q9=2,1,0),IF($X9&lt;30,1,0))</formula>
    </cfRule>
    <cfRule type="expression" dxfId="7251" priority="855">
      <formula>AND(IF($Q9=3,1,0),IF($X9&lt;30,1,0))</formula>
    </cfRule>
    <cfRule type="expression" dxfId="7250" priority="856">
      <formula>AND(IF($Q9=3,1,IF($Q9=4,1,0)),IF($F9&lt;=85,1,0))</formula>
    </cfRule>
  </conditionalFormatting>
  <conditionalFormatting sqref="AI9">
    <cfRule type="expression" dxfId="7249" priority="849">
      <formula>AND(IF(OR($Q9=1,$Q9=2),1,0),IF($X9&lt;=20,1,0))</formula>
    </cfRule>
    <cfRule type="expression" dxfId="7248" priority="850">
      <formula>AND(IF($Q9=2,1,0),IF($X9&lt;30,1,0))</formula>
    </cfRule>
    <cfRule type="expression" dxfId="7247" priority="851">
      <formula>AND(IF($Q9=3,1,0),IF($X9&lt;30,1,0))</formula>
    </cfRule>
    <cfRule type="expression" dxfId="7246" priority="852">
      <formula>AND(IF($Q9=3,1,IF($Q9=4,1,0)),IF($F9&lt;=85,1,0))</formula>
    </cfRule>
  </conditionalFormatting>
  <conditionalFormatting sqref="AV10">
    <cfRule type="expression" dxfId="7245" priority="847">
      <formula>AV10="X"</formula>
    </cfRule>
    <cfRule type="expression" dxfId="7244" priority="848">
      <formula>AV10="후보"</formula>
    </cfRule>
  </conditionalFormatting>
  <conditionalFormatting sqref="Z10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7243" priority="844" operator="greaterThan">
      <formula>0.9</formula>
    </cfRule>
    <cfRule type="cellIs" dxfId="7242" priority="845" operator="greaterThan">
      <formula>0.85</formula>
    </cfRule>
  </conditionalFormatting>
  <conditionalFormatting sqref="AV11">
    <cfRule type="expression" dxfId="7241" priority="842">
      <formula>AV11="X"</formula>
    </cfRule>
    <cfRule type="expression" dxfId="7240" priority="843">
      <formula>AV11="후보"</formula>
    </cfRule>
  </conditionalFormatting>
  <conditionalFormatting sqref="Z11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239" priority="839" operator="greaterThan">
      <formula>0.9</formula>
    </cfRule>
    <cfRule type="cellIs" dxfId="7238" priority="840" operator="greaterThan">
      <formula>0.85</formula>
    </cfRule>
  </conditionalFormatting>
  <conditionalFormatting sqref="N11">
    <cfRule type="cellIs" dxfId="7237" priority="837" operator="greaterThan">
      <formula>0.9</formula>
    </cfRule>
    <cfRule type="cellIs" dxfId="7236" priority="838" operator="greaterThan">
      <formula>0.85</formula>
    </cfRule>
  </conditionalFormatting>
  <conditionalFormatting sqref="E11">
    <cfRule type="expression" dxfId="7235" priority="833">
      <formula>AND(IF(OR($Q11=1,$Q11=2),1,0),IF($X11&lt;=20,1,0))</formula>
    </cfRule>
    <cfRule type="expression" dxfId="7234" priority="834">
      <formula>AND(IF($Q11=2,1,0),IF($X11&lt;30,1,0))</formula>
    </cfRule>
    <cfRule type="expression" dxfId="7233" priority="835">
      <formula>AND(IF($Q11=3,1,0),IF($X11&lt;30,1,0))</formula>
    </cfRule>
    <cfRule type="expression" dxfId="7232" priority="836">
      <formula>AND(IF($Q11=3,1,IF($Q11=4,1,0)),IF($F11&lt;=85,1,0))</formula>
    </cfRule>
  </conditionalFormatting>
  <conditionalFormatting sqref="X11">
    <cfRule type="expression" dxfId="7231" priority="829">
      <formula>AND(IF(OR($Q11=1,$Q11=2),1,0),IF($X11&lt;=20,1,0))</formula>
    </cfRule>
    <cfRule type="expression" dxfId="7230" priority="830">
      <formula>AND(IF($Q11=2,1,0),IF($X11&lt;30,1,0))</formula>
    </cfRule>
    <cfRule type="expression" dxfId="7229" priority="831">
      <formula>AND(IF($Q11=3,1,0),IF($X11&lt;30,1,0))</formula>
    </cfRule>
    <cfRule type="expression" dxfId="7228" priority="832">
      <formula>AND(IF($Q11=3,1,IF($Q11=4,1,0)),IF($F11&lt;=85,1,0))</formula>
    </cfRule>
  </conditionalFormatting>
  <conditionalFormatting sqref="AI11">
    <cfRule type="expression" dxfId="7227" priority="825">
      <formula>AND(IF(OR($Q11=1,$Q11=2),1,0),IF($X11&lt;=20,1,0))</formula>
    </cfRule>
    <cfRule type="expression" dxfId="7226" priority="826">
      <formula>AND(IF($Q11=2,1,0),IF($X11&lt;30,1,0))</formula>
    </cfRule>
    <cfRule type="expression" dxfId="7225" priority="827">
      <formula>AND(IF($Q11=3,1,0),IF($X11&lt;30,1,0))</formula>
    </cfRule>
    <cfRule type="expression" dxfId="7224" priority="828">
      <formula>AND(IF($Q11=3,1,IF($Q11=4,1,0)),IF($F11&lt;=85,1,0))</formula>
    </cfRule>
  </conditionalFormatting>
  <conditionalFormatting sqref="AV12">
    <cfRule type="expression" dxfId="7223" priority="823">
      <formula>AV12="X"</formula>
    </cfRule>
    <cfRule type="expression" dxfId="7222" priority="824">
      <formula>AV12="후보"</formula>
    </cfRule>
  </conditionalFormatting>
  <conditionalFormatting sqref="Z12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221" priority="820" operator="greaterThan">
      <formula>0.9</formula>
    </cfRule>
    <cfRule type="cellIs" dxfId="7220" priority="821" operator="greaterThan">
      <formula>0.85</formula>
    </cfRule>
  </conditionalFormatting>
  <conditionalFormatting sqref="N12">
    <cfRule type="cellIs" dxfId="7219" priority="818" operator="greaterThan">
      <formula>0.9</formula>
    </cfRule>
    <cfRule type="cellIs" dxfId="7218" priority="819" operator="greaterThan">
      <formula>0.85</formula>
    </cfRule>
  </conditionalFormatting>
  <conditionalFormatting sqref="E12">
    <cfRule type="expression" dxfId="7217" priority="814">
      <formula>AND(IF(OR($Q12=1,$Q12=2),1,0),IF($X12&lt;=20,1,0))</formula>
    </cfRule>
    <cfRule type="expression" dxfId="7216" priority="815">
      <formula>AND(IF($Q12=2,1,0),IF($X12&lt;30,1,0))</formula>
    </cfRule>
    <cfRule type="expression" dxfId="7215" priority="816">
      <formula>AND(IF($Q12=3,1,0),IF($X12&lt;30,1,0))</formula>
    </cfRule>
    <cfRule type="expression" dxfId="7214" priority="817">
      <formula>AND(IF($Q12=3,1,IF($Q12=4,1,0)),IF($F12&lt;=85,1,0))</formula>
    </cfRule>
  </conditionalFormatting>
  <conditionalFormatting sqref="X12">
    <cfRule type="expression" dxfId="7213" priority="810">
      <formula>AND(IF(OR($Q12=1,$Q12=2),1,0),IF($X12&lt;=20,1,0))</formula>
    </cfRule>
    <cfRule type="expression" dxfId="7212" priority="811">
      <formula>AND(IF($Q12=2,1,0),IF($X12&lt;30,1,0))</formula>
    </cfRule>
    <cfRule type="expression" dxfId="7211" priority="812">
      <formula>AND(IF($Q12=3,1,0),IF($X12&lt;30,1,0))</formula>
    </cfRule>
    <cfRule type="expression" dxfId="7210" priority="813">
      <formula>AND(IF($Q12=3,1,IF($Q12=4,1,0)),IF($F12&lt;=85,1,0))</formula>
    </cfRule>
  </conditionalFormatting>
  <conditionalFormatting sqref="AI12">
    <cfRule type="expression" dxfId="7209" priority="806">
      <formula>AND(IF(OR($Q12=1,$Q12=2),1,0),IF($X12&lt;=20,1,0))</formula>
    </cfRule>
    <cfRule type="expression" dxfId="7208" priority="807">
      <formula>AND(IF($Q12=2,1,0),IF($X12&lt;30,1,0))</formula>
    </cfRule>
    <cfRule type="expression" dxfId="7207" priority="808">
      <formula>AND(IF($Q12=3,1,0),IF($X12&lt;30,1,0))</formula>
    </cfRule>
    <cfRule type="expression" dxfId="7206" priority="809">
      <formula>AND(IF($Q12=3,1,IF($Q12=4,1,0)),IF($F12&lt;=85,1,0))</formula>
    </cfRule>
  </conditionalFormatting>
  <conditionalFormatting sqref="AV13">
    <cfRule type="expression" dxfId="7205" priority="804">
      <formula>AV13="X"</formula>
    </cfRule>
    <cfRule type="expression" dxfId="7204" priority="805">
      <formula>AV13="후보"</formula>
    </cfRule>
  </conditionalFormatting>
  <conditionalFormatting sqref="Z13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203" priority="801" operator="greaterThan">
      <formula>0.9</formula>
    </cfRule>
    <cfRule type="cellIs" dxfId="7202" priority="802" operator="greaterThan">
      <formula>0.85</formula>
    </cfRule>
  </conditionalFormatting>
  <conditionalFormatting sqref="N13">
    <cfRule type="cellIs" dxfId="7201" priority="799" operator="greaterThan">
      <formula>0.9</formula>
    </cfRule>
    <cfRule type="cellIs" dxfId="7200" priority="800" operator="greaterThan">
      <formula>0.85</formula>
    </cfRule>
  </conditionalFormatting>
  <conditionalFormatting sqref="E13">
    <cfRule type="expression" dxfId="7199" priority="795">
      <formula>AND(IF(OR($Q13=1,$Q13=2),1,0),IF($X13&lt;=20,1,0))</formula>
    </cfRule>
    <cfRule type="expression" dxfId="7198" priority="796">
      <formula>AND(IF($Q13=2,1,0),IF($X13&lt;30,1,0))</formula>
    </cfRule>
    <cfRule type="expression" dxfId="7197" priority="797">
      <formula>AND(IF($Q13=3,1,0),IF($X13&lt;30,1,0))</formula>
    </cfRule>
    <cfRule type="expression" dxfId="7196" priority="798">
      <formula>AND(IF($Q13=3,1,IF($Q13=4,1,0)),IF($F13&lt;=85,1,0))</formula>
    </cfRule>
  </conditionalFormatting>
  <conditionalFormatting sqref="X13">
    <cfRule type="expression" dxfId="7195" priority="791">
      <formula>AND(IF(OR($Q13=1,$Q13=2),1,0),IF($X13&lt;=20,1,0))</formula>
    </cfRule>
    <cfRule type="expression" dxfId="7194" priority="792">
      <formula>AND(IF($Q13=2,1,0),IF($X13&lt;30,1,0))</formula>
    </cfRule>
    <cfRule type="expression" dxfId="7193" priority="793">
      <formula>AND(IF($Q13=3,1,0),IF($X13&lt;30,1,0))</formula>
    </cfRule>
    <cfRule type="expression" dxfId="7192" priority="794">
      <formula>AND(IF($Q13=3,1,IF($Q13=4,1,0)),IF($F13&lt;=85,1,0))</formula>
    </cfRule>
  </conditionalFormatting>
  <conditionalFormatting sqref="AI13">
    <cfRule type="expression" dxfId="7191" priority="787">
      <formula>AND(IF(OR($Q13=1,$Q13=2),1,0),IF($X13&lt;=20,1,0))</formula>
    </cfRule>
    <cfRule type="expression" dxfId="7190" priority="788">
      <formula>AND(IF($Q13=2,1,0),IF($X13&lt;30,1,0))</formula>
    </cfRule>
    <cfRule type="expression" dxfId="7189" priority="789">
      <formula>AND(IF($Q13=3,1,0),IF($X13&lt;30,1,0))</formula>
    </cfRule>
    <cfRule type="expression" dxfId="7188" priority="790">
      <formula>AND(IF($Q13=3,1,IF($Q13=4,1,0)),IF($F13&lt;=85,1,0))</formula>
    </cfRule>
  </conditionalFormatting>
  <conditionalFormatting sqref="AV14">
    <cfRule type="expression" dxfId="7187" priority="785">
      <formula>AV14="X"</formula>
    </cfRule>
    <cfRule type="expression" dxfId="7186" priority="786">
      <formula>AV14="후보"</formula>
    </cfRule>
  </conditionalFormatting>
  <conditionalFormatting sqref="Z14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7185" priority="782" operator="greaterThan">
      <formula>0.9</formula>
    </cfRule>
    <cfRule type="cellIs" dxfId="7184" priority="783" operator="greaterThan">
      <formula>0.85</formula>
    </cfRule>
  </conditionalFormatting>
  <conditionalFormatting sqref="AV15">
    <cfRule type="expression" dxfId="7183" priority="780">
      <formula>AV15="X"</formula>
    </cfRule>
    <cfRule type="expression" dxfId="7182" priority="781">
      <formula>AV15="후보"</formula>
    </cfRule>
  </conditionalFormatting>
  <conditionalFormatting sqref="Z15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181" priority="777" operator="greaterThan">
      <formula>0.9</formula>
    </cfRule>
    <cfRule type="cellIs" dxfId="7180" priority="778" operator="greaterThan">
      <formula>0.85</formula>
    </cfRule>
  </conditionalFormatting>
  <conditionalFormatting sqref="N15">
    <cfRule type="cellIs" dxfId="7179" priority="775" operator="greaterThan">
      <formula>0.9</formula>
    </cfRule>
    <cfRule type="cellIs" dxfId="7178" priority="776" operator="greaterThan">
      <formula>0.85</formula>
    </cfRule>
  </conditionalFormatting>
  <conditionalFormatting sqref="E15">
    <cfRule type="expression" dxfId="7177" priority="771">
      <formula>AND(IF(OR($Q15=1,$Q15=2),1,0),IF($X15&lt;=20,1,0))</formula>
    </cfRule>
    <cfRule type="expression" dxfId="7176" priority="772">
      <formula>AND(IF($Q15=2,1,0),IF($X15&lt;30,1,0))</formula>
    </cfRule>
    <cfRule type="expression" dxfId="7175" priority="773">
      <formula>AND(IF($Q15=3,1,0),IF($X15&lt;30,1,0))</formula>
    </cfRule>
    <cfRule type="expression" dxfId="7174" priority="774">
      <formula>AND(IF($Q15=3,1,IF($Q15=4,1,0)),IF($F15&lt;=85,1,0))</formula>
    </cfRule>
  </conditionalFormatting>
  <conditionalFormatting sqref="X15">
    <cfRule type="expression" dxfId="7173" priority="767">
      <formula>AND(IF(OR($Q15=1,$Q15=2),1,0),IF($X15&lt;=20,1,0))</formula>
    </cfRule>
    <cfRule type="expression" dxfId="7172" priority="768">
      <formula>AND(IF($Q15=2,1,0),IF($X15&lt;30,1,0))</formula>
    </cfRule>
    <cfRule type="expression" dxfId="7171" priority="769">
      <formula>AND(IF($Q15=3,1,0),IF($X15&lt;30,1,0))</formula>
    </cfRule>
    <cfRule type="expression" dxfId="7170" priority="770">
      <formula>AND(IF($Q15=3,1,IF($Q15=4,1,0)),IF($F15&lt;=85,1,0))</formula>
    </cfRule>
  </conditionalFormatting>
  <conditionalFormatting sqref="AI15">
    <cfRule type="expression" dxfId="7169" priority="763">
      <formula>AND(IF(OR($Q15=1,$Q15=2),1,0),IF($X15&lt;=20,1,0))</formula>
    </cfRule>
    <cfRule type="expression" dxfId="7168" priority="764">
      <formula>AND(IF($Q15=2,1,0),IF($X15&lt;30,1,0))</formula>
    </cfRule>
    <cfRule type="expression" dxfId="7167" priority="765">
      <formula>AND(IF($Q15=3,1,0),IF($X15&lt;30,1,0))</formula>
    </cfRule>
    <cfRule type="expression" dxfId="7166" priority="766">
      <formula>AND(IF($Q15=3,1,IF($Q15=4,1,0)),IF($F15&lt;=85,1,0))</formula>
    </cfRule>
  </conditionalFormatting>
  <conditionalFormatting sqref="AV16">
    <cfRule type="expression" dxfId="7165" priority="761">
      <formula>AV16="X"</formula>
    </cfRule>
    <cfRule type="expression" dxfId="7164" priority="762">
      <formula>AV16="후보"</formula>
    </cfRule>
  </conditionalFormatting>
  <conditionalFormatting sqref="Z16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163" priority="758" operator="greaterThan">
      <formula>0.9</formula>
    </cfRule>
    <cfRule type="cellIs" dxfId="7162" priority="759" operator="greaterThan">
      <formula>0.85</formula>
    </cfRule>
  </conditionalFormatting>
  <conditionalFormatting sqref="N16">
    <cfRule type="cellIs" dxfId="7161" priority="756" operator="greaterThan">
      <formula>0.9</formula>
    </cfRule>
    <cfRule type="cellIs" dxfId="7160" priority="757" operator="greaterThan">
      <formula>0.85</formula>
    </cfRule>
  </conditionalFormatting>
  <conditionalFormatting sqref="E16">
    <cfRule type="expression" dxfId="7159" priority="752">
      <formula>AND(IF(OR($Q16=1,$Q16=2),1,0),IF($X16&lt;=20,1,0))</formula>
    </cfRule>
    <cfRule type="expression" dxfId="7158" priority="753">
      <formula>AND(IF($Q16=2,1,0),IF($X16&lt;30,1,0))</formula>
    </cfRule>
    <cfRule type="expression" dxfId="7157" priority="754">
      <formula>AND(IF($Q16=3,1,0),IF($X16&lt;30,1,0))</formula>
    </cfRule>
    <cfRule type="expression" dxfId="7156" priority="755">
      <formula>AND(IF($Q16=3,1,IF($Q16=4,1,0)),IF($F16&lt;=85,1,0))</formula>
    </cfRule>
  </conditionalFormatting>
  <conditionalFormatting sqref="X16">
    <cfRule type="expression" dxfId="7155" priority="748">
      <formula>AND(IF(OR($Q16=1,$Q16=2),1,0),IF($X16&lt;=20,1,0))</formula>
    </cfRule>
    <cfRule type="expression" dxfId="7154" priority="749">
      <formula>AND(IF($Q16=2,1,0),IF($X16&lt;30,1,0))</formula>
    </cfRule>
    <cfRule type="expression" dxfId="7153" priority="750">
      <formula>AND(IF($Q16=3,1,0),IF($X16&lt;30,1,0))</formula>
    </cfRule>
    <cfRule type="expression" dxfId="7152" priority="751">
      <formula>AND(IF($Q16=3,1,IF($Q16=4,1,0)),IF($F16&lt;=85,1,0))</formula>
    </cfRule>
  </conditionalFormatting>
  <conditionalFormatting sqref="AI16">
    <cfRule type="expression" dxfId="7151" priority="744">
      <formula>AND(IF(OR($Q16=1,$Q16=2),1,0),IF($X16&lt;=20,1,0))</formula>
    </cfRule>
    <cfRule type="expression" dxfId="7150" priority="745">
      <formula>AND(IF($Q16=2,1,0),IF($X16&lt;30,1,0))</formula>
    </cfRule>
    <cfRule type="expression" dxfId="7149" priority="746">
      <formula>AND(IF($Q16=3,1,0),IF($X16&lt;30,1,0))</formula>
    </cfRule>
    <cfRule type="expression" dxfId="7148" priority="747">
      <formula>AND(IF($Q16=3,1,IF($Q16=4,1,0)),IF($F16&lt;=85,1,0))</formula>
    </cfRule>
  </conditionalFormatting>
  <conditionalFormatting sqref="AV17">
    <cfRule type="expression" dxfId="7147" priority="742">
      <formula>AV17="X"</formula>
    </cfRule>
    <cfRule type="expression" dxfId="7146" priority="743">
      <formula>AV17="후보"</formula>
    </cfRule>
  </conditionalFormatting>
  <conditionalFormatting sqref="Z17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145" priority="739" operator="greaterThan">
      <formula>0.9</formula>
    </cfRule>
    <cfRule type="cellIs" dxfId="7144" priority="740" operator="greaterThan">
      <formula>0.85</formula>
    </cfRule>
  </conditionalFormatting>
  <conditionalFormatting sqref="N17">
    <cfRule type="cellIs" dxfId="7143" priority="737" operator="greaterThan">
      <formula>0.9</formula>
    </cfRule>
    <cfRule type="cellIs" dxfId="7142" priority="738" operator="greaterThan">
      <formula>0.85</formula>
    </cfRule>
  </conditionalFormatting>
  <conditionalFormatting sqref="E17">
    <cfRule type="expression" dxfId="7141" priority="733">
      <formula>AND(IF(OR($Q17=1,$Q17=2),1,0),IF($X17&lt;=20,1,0))</formula>
    </cfRule>
    <cfRule type="expression" dxfId="7140" priority="734">
      <formula>AND(IF($Q17=2,1,0),IF($X17&lt;30,1,0))</formula>
    </cfRule>
    <cfRule type="expression" dxfId="7139" priority="735">
      <formula>AND(IF($Q17=3,1,0),IF($X17&lt;30,1,0))</formula>
    </cfRule>
    <cfRule type="expression" dxfId="7138" priority="736">
      <formula>AND(IF($Q17=3,1,IF($Q17=4,1,0)),IF($F17&lt;=85,1,0))</formula>
    </cfRule>
  </conditionalFormatting>
  <conditionalFormatting sqref="X17">
    <cfRule type="expression" dxfId="7137" priority="729">
      <formula>AND(IF(OR($Q17=1,$Q17=2),1,0),IF($X17&lt;=20,1,0))</formula>
    </cfRule>
    <cfRule type="expression" dxfId="7136" priority="730">
      <formula>AND(IF($Q17=2,1,0),IF($X17&lt;30,1,0))</formula>
    </cfRule>
    <cfRule type="expression" dxfId="7135" priority="731">
      <formula>AND(IF($Q17=3,1,0),IF($X17&lt;30,1,0))</formula>
    </cfRule>
    <cfRule type="expression" dxfId="7134" priority="732">
      <formula>AND(IF($Q17=3,1,IF($Q17=4,1,0)),IF($F17&lt;=85,1,0))</formula>
    </cfRule>
  </conditionalFormatting>
  <conditionalFormatting sqref="AI17">
    <cfRule type="expression" dxfId="7133" priority="725">
      <formula>AND(IF(OR($Q17=1,$Q17=2),1,0),IF($X17&lt;=20,1,0))</formula>
    </cfRule>
    <cfRule type="expression" dxfId="7132" priority="726">
      <formula>AND(IF($Q17=2,1,0),IF($X17&lt;30,1,0))</formula>
    </cfRule>
    <cfRule type="expression" dxfId="7131" priority="727">
      <formula>AND(IF($Q17=3,1,0),IF($X17&lt;30,1,0))</formula>
    </cfRule>
    <cfRule type="expression" dxfId="7130" priority="728">
      <formula>AND(IF($Q17=3,1,IF($Q17=4,1,0)),IF($F17&lt;=85,1,0))</formula>
    </cfRule>
  </conditionalFormatting>
  <conditionalFormatting sqref="AV18">
    <cfRule type="expression" dxfId="7129" priority="723">
      <formula>AV18="X"</formula>
    </cfRule>
    <cfRule type="expression" dxfId="7128" priority="724">
      <formula>AV18="후보"</formula>
    </cfRule>
  </conditionalFormatting>
  <conditionalFormatting sqref="Z18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127" priority="720" operator="greaterThan">
      <formula>0.9</formula>
    </cfRule>
    <cfRule type="cellIs" dxfId="7126" priority="721" operator="greaterThan">
      <formula>0.85</formula>
    </cfRule>
  </conditionalFormatting>
  <conditionalFormatting sqref="N18">
    <cfRule type="cellIs" dxfId="7125" priority="718" operator="greaterThan">
      <formula>0.9</formula>
    </cfRule>
    <cfRule type="cellIs" dxfId="7124" priority="719" operator="greaterThan">
      <formula>0.85</formula>
    </cfRule>
  </conditionalFormatting>
  <conditionalFormatting sqref="E18">
    <cfRule type="expression" dxfId="7123" priority="714">
      <formula>AND(IF(OR($Q18=1,$Q18=2),1,0),IF($X18&lt;=20,1,0))</formula>
    </cfRule>
    <cfRule type="expression" dxfId="7122" priority="715">
      <formula>AND(IF($Q18=2,1,0),IF($X18&lt;30,1,0))</formula>
    </cfRule>
    <cfRule type="expression" dxfId="7121" priority="716">
      <formula>AND(IF($Q18=3,1,0),IF($X18&lt;30,1,0))</formula>
    </cfRule>
    <cfRule type="expression" dxfId="7120" priority="717">
      <formula>AND(IF($Q18=3,1,IF($Q18=4,1,0)),IF($F18&lt;=85,1,0))</formula>
    </cfRule>
  </conditionalFormatting>
  <conditionalFormatting sqref="X18">
    <cfRule type="expression" dxfId="7119" priority="710">
      <formula>AND(IF(OR($Q18=1,$Q18=2),1,0),IF($X18&lt;=20,1,0))</formula>
    </cfRule>
    <cfRule type="expression" dxfId="7118" priority="711">
      <formula>AND(IF($Q18=2,1,0),IF($X18&lt;30,1,0))</formula>
    </cfRule>
    <cfRule type="expression" dxfId="7117" priority="712">
      <formula>AND(IF($Q18=3,1,0),IF($X18&lt;30,1,0))</formula>
    </cfRule>
    <cfRule type="expression" dxfId="7116" priority="713">
      <formula>AND(IF($Q18=3,1,IF($Q18=4,1,0)),IF($F18&lt;=85,1,0))</formula>
    </cfRule>
  </conditionalFormatting>
  <conditionalFormatting sqref="AI18">
    <cfRule type="expression" dxfId="7115" priority="706">
      <formula>AND(IF(OR($Q18=1,$Q18=2),1,0),IF($X18&lt;=20,1,0))</formula>
    </cfRule>
    <cfRule type="expression" dxfId="7114" priority="707">
      <formula>AND(IF($Q18=2,1,0),IF($X18&lt;30,1,0))</formula>
    </cfRule>
    <cfRule type="expression" dxfId="7113" priority="708">
      <formula>AND(IF($Q18=3,1,0),IF($X18&lt;30,1,0))</formula>
    </cfRule>
    <cfRule type="expression" dxfId="7112" priority="709">
      <formula>AND(IF($Q18=3,1,IF($Q18=4,1,0)),IF($F18&lt;=85,1,0))</formula>
    </cfRule>
  </conditionalFormatting>
  <conditionalFormatting sqref="AV19">
    <cfRule type="expression" dxfId="7111" priority="704">
      <formula>AV19="X"</formula>
    </cfRule>
    <cfRule type="expression" dxfId="7110" priority="705">
      <formula>AV19="후보"</formula>
    </cfRule>
  </conditionalFormatting>
  <conditionalFormatting sqref="Z19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7109" priority="701" operator="greaterThan">
      <formula>0.9</formula>
    </cfRule>
    <cfRule type="cellIs" dxfId="7108" priority="702" operator="greaterThan">
      <formula>0.85</formula>
    </cfRule>
  </conditionalFormatting>
  <conditionalFormatting sqref="AV20">
    <cfRule type="expression" dxfId="7107" priority="699">
      <formula>AV20="X"</formula>
    </cfRule>
    <cfRule type="expression" dxfId="7106" priority="700">
      <formula>AV20="후보"</formula>
    </cfRule>
  </conditionalFormatting>
  <conditionalFormatting sqref="Z20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105" priority="696" operator="greaterThan">
      <formula>0.9</formula>
    </cfRule>
    <cfRule type="cellIs" dxfId="7104" priority="697" operator="greaterThan">
      <formula>0.85</formula>
    </cfRule>
  </conditionalFormatting>
  <conditionalFormatting sqref="N20">
    <cfRule type="cellIs" dxfId="7103" priority="694" operator="greaterThan">
      <formula>0.9</formula>
    </cfRule>
    <cfRule type="cellIs" dxfId="7102" priority="695" operator="greaterThan">
      <formula>0.85</formula>
    </cfRule>
  </conditionalFormatting>
  <conditionalFormatting sqref="E20">
    <cfRule type="expression" dxfId="7101" priority="690">
      <formula>AND(IF(OR($Q20=1,$Q20=2),1,0),IF($X20&lt;=20,1,0))</formula>
    </cfRule>
    <cfRule type="expression" dxfId="7100" priority="691">
      <formula>AND(IF($Q20=2,1,0),IF($X20&lt;30,1,0))</formula>
    </cfRule>
    <cfRule type="expression" dxfId="7099" priority="692">
      <formula>AND(IF($Q20=3,1,0),IF($X20&lt;30,1,0))</formula>
    </cfRule>
    <cfRule type="expression" dxfId="7098" priority="693">
      <formula>AND(IF($Q20=3,1,IF($Q20=4,1,0)),IF($F20&lt;=85,1,0))</formula>
    </cfRule>
  </conditionalFormatting>
  <conditionalFormatting sqref="X20">
    <cfRule type="expression" dxfId="7097" priority="686">
      <formula>AND(IF(OR($Q20=1,$Q20=2),1,0),IF($X20&lt;=20,1,0))</formula>
    </cfRule>
    <cfRule type="expression" dxfId="7096" priority="687">
      <formula>AND(IF($Q20=2,1,0),IF($X20&lt;30,1,0))</formula>
    </cfRule>
    <cfRule type="expression" dxfId="7095" priority="688">
      <formula>AND(IF($Q20=3,1,0),IF($X20&lt;30,1,0))</formula>
    </cfRule>
    <cfRule type="expression" dxfId="7094" priority="689">
      <formula>AND(IF($Q20=3,1,IF($Q20=4,1,0)),IF($F20&lt;=85,1,0))</formula>
    </cfRule>
  </conditionalFormatting>
  <conditionalFormatting sqref="AI20">
    <cfRule type="expression" dxfId="7093" priority="682">
      <formula>AND(IF(OR($Q20=1,$Q20=2),1,0),IF($X20&lt;=20,1,0))</formula>
    </cfRule>
    <cfRule type="expression" dxfId="7092" priority="683">
      <formula>AND(IF($Q20=2,1,0),IF($X20&lt;30,1,0))</formula>
    </cfRule>
    <cfRule type="expression" dxfId="7091" priority="684">
      <formula>AND(IF($Q20=3,1,0),IF($X20&lt;30,1,0))</formula>
    </cfRule>
    <cfRule type="expression" dxfId="7090" priority="685">
      <formula>AND(IF($Q20=3,1,IF($Q20=4,1,0)),IF($F20&lt;=85,1,0))</formula>
    </cfRule>
  </conditionalFormatting>
  <conditionalFormatting sqref="AV21">
    <cfRule type="expression" dxfId="7089" priority="680">
      <formula>AV21="X"</formula>
    </cfRule>
    <cfRule type="expression" dxfId="7088" priority="681">
      <formula>AV21="후보"</formula>
    </cfRule>
  </conditionalFormatting>
  <conditionalFormatting sqref="Z21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087" priority="677" operator="greaterThan">
      <formula>0.9</formula>
    </cfRule>
    <cfRule type="cellIs" dxfId="7086" priority="678" operator="greaterThan">
      <formula>0.85</formula>
    </cfRule>
  </conditionalFormatting>
  <conditionalFormatting sqref="N21">
    <cfRule type="cellIs" dxfId="7085" priority="675" operator="greaterThan">
      <formula>0.9</formula>
    </cfRule>
    <cfRule type="cellIs" dxfId="7084" priority="676" operator="greaterThan">
      <formula>0.85</formula>
    </cfRule>
  </conditionalFormatting>
  <conditionalFormatting sqref="E21">
    <cfRule type="expression" dxfId="7083" priority="671">
      <formula>AND(IF(OR($Q21=1,$Q21=2),1,0),IF($X21&lt;=20,1,0))</formula>
    </cfRule>
    <cfRule type="expression" dxfId="7082" priority="672">
      <formula>AND(IF($Q21=2,1,0),IF($X21&lt;30,1,0))</formula>
    </cfRule>
    <cfRule type="expression" dxfId="7081" priority="673">
      <formula>AND(IF($Q21=3,1,0),IF($X21&lt;30,1,0))</formula>
    </cfRule>
    <cfRule type="expression" dxfId="7080" priority="674">
      <formula>AND(IF($Q21=3,1,IF($Q21=4,1,0)),IF($F21&lt;=85,1,0))</formula>
    </cfRule>
  </conditionalFormatting>
  <conditionalFormatting sqref="X21">
    <cfRule type="expression" dxfId="7079" priority="667">
      <formula>AND(IF(OR($Q21=1,$Q21=2),1,0),IF($X21&lt;=20,1,0))</formula>
    </cfRule>
    <cfRule type="expression" dxfId="7078" priority="668">
      <formula>AND(IF($Q21=2,1,0),IF($X21&lt;30,1,0))</formula>
    </cfRule>
    <cfRule type="expression" dxfId="7077" priority="669">
      <formula>AND(IF($Q21=3,1,0),IF($X21&lt;30,1,0))</formula>
    </cfRule>
    <cfRule type="expression" dxfId="7076" priority="670">
      <formula>AND(IF($Q21=3,1,IF($Q21=4,1,0)),IF($F21&lt;=85,1,0))</formula>
    </cfRule>
  </conditionalFormatting>
  <conditionalFormatting sqref="AI21">
    <cfRule type="expression" dxfId="7075" priority="663">
      <formula>AND(IF(OR($Q21=1,$Q21=2),1,0),IF($X21&lt;=20,1,0))</formula>
    </cfRule>
    <cfRule type="expression" dxfId="7074" priority="664">
      <formula>AND(IF($Q21=2,1,0),IF($X21&lt;30,1,0))</formula>
    </cfRule>
    <cfRule type="expression" dxfId="7073" priority="665">
      <formula>AND(IF($Q21=3,1,0),IF($X21&lt;30,1,0))</formula>
    </cfRule>
    <cfRule type="expression" dxfId="7072" priority="666">
      <formula>AND(IF($Q21=3,1,IF($Q21=4,1,0)),IF($F21&lt;=85,1,0))</formula>
    </cfRule>
  </conditionalFormatting>
  <conditionalFormatting sqref="AV22">
    <cfRule type="expression" dxfId="7071" priority="661">
      <formula>AV22="X"</formula>
    </cfRule>
    <cfRule type="expression" dxfId="7070" priority="662">
      <formula>AV22="후보"</formula>
    </cfRule>
  </conditionalFormatting>
  <conditionalFormatting sqref="Z22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7069" priority="658" operator="greaterThan">
      <formula>0.9</formula>
    </cfRule>
    <cfRule type="cellIs" dxfId="7068" priority="659" operator="greaterThan">
      <formula>0.85</formula>
    </cfRule>
  </conditionalFormatting>
  <conditionalFormatting sqref="N22">
    <cfRule type="cellIs" dxfId="7067" priority="656" operator="greaterThan">
      <formula>0.9</formula>
    </cfRule>
    <cfRule type="cellIs" dxfId="7066" priority="657" operator="greaterThan">
      <formula>0.85</formula>
    </cfRule>
  </conditionalFormatting>
  <conditionalFormatting sqref="E22">
    <cfRule type="expression" dxfId="7065" priority="652">
      <formula>AND(IF(OR($Q22=1,$Q22=2),1,0),IF($X22&lt;=20,1,0))</formula>
    </cfRule>
    <cfRule type="expression" dxfId="7064" priority="653">
      <formula>AND(IF($Q22=2,1,0),IF($X22&lt;30,1,0))</formula>
    </cfRule>
    <cfRule type="expression" dxfId="7063" priority="654">
      <formula>AND(IF($Q22=3,1,0),IF($X22&lt;30,1,0))</formula>
    </cfRule>
    <cfRule type="expression" dxfId="7062" priority="655">
      <formula>AND(IF($Q22=3,1,IF($Q22=4,1,0)),IF($F22&lt;=85,1,0))</formula>
    </cfRule>
  </conditionalFormatting>
  <conditionalFormatting sqref="X22">
    <cfRule type="expression" dxfId="7061" priority="648">
      <formula>AND(IF(OR($Q22=1,$Q22=2),1,0),IF($X22&lt;=20,1,0))</formula>
    </cfRule>
    <cfRule type="expression" dxfId="7060" priority="649">
      <formula>AND(IF($Q22=2,1,0),IF($X22&lt;30,1,0))</formula>
    </cfRule>
    <cfRule type="expression" dxfId="7059" priority="650">
      <formula>AND(IF($Q22=3,1,0),IF($X22&lt;30,1,0))</formula>
    </cfRule>
    <cfRule type="expression" dxfId="7058" priority="651">
      <formula>AND(IF($Q22=3,1,IF($Q22=4,1,0)),IF($F22&lt;=85,1,0))</formula>
    </cfRule>
  </conditionalFormatting>
  <conditionalFormatting sqref="AI22">
    <cfRule type="expression" dxfId="7057" priority="644">
      <formula>AND(IF(OR($Q22=1,$Q22=2),1,0),IF($X22&lt;=20,1,0))</formula>
    </cfRule>
    <cfRule type="expression" dxfId="7056" priority="645">
      <formula>AND(IF($Q22=2,1,0),IF($X22&lt;30,1,0))</formula>
    </cfRule>
    <cfRule type="expression" dxfId="7055" priority="646">
      <formula>AND(IF($Q22=3,1,0),IF($X22&lt;30,1,0))</formula>
    </cfRule>
    <cfRule type="expression" dxfId="7054" priority="647">
      <formula>AND(IF($Q22=3,1,IF($Q22=4,1,0)),IF($F22&lt;=85,1,0))</formula>
    </cfRule>
  </conditionalFormatting>
  <conditionalFormatting sqref="AV23">
    <cfRule type="expression" dxfId="7053" priority="642">
      <formula>AV23="X"</formula>
    </cfRule>
    <cfRule type="expression" dxfId="7052" priority="643">
      <formula>AV23="후보"</formula>
    </cfRule>
  </conditionalFormatting>
  <conditionalFormatting sqref="Z23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051" priority="639" operator="greaterThan">
      <formula>0.9</formula>
    </cfRule>
    <cfRule type="cellIs" dxfId="7050" priority="640" operator="greaterThan">
      <formula>0.85</formula>
    </cfRule>
  </conditionalFormatting>
  <conditionalFormatting sqref="N23">
    <cfRule type="cellIs" dxfId="7049" priority="637" operator="greaterThan">
      <formula>0.9</formula>
    </cfRule>
    <cfRule type="cellIs" dxfId="7048" priority="638" operator="greaterThan">
      <formula>0.85</formula>
    </cfRule>
  </conditionalFormatting>
  <conditionalFormatting sqref="E23">
    <cfRule type="expression" dxfId="7047" priority="633">
      <formula>AND(IF(OR($Q23=1,$Q23=2),1,0),IF($X23&lt;=20,1,0))</formula>
    </cfRule>
    <cfRule type="expression" dxfId="7046" priority="634">
      <formula>AND(IF($Q23=2,1,0),IF($X23&lt;30,1,0))</formula>
    </cfRule>
    <cfRule type="expression" dxfId="7045" priority="635">
      <formula>AND(IF($Q23=3,1,0),IF($X23&lt;30,1,0))</formula>
    </cfRule>
    <cfRule type="expression" dxfId="7044" priority="636">
      <formula>AND(IF($Q23=3,1,IF($Q23=4,1,0)),IF($F23&lt;=85,1,0))</formula>
    </cfRule>
  </conditionalFormatting>
  <conditionalFormatting sqref="X23">
    <cfRule type="expression" dxfId="7043" priority="629">
      <formula>AND(IF(OR($Q23=1,$Q23=2),1,0),IF($X23&lt;=20,1,0))</formula>
    </cfRule>
    <cfRule type="expression" dxfId="7042" priority="630">
      <formula>AND(IF($Q23=2,1,0),IF($X23&lt;30,1,0))</formula>
    </cfRule>
    <cfRule type="expression" dxfId="7041" priority="631">
      <formula>AND(IF($Q23=3,1,0),IF($X23&lt;30,1,0))</formula>
    </cfRule>
    <cfRule type="expression" dxfId="7040" priority="632">
      <formula>AND(IF($Q23=3,1,IF($Q23=4,1,0)),IF($F23&lt;=85,1,0))</formula>
    </cfRule>
  </conditionalFormatting>
  <conditionalFormatting sqref="AI23">
    <cfRule type="expression" dxfId="7039" priority="625">
      <formula>AND(IF(OR($Q23=1,$Q23=2),1,0),IF($X23&lt;=20,1,0))</formula>
    </cfRule>
    <cfRule type="expression" dxfId="7038" priority="626">
      <formula>AND(IF($Q23=2,1,0),IF($X23&lt;30,1,0))</formula>
    </cfRule>
    <cfRule type="expression" dxfId="7037" priority="627">
      <formula>AND(IF($Q23=3,1,0),IF($X23&lt;30,1,0))</formula>
    </cfRule>
    <cfRule type="expression" dxfId="7036" priority="628">
      <formula>AND(IF($Q23=3,1,IF($Q23=4,1,0)),IF($F23&lt;=85,1,0))</formula>
    </cfRule>
  </conditionalFormatting>
  <conditionalFormatting sqref="AV24">
    <cfRule type="expression" dxfId="7035" priority="623">
      <formula>AV24="X"</formula>
    </cfRule>
    <cfRule type="expression" dxfId="7034" priority="624">
      <formula>AV24="후보"</formula>
    </cfRule>
  </conditionalFormatting>
  <conditionalFormatting sqref="Z24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033" priority="620" operator="greaterThan">
      <formula>0.9</formula>
    </cfRule>
    <cfRule type="cellIs" dxfId="7032" priority="621" operator="greaterThan">
      <formula>0.85</formula>
    </cfRule>
  </conditionalFormatting>
  <conditionalFormatting sqref="N24">
    <cfRule type="cellIs" dxfId="7031" priority="618" operator="greaterThan">
      <formula>0.9</formula>
    </cfRule>
    <cfRule type="cellIs" dxfId="7030" priority="619" operator="greaterThan">
      <formula>0.85</formula>
    </cfRule>
  </conditionalFormatting>
  <conditionalFormatting sqref="E24">
    <cfRule type="expression" dxfId="7029" priority="614">
      <formula>AND(IF(OR($Q24=1,$Q24=2),1,0),IF($X24&lt;=20,1,0))</formula>
    </cfRule>
    <cfRule type="expression" dxfId="7028" priority="615">
      <formula>AND(IF($Q24=2,1,0),IF($X24&lt;30,1,0))</formula>
    </cfRule>
    <cfRule type="expression" dxfId="7027" priority="616">
      <formula>AND(IF($Q24=3,1,0),IF($X24&lt;30,1,0))</formula>
    </cfRule>
    <cfRule type="expression" dxfId="7026" priority="617">
      <formula>AND(IF($Q24=3,1,IF($Q24=4,1,0)),IF($F24&lt;=85,1,0))</formula>
    </cfRule>
  </conditionalFormatting>
  <conditionalFormatting sqref="X24">
    <cfRule type="expression" dxfId="7025" priority="610">
      <formula>AND(IF(OR($Q24=1,$Q24=2),1,0),IF($X24&lt;=20,1,0))</formula>
    </cfRule>
    <cfRule type="expression" dxfId="7024" priority="611">
      <formula>AND(IF($Q24=2,1,0),IF($X24&lt;30,1,0))</formula>
    </cfRule>
    <cfRule type="expression" dxfId="7023" priority="612">
      <formula>AND(IF($Q24=3,1,0),IF($X24&lt;30,1,0))</formula>
    </cfRule>
    <cfRule type="expression" dxfId="7022" priority="613">
      <formula>AND(IF($Q24=3,1,IF($Q24=4,1,0)),IF($F24&lt;=85,1,0))</formula>
    </cfRule>
  </conditionalFormatting>
  <conditionalFormatting sqref="AI24">
    <cfRule type="expression" dxfId="7021" priority="606">
      <formula>AND(IF(OR($Q24=1,$Q24=2),1,0),IF($X24&lt;=20,1,0))</formula>
    </cfRule>
    <cfRule type="expression" dxfId="7020" priority="607">
      <formula>AND(IF($Q24=2,1,0),IF($X24&lt;30,1,0))</formula>
    </cfRule>
    <cfRule type="expression" dxfId="7019" priority="608">
      <formula>AND(IF($Q24=3,1,0),IF($X24&lt;30,1,0))</formula>
    </cfRule>
    <cfRule type="expression" dxfId="7018" priority="609">
      <formula>AND(IF($Q24=3,1,IF($Q24=4,1,0)),IF($F24&lt;=85,1,0))</formula>
    </cfRule>
  </conditionalFormatting>
  <conditionalFormatting sqref="AV25">
    <cfRule type="expression" dxfId="7017" priority="604">
      <formula>AV25="X"</formula>
    </cfRule>
    <cfRule type="expression" dxfId="7016" priority="605">
      <formula>AV25="후보"</formula>
    </cfRule>
  </conditionalFormatting>
  <conditionalFormatting sqref="Z25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7015" priority="601" operator="greaterThan">
      <formula>0.9</formula>
    </cfRule>
    <cfRule type="cellIs" dxfId="7014" priority="602" operator="greaterThan">
      <formula>0.85</formula>
    </cfRule>
  </conditionalFormatting>
  <conditionalFormatting sqref="AV26">
    <cfRule type="expression" dxfId="7013" priority="599">
      <formula>AV26="X"</formula>
    </cfRule>
    <cfRule type="expression" dxfId="7012" priority="600">
      <formula>AV26="후보"</formula>
    </cfRule>
  </conditionalFormatting>
  <conditionalFormatting sqref="Z26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7011" priority="596" operator="greaterThan">
      <formula>0.9</formula>
    </cfRule>
    <cfRule type="cellIs" dxfId="7010" priority="597" operator="greaterThan">
      <formula>0.85</formula>
    </cfRule>
  </conditionalFormatting>
  <conditionalFormatting sqref="N26">
    <cfRule type="cellIs" dxfId="7009" priority="594" operator="greaterThan">
      <formula>0.9</formula>
    </cfRule>
    <cfRule type="cellIs" dxfId="7008" priority="595" operator="greaterThan">
      <formula>0.85</formula>
    </cfRule>
  </conditionalFormatting>
  <conditionalFormatting sqref="E26">
    <cfRule type="expression" dxfId="7007" priority="590">
      <formula>AND(IF(OR($Q26=1,$Q26=2),1,0),IF($X26&lt;=20,1,0))</formula>
    </cfRule>
    <cfRule type="expression" dxfId="7006" priority="591">
      <formula>AND(IF($Q26=2,1,0),IF($X26&lt;30,1,0))</formula>
    </cfRule>
    <cfRule type="expression" dxfId="7005" priority="592">
      <formula>AND(IF($Q26=3,1,0),IF($X26&lt;30,1,0))</formula>
    </cfRule>
    <cfRule type="expression" dxfId="7004" priority="593">
      <formula>AND(IF($Q26=3,1,IF($Q26=4,1,0)),IF($F26&lt;=85,1,0))</formula>
    </cfRule>
  </conditionalFormatting>
  <conditionalFormatting sqref="X26">
    <cfRule type="expression" dxfId="7003" priority="586">
      <formula>AND(IF(OR($Q26=1,$Q26=2),1,0),IF($X26&lt;=20,1,0))</formula>
    </cfRule>
    <cfRule type="expression" dxfId="7002" priority="587">
      <formula>AND(IF($Q26=2,1,0),IF($X26&lt;30,1,0))</formula>
    </cfRule>
    <cfRule type="expression" dxfId="7001" priority="588">
      <formula>AND(IF($Q26=3,1,0),IF($X26&lt;30,1,0))</formula>
    </cfRule>
    <cfRule type="expression" dxfId="7000" priority="589">
      <formula>AND(IF($Q26=3,1,IF($Q26=4,1,0)),IF($F26&lt;=85,1,0))</formula>
    </cfRule>
  </conditionalFormatting>
  <conditionalFormatting sqref="AI26">
    <cfRule type="expression" dxfId="6999" priority="582">
      <formula>AND(IF(OR($Q26=1,$Q26=2),1,0),IF($X26&lt;=20,1,0))</formula>
    </cfRule>
    <cfRule type="expression" dxfId="6998" priority="583">
      <formula>AND(IF($Q26=2,1,0),IF($X26&lt;30,1,0))</formula>
    </cfRule>
    <cfRule type="expression" dxfId="6997" priority="584">
      <formula>AND(IF($Q26=3,1,0),IF($X26&lt;30,1,0))</formula>
    </cfRule>
    <cfRule type="expression" dxfId="6996" priority="585">
      <formula>AND(IF($Q26=3,1,IF($Q26=4,1,0)),IF($F26&lt;=85,1,0))</formula>
    </cfRule>
  </conditionalFormatting>
  <conditionalFormatting sqref="AV27">
    <cfRule type="expression" dxfId="6995" priority="580">
      <formula>AV27="X"</formula>
    </cfRule>
    <cfRule type="expression" dxfId="6994" priority="581">
      <formula>AV27="후보"</formula>
    </cfRule>
  </conditionalFormatting>
  <conditionalFormatting sqref="Z27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6993" priority="577" operator="greaterThan">
      <formula>0.9</formula>
    </cfRule>
    <cfRule type="cellIs" dxfId="6992" priority="578" operator="greaterThan">
      <formula>0.85</formula>
    </cfRule>
  </conditionalFormatting>
  <conditionalFormatting sqref="N27">
    <cfRule type="cellIs" dxfId="6991" priority="575" operator="greaterThan">
      <formula>0.9</formula>
    </cfRule>
    <cfRule type="cellIs" dxfId="6990" priority="576" operator="greaterThan">
      <formula>0.85</formula>
    </cfRule>
  </conditionalFormatting>
  <conditionalFormatting sqref="E27">
    <cfRule type="expression" dxfId="6989" priority="571">
      <formula>AND(IF(OR($Q27=1,$Q27=2),1,0),IF($X27&lt;=20,1,0))</formula>
    </cfRule>
    <cfRule type="expression" dxfId="6988" priority="572">
      <formula>AND(IF($Q27=2,1,0),IF($X27&lt;30,1,0))</formula>
    </cfRule>
    <cfRule type="expression" dxfId="6987" priority="573">
      <formula>AND(IF($Q27=3,1,0),IF($X27&lt;30,1,0))</formula>
    </cfRule>
    <cfRule type="expression" dxfId="6986" priority="574">
      <formula>AND(IF($Q27=3,1,IF($Q27=4,1,0)),IF($F27&lt;=85,1,0))</formula>
    </cfRule>
  </conditionalFormatting>
  <conditionalFormatting sqref="X27">
    <cfRule type="expression" dxfId="6985" priority="567">
      <formula>AND(IF(OR($Q27=1,$Q27=2),1,0),IF($X27&lt;=20,1,0))</formula>
    </cfRule>
    <cfRule type="expression" dxfId="6984" priority="568">
      <formula>AND(IF($Q27=2,1,0),IF($X27&lt;30,1,0))</formula>
    </cfRule>
    <cfRule type="expression" dxfId="6983" priority="569">
      <formula>AND(IF($Q27=3,1,0),IF($X27&lt;30,1,0))</formula>
    </cfRule>
    <cfRule type="expression" dxfId="6982" priority="570">
      <formula>AND(IF($Q27=3,1,IF($Q27=4,1,0)),IF($F27&lt;=85,1,0))</formula>
    </cfRule>
  </conditionalFormatting>
  <conditionalFormatting sqref="AI27">
    <cfRule type="expression" dxfId="6981" priority="563">
      <formula>AND(IF(OR($Q27=1,$Q27=2),1,0),IF($X27&lt;=20,1,0))</formula>
    </cfRule>
    <cfRule type="expression" dxfId="6980" priority="564">
      <formula>AND(IF($Q27=2,1,0),IF($X27&lt;30,1,0))</formula>
    </cfRule>
    <cfRule type="expression" dxfId="6979" priority="565">
      <formula>AND(IF($Q27=3,1,0),IF($X27&lt;30,1,0))</formula>
    </cfRule>
    <cfRule type="expression" dxfId="6978" priority="566">
      <formula>AND(IF($Q27=3,1,IF($Q27=4,1,0)),IF($F27&lt;=85,1,0))</formula>
    </cfRule>
  </conditionalFormatting>
  <conditionalFormatting sqref="AV28">
    <cfRule type="expression" dxfId="6977" priority="561">
      <formula>AV28="X"</formula>
    </cfRule>
    <cfRule type="expression" dxfId="6976" priority="562">
      <formula>AV28="후보"</formula>
    </cfRule>
  </conditionalFormatting>
  <conditionalFormatting sqref="Z28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6975" priority="558" operator="greaterThan">
      <formula>0.9</formula>
    </cfRule>
    <cfRule type="cellIs" dxfId="6974" priority="559" operator="greaterThan">
      <formula>0.85</formula>
    </cfRule>
  </conditionalFormatting>
  <conditionalFormatting sqref="N28">
    <cfRule type="cellIs" dxfId="6973" priority="556" operator="greaterThan">
      <formula>0.9</formula>
    </cfRule>
    <cfRule type="cellIs" dxfId="6972" priority="557" operator="greaterThan">
      <formula>0.85</formula>
    </cfRule>
  </conditionalFormatting>
  <conditionalFormatting sqref="E28">
    <cfRule type="expression" dxfId="6971" priority="552">
      <formula>AND(IF(OR($Q28=1,$Q28=2),1,0),IF($X28&lt;=20,1,0))</formula>
    </cfRule>
    <cfRule type="expression" dxfId="6970" priority="553">
      <formula>AND(IF($Q28=2,1,0),IF($X28&lt;30,1,0))</formula>
    </cfRule>
    <cfRule type="expression" dxfId="6969" priority="554">
      <formula>AND(IF($Q28=3,1,0),IF($X28&lt;30,1,0))</formula>
    </cfRule>
    <cfRule type="expression" dxfId="6968" priority="555">
      <formula>AND(IF($Q28=3,1,IF($Q28=4,1,0)),IF($F28&lt;=85,1,0))</formula>
    </cfRule>
  </conditionalFormatting>
  <conditionalFormatting sqref="X28">
    <cfRule type="expression" dxfId="6967" priority="548">
      <formula>AND(IF(OR($Q28=1,$Q28=2),1,0),IF($X28&lt;=20,1,0))</formula>
    </cfRule>
    <cfRule type="expression" dxfId="6966" priority="549">
      <formula>AND(IF($Q28=2,1,0),IF($X28&lt;30,1,0))</formula>
    </cfRule>
    <cfRule type="expression" dxfId="6965" priority="550">
      <formula>AND(IF($Q28=3,1,0),IF($X28&lt;30,1,0))</formula>
    </cfRule>
    <cfRule type="expression" dxfId="6964" priority="551">
      <formula>AND(IF($Q28=3,1,IF($Q28=4,1,0)),IF($F28&lt;=85,1,0))</formula>
    </cfRule>
  </conditionalFormatting>
  <conditionalFormatting sqref="AI28">
    <cfRule type="expression" dxfId="6963" priority="544">
      <formula>AND(IF(OR($Q28=1,$Q28=2),1,0),IF($X28&lt;=20,1,0))</formula>
    </cfRule>
    <cfRule type="expression" dxfId="6962" priority="545">
      <formula>AND(IF($Q28=2,1,0),IF($X28&lt;30,1,0))</formula>
    </cfRule>
    <cfRule type="expression" dxfId="6961" priority="546">
      <formula>AND(IF($Q28=3,1,0),IF($X28&lt;30,1,0))</formula>
    </cfRule>
    <cfRule type="expression" dxfId="6960" priority="547">
      <formula>AND(IF($Q28=3,1,IF($Q28=4,1,0)),IF($F28&lt;=85,1,0))</formula>
    </cfRule>
  </conditionalFormatting>
  <conditionalFormatting sqref="AV29">
    <cfRule type="expression" dxfId="6959" priority="542">
      <formula>AV29="X"</formula>
    </cfRule>
    <cfRule type="expression" dxfId="6958" priority="543">
      <formula>AV29="후보"</formula>
    </cfRule>
  </conditionalFormatting>
  <conditionalFormatting sqref="Z29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6957" priority="539" operator="greaterThan">
      <formula>0.9</formula>
    </cfRule>
    <cfRule type="cellIs" dxfId="6956" priority="540" operator="greaterThan">
      <formula>0.85</formula>
    </cfRule>
  </conditionalFormatting>
  <conditionalFormatting sqref="AV30">
    <cfRule type="expression" dxfId="6955" priority="537">
      <formula>AV30="X"</formula>
    </cfRule>
    <cfRule type="expression" dxfId="6954" priority="538">
      <formula>AV30="후보"</formula>
    </cfRule>
  </conditionalFormatting>
  <conditionalFormatting sqref="Z30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6953" priority="534" operator="greaterThan">
      <formula>0.9</formula>
    </cfRule>
    <cfRule type="cellIs" dxfId="6952" priority="535" operator="greaterThan">
      <formula>0.85</formula>
    </cfRule>
  </conditionalFormatting>
  <conditionalFormatting sqref="N30">
    <cfRule type="cellIs" dxfId="6951" priority="532" operator="greaterThan">
      <formula>0.9</formula>
    </cfRule>
    <cfRule type="cellIs" dxfId="6950" priority="533" operator="greaterThan">
      <formula>0.85</formula>
    </cfRule>
  </conditionalFormatting>
  <conditionalFormatting sqref="E30">
    <cfRule type="expression" dxfId="6949" priority="528">
      <formula>AND(IF(OR($Q30=1,$Q30=2),1,0),IF($X30&lt;=20,1,0))</formula>
    </cfRule>
    <cfRule type="expression" dxfId="6948" priority="529">
      <formula>AND(IF($Q30=2,1,0),IF($X30&lt;30,1,0))</formula>
    </cfRule>
    <cfRule type="expression" dxfId="6947" priority="530">
      <formula>AND(IF($Q30=3,1,0),IF($X30&lt;30,1,0))</formula>
    </cfRule>
    <cfRule type="expression" dxfId="6946" priority="531">
      <formula>AND(IF($Q30=3,1,IF($Q30=4,1,0)),IF($F30&lt;=85,1,0))</formula>
    </cfRule>
  </conditionalFormatting>
  <conditionalFormatting sqref="X30">
    <cfRule type="expression" dxfId="6945" priority="524">
      <formula>AND(IF(OR($Q30=1,$Q30=2),1,0),IF($X30&lt;=20,1,0))</formula>
    </cfRule>
    <cfRule type="expression" dxfId="6944" priority="525">
      <formula>AND(IF($Q30=2,1,0),IF($X30&lt;30,1,0))</formula>
    </cfRule>
    <cfRule type="expression" dxfId="6943" priority="526">
      <formula>AND(IF($Q30=3,1,0),IF($X30&lt;30,1,0))</formula>
    </cfRule>
    <cfRule type="expression" dxfId="6942" priority="527">
      <formula>AND(IF($Q30=3,1,IF($Q30=4,1,0)),IF($F30&lt;=85,1,0))</formula>
    </cfRule>
  </conditionalFormatting>
  <conditionalFormatting sqref="AI30">
    <cfRule type="expression" dxfId="6941" priority="520">
      <formula>AND(IF(OR($Q30=1,$Q30=2),1,0),IF($X30&lt;=20,1,0))</formula>
    </cfRule>
    <cfRule type="expression" dxfId="6940" priority="521">
      <formula>AND(IF($Q30=2,1,0),IF($X30&lt;30,1,0))</formula>
    </cfRule>
    <cfRule type="expression" dxfId="6939" priority="522">
      <formula>AND(IF($Q30=3,1,0),IF($X30&lt;30,1,0))</formula>
    </cfRule>
    <cfRule type="expression" dxfId="6938" priority="523">
      <formula>AND(IF($Q30=3,1,IF($Q30=4,1,0)),IF($F30&lt;=85,1,0))</formula>
    </cfRule>
  </conditionalFormatting>
  <conditionalFormatting sqref="AV31">
    <cfRule type="expression" dxfId="6937" priority="518">
      <formula>AV31="X"</formula>
    </cfRule>
    <cfRule type="expression" dxfId="6936" priority="519">
      <formula>AV31="후보"</formula>
    </cfRule>
  </conditionalFormatting>
  <conditionalFormatting sqref="Z31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6935" priority="515" operator="greaterThan">
      <formula>0.9</formula>
    </cfRule>
    <cfRule type="cellIs" dxfId="6934" priority="516" operator="greaterThan">
      <formula>0.85</formula>
    </cfRule>
  </conditionalFormatting>
  <conditionalFormatting sqref="N31">
    <cfRule type="cellIs" dxfId="6933" priority="513" operator="greaterThan">
      <formula>0.9</formula>
    </cfRule>
    <cfRule type="cellIs" dxfId="6932" priority="514" operator="greaterThan">
      <formula>0.85</formula>
    </cfRule>
  </conditionalFormatting>
  <conditionalFormatting sqref="E31">
    <cfRule type="expression" dxfId="6931" priority="509">
      <formula>AND(IF(OR($Q31=1,$Q31=2),1,0),IF($X31&lt;=20,1,0))</formula>
    </cfRule>
    <cfRule type="expression" dxfId="6930" priority="510">
      <formula>AND(IF($Q31=2,1,0),IF($X31&lt;30,1,0))</formula>
    </cfRule>
    <cfRule type="expression" dxfId="6929" priority="511">
      <formula>AND(IF($Q31=3,1,0),IF($X31&lt;30,1,0))</formula>
    </cfRule>
    <cfRule type="expression" dxfId="6928" priority="512">
      <formula>AND(IF($Q31=3,1,IF($Q31=4,1,0)),IF($F31&lt;=85,1,0))</formula>
    </cfRule>
  </conditionalFormatting>
  <conditionalFormatting sqref="X31">
    <cfRule type="expression" dxfId="6927" priority="505">
      <formula>AND(IF(OR($Q31=1,$Q31=2),1,0),IF($X31&lt;=20,1,0))</formula>
    </cfRule>
    <cfRule type="expression" dxfId="6926" priority="506">
      <formula>AND(IF($Q31=2,1,0),IF($X31&lt;30,1,0))</formula>
    </cfRule>
    <cfRule type="expression" dxfId="6925" priority="507">
      <formula>AND(IF($Q31=3,1,0),IF($X31&lt;30,1,0))</formula>
    </cfRule>
    <cfRule type="expression" dxfId="6924" priority="508">
      <formula>AND(IF($Q31=3,1,IF($Q31=4,1,0)),IF($F31&lt;=85,1,0))</formula>
    </cfRule>
  </conditionalFormatting>
  <conditionalFormatting sqref="AI31">
    <cfRule type="expression" dxfId="6923" priority="501">
      <formula>AND(IF(OR($Q31=1,$Q31=2),1,0),IF($X31&lt;=20,1,0))</formula>
    </cfRule>
    <cfRule type="expression" dxfId="6922" priority="502">
      <formula>AND(IF($Q31=2,1,0),IF($X31&lt;30,1,0))</formula>
    </cfRule>
    <cfRule type="expression" dxfId="6921" priority="503">
      <formula>AND(IF($Q31=3,1,0),IF($X31&lt;30,1,0))</formula>
    </cfRule>
    <cfRule type="expression" dxfId="6920" priority="504">
      <formula>AND(IF($Q31=3,1,IF($Q31=4,1,0)),IF($F31&lt;=85,1,0))</formula>
    </cfRule>
  </conditionalFormatting>
  <conditionalFormatting sqref="AV32">
    <cfRule type="expression" dxfId="6919" priority="499">
      <formula>AV32="X"</formula>
    </cfRule>
    <cfRule type="expression" dxfId="6918" priority="500">
      <formula>AV32="후보"</formula>
    </cfRule>
  </conditionalFormatting>
  <conditionalFormatting sqref="Z32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6917" priority="496" operator="greaterThan">
      <formula>0.9</formula>
    </cfRule>
    <cfRule type="cellIs" dxfId="6916" priority="497" operator="greaterThan">
      <formula>0.85</formula>
    </cfRule>
  </conditionalFormatting>
  <conditionalFormatting sqref="N32">
    <cfRule type="cellIs" dxfId="6915" priority="494" operator="greaterThan">
      <formula>0.9</formula>
    </cfRule>
    <cfRule type="cellIs" dxfId="6914" priority="495" operator="greaterThan">
      <formula>0.85</formula>
    </cfRule>
  </conditionalFormatting>
  <conditionalFormatting sqref="E32">
    <cfRule type="expression" dxfId="6913" priority="490">
      <formula>AND(IF(OR($Q32=1,$Q32=2),1,0),IF($X32&lt;=20,1,0))</formula>
    </cfRule>
    <cfRule type="expression" dxfId="6912" priority="491">
      <formula>AND(IF($Q32=2,1,0),IF($X32&lt;30,1,0))</formula>
    </cfRule>
    <cfRule type="expression" dxfId="6911" priority="492">
      <formula>AND(IF($Q32=3,1,0),IF($X32&lt;30,1,0))</formula>
    </cfRule>
    <cfRule type="expression" dxfId="6910" priority="493">
      <formula>AND(IF($Q32=3,1,IF($Q32=4,1,0)),IF($F32&lt;=85,1,0))</formula>
    </cfRule>
  </conditionalFormatting>
  <conditionalFormatting sqref="X32">
    <cfRule type="expression" dxfId="6909" priority="486">
      <formula>AND(IF(OR($Q32=1,$Q32=2),1,0),IF($X32&lt;=20,1,0))</formula>
    </cfRule>
    <cfRule type="expression" dxfId="6908" priority="487">
      <formula>AND(IF($Q32=2,1,0),IF($X32&lt;30,1,0))</formula>
    </cfRule>
    <cfRule type="expression" dxfId="6907" priority="488">
      <formula>AND(IF($Q32=3,1,0),IF($X32&lt;30,1,0))</formula>
    </cfRule>
    <cfRule type="expression" dxfId="6906" priority="489">
      <formula>AND(IF($Q32=3,1,IF($Q32=4,1,0)),IF($F32&lt;=85,1,0))</formula>
    </cfRule>
  </conditionalFormatting>
  <conditionalFormatting sqref="AI32">
    <cfRule type="expression" dxfId="6905" priority="482">
      <formula>AND(IF(OR($Q32=1,$Q32=2),1,0),IF($X32&lt;=20,1,0))</formula>
    </cfRule>
    <cfRule type="expression" dxfId="6904" priority="483">
      <formula>AND(IF($Q32=2,1,0),IF($X32&lt;30,1,0))</formula>
    </cfRule>
    <cfRule type="expression" dxfId="6903" priority="484">
      <formula>AND(IF($Q32=3,1,0),IF($X32&lt;30,1,0))</formula>
    </cfRule>
    <cfRule type="expression" dxfId="6902" priority="485">
      <formula>AND(IF($Q32=3,1,IF($Q32=4,1,0)),IF($F32&lt;=85,1,0))</formula>
    </cfRule>
  </conditionalFormatting>
  <conditionalFormatting sqref="AV33">
    <cfRule type="expression" dxfId="6901" priority="480">
      <formula>AV33="X"</formula>
    </cfRule>
    <cfRule type="expression" dxfId="6900" priority="481">
      <formula>AV33="후보"</formula>
    </cfRule>
  </conditionalFormatting>
  <conditionalFormatting sqref="Z33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6899" priority="477" operator="greaterThan">
      <formula>0.9</formula>
    </cfRule>
    <cfRule type="cellIs" dxfId="6898" priority="478" operator="greaterThan">
      <formula>0.85</formula>
    </cfRule>
  </conditionalFormatting>
  <conditionalFormatting sqref="AV34">
    <cfRule type="expression" dxfId="6897" priority="475">
      <formula>AV34="X"</formula>
    </cfRule>
    <cfRule type="expression" dxfId="6896" priority="476">
      <formula>AV34="후보"</formula>
    </cfRule>
  </conditionalFormatting>
  <conditionalFormatting sqref="Z34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6895" priority="472" operator="greaterThan">
      <formula>0.9</formula>
    </cfRule>
    <cfRule type="cellIs" dxfId="6894" priority="473" operator="greaterThan">
      <formula>0.85</formula>
    </cfRule>
  </conditionalFormatting>
  <conditionalFormatting sqref="N34">
    <cfRule type="cellIs" dxfId="6893" priority="470" operator="greaterThan">
      <formula>0.9</formula>
    </cfRule>
    <cfRule type="cellIs" dxfId="6892" priority="471" operator="greaterThan">
      <formula>0.85</formula>
    </cfRule>
  </conditionalFormatting>
  <conditionalFormatting sqref="E34">
    <cfRule type="expression" dxfId="6891" priority="466">
      <formula>AND(IF(OR($Q34=1,$Q34=2),1,0),IF($X34&lt;=20,1,0))</formula>
    </cfRule>
    <cfRule type="expression" dxfId="6890" priority="467">
      <formula>AND(IF($Q34=2,1,0),IF($X34&lt;30,1,0))</formula>
    </cfRule>
    <cfRule type="expression" dxfId="6889" priority="468">
      <formula>AND(IF($Q34=3,1,0),IF($X34&lt;30,1,0))</formula>
    </cfRule>
    <cfRule type="expression" dxfId="6888" priority="469">
      <formula>AND(IF($Q34=3,1,IF($Q34=4,1,0)),IF($F34&lt;=85,1,0))</formula>
    </cfRule>
  </conditionalFormatting>
  <conditionalFormatting sqref="X34">
    <cfRule type="expression" dxfId="6887" priority="462">
      <formula>AND(IF(OR($Q34=1,$Q34=2),1,0),IF($X34&lt;=20,1,0))</formula>
    </cfRule>
    <cfRule type="expression" dxfId="6886" priority="463">
      <formula>AND(IF($Q34=2,1,0),IF($X34&lt;30,1,0))</formula>
    </cfRule>
    <cfRule type="expression" dxfId="6885" priority="464">
      <formula>AND(IF($Q34=3,1,0),IF($X34&lt;30,1,0))</formula>
    </cfRule>
    <cfRule type="expression" dxfId="6884" priority="465">
      <formula>AND(IF($Q34=3,1,IF($Q34=4,1,0)),IF($F34&lt;=85,1,0))</formula>
    </cfRule>
  </conditionalFormatting>
  <conditionalFormatting sqref="AI34">
    <cfRule type="expression" dxfId="6883" priority="458">
      <formula>AND(IF(OR($Q34=1,$Q34=2),1,0),IF($X34&lt;=20,1,0))</formula>
    </cfRule>
    <cfRule type="expression" dxfId="6882" priority="459">
      <formula>AND(IF($Q34=2,1,0),IF($X34&lt;30,1,0))</formula>
    </cfRule>
    <cfRule type="expression" dxfId="6881" priority="460">
      <formula>AND(IF($Q34=3,1,0),IF($X34&lt;30,1,0))</formula>
    </cfRule>
    <cfRule type="expression" dxfId="6880" priority="461">
      <formula>AND(IF($Q34=3,1,IF($Q34=4,1,0)),IF($F34&lt;=85,1,0))</formula>
    </cfRule>
  </conditionalFormatting>
  <conditionalFormatting sqref="AV35">
    <cfRule type="expression" dxfId="6879" priority="456">
      <formula>AV35="X"</formula>
    </cfRule>
    <cfRule type="expression" dxfId="6878" priority="457">
      <formula>AV35="후보"</formula>
    </cfRule>
  </conditionalFormatting>
  <conditionalFormatting sqref="Z35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6877" priority="453" operator="greaterThan">
      <formula>0.9</formula>
    </cfRule>
    <cfRule type="cellIs" dxfId="6876" priority="454" operator="greaterThan">
      <formula>0.85</formula>
    </cfRule>
  </conditionalFormatting>
  <conditionalFormatting sqref="N35">
    <cfRule type="cellIs" dxfId="6875" priority="451" operator="greaterThan">
      <formula>0.9</formula>
    </cfRule>
    <cfRule type="cellIs" dxfId="6874" priority="452" operator="greaterThan">
      <formula>0.85</formula>
    </cfRule>
  </conditionalFormatting>
  <conditionalFormatting sqref="E35">
    <cfRule type="expression" dxfId="6873" priority="447">
      <formula>AND(IF(OR($Q35=1,$Q35=2),1,0),IF($X35&lt;=20,1,0))</formula>
    </cfRule>
    <cfRule type="expression" dxfId="6872" priority="448">
      <formula>AND(IF($Q35=2,1,0),IF($X35&lt;30,1,0))</formula>
    </cfRule>
    <cfRule type="expression" dxfId="6871" priority="449">
      <formula>AND(IF($Q35=3,1,0),IF($X35&lt;30,1,0))</formula>
    </cfRule>
    <cfRule type="expression" dxfId="6870" priority="450">
      <formula>AND(IF($Q35=3,1,IF($Q35=4,1,0)),IF($F35&lt;=85,1,0))</formula>
    </cfRule>
  </conditionalFormatting>
  <conditionalFormatting sqref="X35">
    <cfRule type="expression" dxfId="6869" priority="443">
      <formula>AND(IF(OR($Q35=1,$Q35=2),1,0),IF($X35&lt;=20,1,0))</formula>
    </cfRule>
    <cfRule type="expression" dxfId="6868" priority="444">
      <formula>AND(IF($Q35=2,1,0),IF($X35&lt;30,1,0))</formula>
    </cfRule>
    <cfRule type="expression" dxfId="6867" priority="445">
      <formula>AND(IF($Q35=3,1,0),IF($X35&lt;30,1,0))</formula>
    </cfRule>
    <cfRule type="expression" dxfId="6866" priority="446">
      <formula>AND(IF($Q35=3,1,IF($Q35=4,1,0)),IF($F35&lt;=85,1,0))</formula>
    </cfRule>
  </conditionalFormatting>
  <conditionalFormatting sqref="AI35">
    <cfRule type="expression" dxfId="6865" priority="439">
      <formula>AND(IF(OR($Q35=1,$Q35=2),1,0),IF($X35&lt;=20,1,0))</formula>
    </cfRule>
    <cfRule type="expression" dxfId="6864" priority="440">
      <formula>AND(IF($Q35=2,1,0),IF($X35&lt;30,1,0))</formula>
    </cfRule>
    <cfRule type="expression" dxfId="6863" priority="441">
      <formula>AND(IF($Q35=3,1,0),IF($X35&lt;30,1,0))</formula>
    </cfRule>
    <cfRule type="expression" dxfId="6862" priority="442">
      <formula>AND(IF($Q35=3,1,IF($Q35=4,1,0)),IF($F35&lt;=85,1,0))</formula>
    </cfRule>
  </conditionalFormatting>
  <conditionalFormatting sqref="AV36">
    <cfRule type="expression" dxfId="6861" priority="437">
      <formula>AV36="X"</formula>
    </cfRule>
    <cfRule type="expression" dxfId="6860" priority="438">
      <formula>AV36="후보"</formula>
    </cfRule>
  </conditionalFormatting>
  <conditionalFormatting sqref="Z36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6859" priority="434" operator="greaterThan">
      <formula>0.9</formula>
    </cfRule>
    <cfRule type="cellIs" dxfId="6858" priority="435" operator="greaterThan">
      <formula>0.85</formula>
    </cfRule>
  </conditionalFormatting>
  <conditionalFormatting sqref="N36">
    <cfRule type="cellIs" dxfId="6857" priority="432" operator="greaterThan">
      <formula>0.9</formula>
    </cfRule>
    <cfRule type="cellIs" dxfId="6856" priority="433" operator="greaterThan">
      <formula>0.85</formula>
    </cfRule>
  </conditionalFormatting>
  <conditionalFormatting sqref="E36">
    <cfRule type="expression" dxfId="6855" priority="428">
      <formula>AND(IF(OR($Q36=1,$Q36=2),1,0),IF($X36&lt;=20,1,0))</formula>
    </cfRule>
    <cfRule type="expression" dxfId="6854" priority="429">
      <formula>AND(IF($Q36=2,1,0),IF($X36&lt;30,1,0))</formula>
    </cfRule>
    <cfRule type="expression" dxfId="6853" priority="430">
      <formula>AND(IF($Q36=3,1,0),IF($X36&lt;30,1,0))</formula>
    </cfRule>
    <cfRule type="expression" dxfId="6852" priority="431">
      <formula>AND(IF($Q36=3,1,IF($Q36=4,1,0)),IF($F36&lt;=85,1,0))</formula>
    </cfRule>
  </conditionalFormatting>
  <conditionalFormatting sqref="X36">
    <cfRule type="expression" dxfId="6851" priority="424">
      <formula>AND(IF(OR($Q36=1,$Q36=2),1,0),IF($X36&lt;=20,1,0))</formula>
    </cfRule>
    <cfRule type="expression" dxfId="6850" priority="425">
      <formula>AND(IF($Q36=2,1,0),IF($X36&lt;30,1,0))</formula>
    </cfRule>
    <cfRule type="expression" dxfId="6849" priority="426">
      <formula>AND(IF($Q36=3,1,0),IF($X36&lt;30,1,0))</formula>
    </cfRule>
    <cfRule type="expression" dxfId="6848" priority="427">
      <formula>AND(IF($Q36=3,1,IF($Q36=4,1,0)),IF($F36&lt;=85,1,0))</formula>
    </cfRule>
  </conditionalFormatting>
  <conditionalFormatting sqref="AI36">
    <cfRule type="expression" dxfId="6847" priority="420">
      <formula>AND(IF(OR($Q36=1,$Q36=2),1,0),IF($X36&lt;=20,1,0))</formula>
    </cfRule>
    <cfRule type="expression" dxfId="6846" priority="421">
      <formula>AND(IF($Q36=2,1,0),IF($X36&lt;30,1,0))</formula>
    </cfRule>
    <cfRule type="expression" dxfId="6845" priority="422">
      <formula>AND(IF($Q36=3,1,0),IF($X36&lt;30,1,0))</formula>
    </cfRule>
    <cfRule type="expression" dxfId="6844" priority="423">
      <formula>AND(IF($Q36=3,1,IF($Q36=4,1,0)),IF($F36&lt;=85,1,0))</formula>
    </cfRule>
  </conditionalFormatting>
  <conditionalFormatting sqref="AV37">
    <cfRule type="expression" dxfId="6843" priority="418">
      <formula>AV37="X"</formula>
    </cfRule>
    <cfRule type="expression" dxfId="6842" priority="419">
      <formula>AV37="후보"</formula>
    </cfRule>
  </conditionalFormatting>
  <conditionalFormatting sqref="Z37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6841" priority="415" operator="greaterThan">
      <formula>0.9</formula>
    </cfRule>
    <cfRule type="cellIs" dxfId="6840" priority="416" operator="greaterThan">
      <formula>0.85</formula>
    </cfRule>
  </conditionalFormatting>
  <conditionalFormatting sqref="N37">
    <cfRule type="cellIs" dxfId="6839" priority="413" operator="greaterThan">
      <formula>0.9</formula>
    </cfRule>
    <cfRule type="cellIs" dxfId="6838" priority="414" operator="greaterThan">
      <formula>0.85</formula>
    </cfRule>
  </conditionalFormatting>
  <conditionalFormatting sqref="E37">
    <cfRule type="expression" dxfId="6837" priority="409">
      <formula>AND(IF(OR($Q37=1,$Q37=2),1,0),IF($X37&lt;=20,1,0))</formula>
    </cfRule>
    <cfRule type="expression" dxfId="6836" priority="410">
      <formula>AND(IF($Q37=2,1,0),IF($X37&lt;30,1,0))</formula>
    </cfRule>
    <cfRule type="expression" dxfId="6835" priority="411">
      <formula>AND(IF($Q37=3,1,0),IF($X37&lt;30,1,0))</formula>
    </cfRule>
    <cfRule type="expression" dxfId="6834" priority="412">
      <formula>AND(IF($Q37=3,1,IF($Q37=4,1,0)),IF($F37&lt;=85,1,0))</formula>
    </cfRule>
  </conditionalFormatting>
  <conditionalFormatting sqref="X37">
    <cfRule type="expression" dxfId="6833" priority="405">
      <formula>AND(IF(OR($Q37=1,$Q37=2),1,0),IF($X37&lt;=20,1,0))</formula>
    </cfRule>
    <cfRule type="expression" dxfId="6832" priority="406">
      <formula>AND(IF($Q37=2,1,0),IF($X37&lt;30,1,0))</formula>
    </cfRule>
    <cfRule type="expression" dxfId="6831" priority="407">
      <formula>AND(IF($Q37=3,1,0),IF($X37&lt;30,1,0))</formula>
    </cfRule>
    <cfRule type="expression" dxfId="6830" priority="408">
      <formula>AND(IF($Q37=3,1,IF($Q37=4,1,0)),IF($F37&lt;=85,1,0))</formula>
    </cfRule>
  </conditionalFormatting>
  <conditionalFormatting sqref="AI37">
    <cfRule type="expression" dxfId="6829" priority="401">
      <formula>AND(IF(OR($Q37=1,$Q37=2),1,0),IF($X37&lt;=20,1,0))</formula>
    </cfRule>
    <cfRule type="expression" dxfId="6828" priority="402">
      <formula>AND(IF($Q37=2,1,0),IF($X37&lt;30,1,0))</formula>
    </cfRule>
    <cfRule type="expression" dxfId="6827" priority="403">
      <formula>AND(IF($Q37=3,1,0),IF($X37&lt;30,1,0))</formula>
    </cfRule>
    <cfRule type="expression" dxfId="6826" priority="404">
      <formula>AND(IF($Q37=3,1,IF($Q37=4,1,0)),IF($F37&lt;=85,1,0))</formula>
    </cfRule>
  </conditionalFormatting>
  <conditionalFormatting sqref="AV38">
    <cfRule type="expression" dxfId="6825" priority="399">
      <formula>AV38="X"</formula>
    </cfRule>
    <cfRule type="expression" dxfId="6824" priority="400">
      <formula>AV38="후보"</formula>
    </cfRule>
  </conditionalFormatting>
  <conditionalFormatting sqref="Z38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6823" priority="396" operator="greaterThan">
      <formula>0.9</formula>
    </cfRule>
    <cfRule type="cellIs" dxfId="6822" priority="397" operator="greaterThan">
      <formula>0.85</formula>
    </cfRule>
  </conditionalFormatting>
  <conditionalFormatting sqref="N38">
    <cfRule type="cellIs" dxfId="6821" priority="394" operator="greaterThan">
      <formula>0.9</formula>
    </cfRule>
    <cfRule type="cellIs" dxfId="6820" priority="395" operator="greaterThan">
      <formula>0.85</formula>
    </cfRule>
  </conditionalFormatting>
  <conditionalFormatting sqref="E38">
    <cfRule type="expression" dxfId="6819" priority="390">
      <formula>AND(IF(OR($Q38=1,$Q38=2),1,0),IF($X38&lt;=20,1,0))</formula>
    </cfRule>
    <cfRule type="expression" dxfId="6818" priority="391">
      <formula>AND(IF($Q38=2,1,0),IF($X38&lt;30,1,0))</formula>
    </cfRule>
    <cfRule type="expression" dxfId="6817" priority="392">
      <formula>AND(IF($Q38=3,1,0),IF($X38&lt;30,1,0))</formula>
    </cfRule>
    <cfRule type="expression" dxfId="6816" priority="393">
      <formula>AND(IF($Q38=3,1,IF($Q38=4,1,0)),IF($F38&lt;=85,1,0))</formula>
    </cfRule>
  </conditionalFormatting>
  <conditionalFormatting sqref="X38">
    <cfRule type="expression" dxfId="6815" priority="386">
      <formula>AND(IF(OR($Q38=1,$Q38=2),1,0),IF($X38&lt;=20,1,0))</formula>
    </cfRule>
    <cfRule type="expression" dxfId="6814" priority="387">
      <formula>AND(IF($Q38=2,1,0),IF($X38&lt;30,1,0))</formula>
    </cfRule>
    <cfRule type="expression" dxfId="6813" priority="388">
      <formula>AND(IF($Q38=3,1,0),IF($X38&lt;30,1,0))</formula>
    </cfRule>
    <cfRule type="expression" dxfId="6812" priority="389">
      <formula>AND(IF($Q38=3,1,IF($Q38=4,1,0)),IF($F38&lt;=85,1,0))</formula>
    </cfRule>
  </conditionalFormatting>
  <conditionalFormatting sqref="AI38">
    <cfRule type="expression" dxfId="6811" priority="382">
      <formula>AND(IF(OR($Q38=1,$Q38=2),1,0),IF($X38&lt;=20,1,0))</formula>
    </cfRule>
    <cfRule type="expression" dxfId="6810" priority="383">
      <formula>AND(IF($Q38=2,1,0),IF($X38&lt;30,1,0))</formula>
    </cfRule>
    <cfRule type="expression" dxfId="6809" priority="384">
      <formula>AND(IF($Q38=3,1,0),IF($X38&lt;30,1,0))</formula>
    </cfRule>
    <cfRule type="expression" dxfId="6808" priority="385">
      <formula>AND(IF($Q38=3,1,IF($Q38=4,1,0)),IF($F38&lt;=85,1,0))</formula>
    </cfRule>
  </conditionalFormatting>
  <conditionalFormatting sqref="AV39">
    <cfRule type="expression" dxfId="6807" priority="380">
      <formula>AV39="X"</formula>
    </cfRule>
    <cfRule type="expression" dxfId="6806" priority="381">
      <formula>AV39="후보"</formula>
    </cfRule>
  </conditionalFormatting>
  <conditionalFormatting sqref="Z39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6805" priority="377" operator="greaterThan">
      <formula>0.9</formula>
    </cfRule>
    <cfRule type="cellIs" dxfId="6804" priority="378" operator="greaterThan">
      <formula>0.85</formula>
    </cfRule>
  </conditionalFormatting>
  <conditionalFormatting sqref="N39">
    <cfRule type="cellIs" dxfId="6803" priority="375" operator="greaterThan">
      <formula>0.9</formula>
    </cfRule>
    <cfRule type="cellIs" dxfId="6802" priority="376" operator="greaterThan">
      <formula>0.85</formula>
    </cfRule>
  </conditionalFormatting>
  <conditionalFormatting sqref="E39">
    <cfRule type="expression" dxfId="6801" priority="371">
      <formula>AND(IF(OR($Q39=1,$Q39=2),1,0),IF($X39&lt;=20,1,0))</formula>
    </cfRule>
    <cfRule type="expression" dxfId="6800" priority="372">
      <formula>AND(IF($Q39=2,1,0),IF($X39&lt;30,1,0))</formula>
    </cfRule>
    <cfRule type="expression" dxfId="6799" priority="373">
      <formula>AND(IF($Q39=3,1,0),IF($X39&lt;30,1,0))</formula>
    </cfRule>
    <cfRule type="expression" dxfId="6798" priority="374">
      <formula>AND(IF($Q39=3,1,IF($Q39=4,1,0)),IF($F39&lt;=85,1,0))</formula>
    </cfRule>
  </conditionalFormatting>
  <conditionalFormatting sqref="X39">
    <cfRule type="expression" dxfId="6797" priority="367">
      <formula>AND(IF(OR($Q39=1,$Q39=2),1,0),IF($X39&lt;=20,1,0))</formula>
    </cfRule>
    <cfRule type="expression" dxfId="6796" priority="368">
      <formula>AND(IF($Q39=2,1,0),IF($X39&lt;30,1,0))</formula>
    </cfRule>
    <cfRule type="expression" dxfId="6795" priority="369">
      <formula>AND(IF($Q39=3,1,0),IF($X39&lt;30,1,0))</formula>
    </cfRule>
    <cfRule type="expression" dxfId="6794" priority="370">
      <formula>AND(IF($Q39=3,1,IF($Q39=4,1,0)),IF($F39&lt;=85,1,0))</formula>
    </cfRule>
  </conditionalFormatting>
  <conditionalFormatting sqref="AI39">
    <cfRule type="expression" dxfId="6793" priority="363">
      <formula>AND(IF(OR($Q39=1,$Q39=2),1,0),IF($X39&lt;=20,1,0))</formula>
    </cfRule>
    <cfRule type="expression" dxfId="6792" priority="364">
      <formula>AND(IF($Q39=2,1,0),IF($X39&lt;30,1,0))</formula>
    </cfRule>
    <cfRule type="expression" dxfId="6791" priority="365">
      <formula>AND(IF($Q39=3,1,0),IF($X39&lt;30,1,0))</formula>
    </cfRule>
    <cfRule type="expression" dxfId="6790" priority="366">
      <formula>AND(IF($Q39=3,1,IF($Q39=4,1,0)),IF($F39&lt;=85,1,0))</formula>
    </cfRule>
  </conditionalFormatting>
  <conditionalFormatting sqref="AV40">
    <cfRule type="expression" dxfId="6789" priority="361">
      <formula>AV40="X"</formula>
    </cfRule>
    <cfRule type="expression" dxfId="6788" priority="362">
      <formula>AV40="후보"</formula>
    </cfRule>
  </conditionalFormatting>
  <conditionalFormatting sqref="Z40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6787" priority="358" operator="greaterThan">
      <formula>0.9</formula>
    </cfRule>
    <cfRule type="cellIs" dxfId="6786" priority="359" operator="greaterThan">
      <formula>0.85</formula>
    </cfRule>
  </conditionalFormatting>
  <conditionalFormatting sqref="N40">
    <cfRule type="cellIs" dxfId="6785" priority="356" operator="greaterThan">
      <formula>0.9</formula>
    </cfRule>
    <cfRule type="cellIs" dxfId="6784" priority="357" operator="greaterThan">
      <formula>0.85</formula>
    </cfRule>
  </conditionalFormatting>
  <conditionalFormatting sqref="E40">
    <cfRule type="expression" dxfId="6783" priority="352">
      <formula>AND(IF(OR($Q40=1,$Q40=2),1,0),IF($X40&lt;=20,1,0))</formula>
    </cfRule>
    <cfRule type="expression" dxfId="6782" priority="353">
      <formula>AND(IF($Q40=2,1,0),IF($X40&lt;30,1,0))</formula>
    </cfRule>
    <cfRule type="expression" dxfId="6781" priority="354">
      <formula>AND(IF($Q40=3,1,0),IF($X40&lt;30,1,0))</formula>
    </cfRule>
    <cfRule type="expression" dxfId="6780" priority="355">
      <formula>AND(IF($Q40=3,1,IF($Q40=4,1,0)),IF($F40&lt;=85,1,0))</formula>
    </cfRule>
  </conditionalFormatting>
  <conditionalFormatting sqref="X40">
    <cfRule type="expression" dxfId="6779" priority="348">
      <formula>AND(IF(OR($Q40=1,$Q40=2),1,0),IF($X40&lt;=20,1,0))</formula>
    </cfRule>
    <cfRule type="expression" dxfId="6778" priority="349">
      <formula>AND(IF($Q40=2,1,0),IF($X40&lt;30,1,0))</formula>
    </cfRule>
    <cfRule type="expression" dxfId="6777" priority="350">
      <formula>AND(IF($Q40=3,1,0),IF($X40&lt;30,1,0))</formula>
    </cfRule>
    <cfRule type="expression" dxfId="6776" priority="351">
      <formula>AND(IF($Q40=3,1,IF($Q40=4,1,0)),IF($F40&lt;=85,1,0))</formula>
    </cfRule>
  </conditionalFormatting>
  <conditionalFormatting sqref="AI40">
    <cfRule type="expression" dxfId="6775" priority="344">
      <formula>AND(IF(OR($Q40=1,$Q40=2),1,0),IF($X40&lt;=20,1,0))</formula>
    </cfRule>
    <cfRule type="expression" dxfId="6774" priority="345">
      <formula>AND(IF($Q40=2,1,0),IF($X40&lt;30,1,0))</formula>
    </cfRule>
    <cfRule type="expression" dxfId="6773" priority="346">
      <formula>AND(IF($Q40=3,1,0),IF($X40&lt;30,1,0))</formula>
    </cfRule>
    <cfRule type="expression" dxfId="6772" priority="347">
      <formula>AND(IF($Q40=3,1,IF($Q40=4,1,0)),IF($F40&lt;=85,1,0))</formula>
    </cfRule>
  </conditionalFormatting>
  <conditionalFormatting sqref="AV41">
    <cfRule type="expression" dxfId="6771" priority="342">
      <formula>AV41="X"</formula>
    </cfRule>
    <cfRule type="expression" dxfId="6770" priority="343">
      <formula>AV41="후보"</formula>
    </cfRule>
  </conditionalFormatting>
  <conditionalFormatting sqref="Z41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6769" priority="339" operator="greaterThan">
      <formula>0.9</formula>
    </cfRule>
    <cfRule type="cellIs" dxfId="6768" priority="340" operator="greaterThan">
      <formula>0.85</formula>
    </cfRule>
  </conditionalFormatting>
  <conditionalFormatting sqref="N41">
    <cfRule type="cellIs" dxfId="6767" priority="337" operator="greaterThan">
      <formula>0.9</formula>
    </cfRule>
    <cfRule type="cellIs" dxfId="6766" priority="338" operator="greaterThan">
      <formula>0.85</formula>
    </cfRule>
  </conditionalFormatting>
  <conditionalFormatting sqref="E41">
    <cfRule type="expression" dxfId="6765" priority="333">
      <formula>AND(IF(OR($Q41=1,$Q41=2),1,0),IF($X41&lt;=20,1,0))</formula>
    </cfRule>
    <cfRule type="expression" dxfId="6764" priority="334">
      <formula>AND(IF($Q41=2,1,0),IF($X41&lt;30,1,0))</formula>
    </cfRule>
    <cfRule type="expression" dxfId="6763" priority="335">
      <formula>AND(IF($Q41=3,1,0),IF($X41&lt;30,1,0))</formula>
    </cfRule>
    <cfRule type="expression" dxfId="6762" priority="336">
      <formula>AND(IF($Q41=3,1,IF($Q41=4,1,0)),IF($F41&lt;=85,1,0))</formula>
    </cfRule>
  </conditionalFormatting>
  <conditionalFormatting sqref="X41">
    <cfRule type="expression" dxfId="6761" priority="329">
      <formula>AND(IF(OR($Q41=1,$Q41=2),1,0),IF($X41&lt;=20,1,0))</formula>
    </cfRule>
    <cfRule type="expression" dxfId="6760" priority="330">
      <formula>AND(IF($Q41=2,1,0),IF($X41&lt;30,1,0))</formula>
    </cfRule>
    <cfRule type="expression" dxfId="6759" priority="331">
      <formula>AND(IF($Q41=3,1,0),IF($X41&lt;30,1,0))</formula>
    </cfRule>
    <cfRule type="expression" dxfId="6758" priority="332">
      <formula>AND(IF($Q41=3,1,IF($Q41=4,1,0)),IF($F41&lt;=85,1,0))</formula>
    </cfRule>
  </conditionalFormatting>
  <conditionalFormatting sqref="AI41">
    <cfRule type="expression" dxfId="6757" priority="325">
      <formula>AND(IF(OR($Q41=1,$Q41=2),1,0),IF($X41&lt;=20,1,0))</formula>
    </cfRule>
    <cfRule type="expression" dxfId="6756" priority="326">
      <formula>AND(IF($Q41=2,1,0),IF($X41&lt;30,1,0))</formula>
    </cfRule>
    <cfRule type="expression" dxfId="6755" priority="327">
      <formula>AND(IF($Q41=3,1,0),IF($X41&lt;30,1,0))</formula>
    </cfRule>
    <cfRule type="expression" dxfId="6754" priority="328">
      <formula>AND(IF($Q41=3,1,IF($Q41=4,1,0)),IF($F41&lt;=85,1,0))</formula>
    </cfRule>
  </conditionalFormatting>
  <conditionalFormatting sqref="AV42">
    <cfRule type="expression" dxfId="6753" priority="323">
      <formula>AV42="X"</formula>
    </cfRule>
    <cfRule type="expression" dxfId="6752" priority="324">
      <formula>AV42="후보"</formula>
    </cfRule>
  </conditionalFormatting>
  <conditionalFormatting sqref="Z42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6751" priority="320" operator="greaterThan">
      <formula>0.9</formula>
    </cfRule>
    <cfRule type="cellIs" dxfId="6750" priority="321" operator="greaterThan">
      <formula>0.85</formula>
    </cfRule>
  </conditionalFormatting>
  <conditionalFormatting sqref="N42">
    <cfRule type="cellIs" dxfId="6749" priority="318" operator="greaterThan">
      <formula>0.9</formula>
    </cfRule>
    <cfRule type="cellIs" dxfId="6748" priority="319" operator="greaterThan">
      <formula>0.85</formula>
    </cfRule>
  </conditionalFormatting>
  <conditionalFormatting sqref="E42">
    <cfRule type="expression" dxfId="6747" priority="314">
      <formula>AND(IF(OR($Q42=1,$Q42=2),1,0),IF($X42&lt;=20,1,0))</formula>
    </cfRule>
    <cfRule type="expression" dxfId="6746" priority="315">
      <formula>AND(IF($Q42=2,1,0),IF($X42&lt;30,1,0))</formula>
    </cfRule>
    <cfRule type="expression" dxfId="6745" priority="316">
      <formula>AND(IF($Q42=3,1,0),IF($X42&lt;30,1,0))</formula>
    </cfRule>
    <cfRule type="expression" dxfId="6744" priority="317">
      <formula>AND(IF($Q42=3,1,IF($Q42=4,1,0)),IF($F42&lt;=85,1,0))</formula>
    </cfRule>
  </conditionalFormatting>
  <conditionalFormatting sqref="X42">
    <cfRule type="expression" dxfId="6743" priority="310">
      <formula>AND(IF(OR($Q42=1,$Q42=2),1,0),IF($X42&lt;=20,1,0))</formula>
    </cfRule>
    <cfRule type="expression" dxfId="6742" priority="311">
      <formula>AND(IF($Q42=2,1,0),IF($X42&lt;30,1,0))</formula>
    </cfRule>
    <cfRule type="expression" dxfId="6741" priority="312">
      <formula>AND(IF($Q42=3,1,0),IF($X42&lt;30,1,0))</formula>
    </cfRule>
    <cfRule type="expression" dxfId="6740" priority="313">
      <formula>AND(IF($Q42=3,1,IF($Q42=4,1,0)),IF($F42&lt;=85,1,0))</formula>
    </cfRule>
  </conditionalFormatting>
  <conditionalFormatting sqref="AI42">
    <cfRule type="expression" dxfId="6739" priority="306">
      <formula>AND(IF(OR($Q42=1,$Q42=2),1,0),IF($X42&lt;=20,1,0))</formula>
    </cfRule>
    <cfRule type="expression" dxfId="6738" priority="307">
      <formula>AND(IF($Q42=2,1,0),IF($X42&lt;30,1,0))</formula>
    </cfRule>
    <cfRule type="expression" dxfId="6737" priority="308">
      <formula>AND(IF($Q42=3,1,0),IF($X42&lt;30,1,0))</formula>
    </cfRule>
    <cfRule type="expression" dxfId="6736" priority="309">
      <formula>AND(IF($Q42=3,1,IF($Q42=4,1,0)),IF($F42&lt;=85,1,0))</formula>
    </cfRule>
  </conditionalFormatting>
  <conditionalFormatting sqref="AV43">
    <cfRule type="expression" dxfId="6735" priority="304">
      <formula>AV43="X"</formula>
    </cfRule>
    <cfRule type="expression" dxfId="6734" priority="305">
      <formula>AV43="후보"</formula>
    </cfRule>
  </conditionalFormatting>
  <conditionalFormatting sqref="Z43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6733" priority="301" operator="greaterThan">
      <formula>0.9</formula>
    </cfRule>
    <cfRule type="cellIs" dxfId="6732" priority="302" operator="greaterThan">
      <formula>0.85</formula>
    </cfRule>
  </conditionalFormatting>
  <conditionalFormatting sqref="N43">
    <cfRule type="cellIs" dxfId="6731" priority="299" operator="greaterThan">
      <formula>0.9</formula>
    </cfRule>
    <cfRule type="cellIs" dxfId="6730" priority="300" operator="greaterThan">
      <formula>0.85</formula>
    </cfRule>
  </conditionalFormatting>
  <conditionalFormatting sqref="E43">
    <cfRule type="expression" dxfId="6729" priority="295">
      <formula>AND(IF(OR($Q43=1,$Q43=2),1,0),IF($X43&lt;=20,1,0))</formula>
    </cfRule>
    <cfRule type="expression" dxfId="6728" priority="296">
      <formula>AND(IF($Q43=2,1,0),IF($X43&lt;30,1,0))</formula>
    </cfRule>
    <cfRule type="expression" dxfId="6727" priority="297">
      <formula>AND(IF($Q43=3,1,0),IF($X43&lt;30,1,0))</formula>
    </cfRule>
    <cfRule type="expression" dxfId="6726" priority="298">
      <formula>AND(IF($Q43=3,1,IF($Q43=4,1,0)),IF($F43&lt;=85,1,0))</formula>
    </cfRule>
  </conditionalFormatting>
  <conditionalFormatting sqref="X43">
    <cfRule type="expression" dxfId="6725" priority="291">
      <formula>AND(IF(OR($Q43=1,$Q43=2),1,0),IF($X43&lt;=20,1,0))</formula>
    </cfRule>
    <cfRule type="expression" dxfId="6724" priority="292">
      <formula>AND(IF($Q43=2,1,0),IF($X43&lt;30,1,0))</formula>
    </cfRule>
    <cfRule type="expression" dxfId="6723" priority="293">
      <formula>AND(IF($Q43=3,1,0),IF($X43&lt;30,1,0))</formula>
    </cfRule>
    <cfRule type="expression" dxfId="6722" priority="294">
      <formula>AND(IF($Q43=3,1,IF($Q43=4,1,0)),IF($F43&lt;=85,1,0))</formula>
    </cfRule>
  </conditionalFormatting>
  <conditionalFormatting sqref="AI43">
    <cfRule type="expression" dxfId="6721" priority="287">
      <formula>AND(IF(OR($Q43=1,$Q43=2),1,0),IF($X43&lt;=20,1,0))</formula>
    </cfRule>
    <cfRule type="expression" dxfId="6720" priority="288">
      <formula>AND(IF($Q43=2,1,0),IF($X43&lt;30,1,0))</formula>
    </cfRule>
    <cfRule type="expression" dxfId="6719" priority="289">
      <formula>AND(IF($Q43=3,1,0),IF($X43&lt;30,1,0))</formula>
    </cfRule>
    <cfRule type="expression" dxfId="6718" priority="290">
      <formula>AND(IF($Q43=3,1,IF($Q43=4,1,0)),IF($F43&lt;=85,1,0))</formula>
    </cfRule>
  </conditionalFormatting>
  <conditionalFormatting sqref="AV44">
    <cfRule type="expression" dxfId="6717" priority="285">
      <formula>AV44="X"</formula>
    </cfRule>
    <cfRule type="expression" dxfId="6716" priority="286">
      <formula>AV44="후보"</formula>
    </cfRule>
  </conditionalFormatting>
  <conditionalFormatting sqref="Z44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6715" priority="282" operator="greaterThan">
      <formula>0.9</formula>
    </cfRule>
    <cfRule type="cellIs" dxfId="6714" priority="283" operator="greaterThan">
      <formula>0.85</formula>
    </cfRule>
  </conditionalFormatting>
  <conditionalFormatting sqref="AV45">
    <cfRule type="expression" dxfId="6713" priority="280">
      <formula>AV45="X"</formula>
    </cfRule>
    <cfRule type="expression" dxfId="6712" priority="281">
      <formula>AV45="후보"</formula>
    </cfRule>
  </conditionalFormatting>
  <conditionalFormatting sqref="Z45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6711" priority="277" operator="greaterThan">
      <formula>0.9</formula>
    </cfRule>
    <cfRule type="cellIs" dxfId="6710" priority="278" operator="greaterThan">
      <formula>0.85</formula>
    </cfRule>
  </conditionalFormatting>
  <conditionalFormatting sqref="N45">
    <cfRule type="cellIs" dxfId="6709" priority="275" operator="greaterThan">
      <formula>0.9</formula>
    </cfRule>
    <cfRule type="cellIs" dxfId="6708" priority="276" operator="greaterThan">
      <formula>0.85</formula>
    </cfRule>
  </conditionalFormatting>
  <conditionalFormatting sqref="E45">
    <cfRule type="expression" dxfId="6707" priority="271">
      <formula>AND(IF(OR($Q45=1,$Q45=2),1,0),IF($X45&lt;=20,1,0))</formula>
    </cfRule>
    <cfRule type="expression" dxfId="6706" priority="272">
      <formula>AND(IF($Q45=2,1,0),IF($X45&lt;30,1,0))</formula>
    </cfRule>
    <cfRule type="expression" dxfId="6705" priority="273">
      <formula>AND(IF($Q45=3,1,0),IF($X45&lt;30,1,0))</formula>
    </cfRule>
    <cfRule type="expression" dxfId="6704" priority="274">
      <formula>AND(IF($Q45=3,1,IF($Q45=4,1,0)),IF($F45&lt;=85,1,0))</formula>
    </cfRule>
  </conditionalFormatting>
  <conditionalFormatting sqref="X45">
    <cfRule type="expression" dxfId="6703" priority="267">
      <formula>AND(IF(OR($Q45=1,$Q45=2),1,0),IF($X45&lt;=20,1,0))</formula>
    </cfRule>
    <cfRule type="expression" dxfId="6702" priority="268">
      <formula>AND(IF($Q45=2,1,0),IF($X45&lt;30,1,0))</formula>
    </cfRule>
    <cfRule type="expression" dxfId="6701" priority="269">
      <formula>AND(IF($Q45=3,1,0),IF($X45&lt;30,1,0))</formula>
    </cfRule>
    <cfRule type="expression" dxfId="6700" priority="270">
      <formula>AND(IF($Q45=3,1,IF($Q45=4,1,0)),IF($F45&lt;=85,1,0))</formula>
    </cfRule>
  </conditionalFormatting>
  <conditionalFormatting sqref="AI45">
    <cfRule type="expression" dxfId="6699" priority="263">
      <formula>AND(IF(OR($Q45=1,$Q45=2),1,0),IF($X45&lt;=20,1,0))</formula>
    </cfRule>
    <cfRule type="expression" dxfId="6698" priority="264">
      <formula>AND(IF($Q45=2,1,0),IF($X45&lt;30,1,0))</formula>
    </cfRule>
    <cfRule type="expression" dxfId="6697" priority="265">
      <formula>AND(IF($Q45=3,1,0),IF($X45&lt;30,1,0))</formula>
    </cfRule>
    <cfRule type="expression" dxfId="6696" priority="266">
      <formula>AND(IF($Q45=3,1,IF($Q45=4,1,0)),IF($F45&lt;=85,1,0))</formula>
    </cfRule>
  </conditionalFormatting>
  <conditionalFormatting sqref="AV46">
    <cfRule type="expression" dxfId="6695" priority="261">
      <formula>AV46="X"</formula>
    </cfRule>
    <cfRule type="expression" dxfId="6694" priority="262">
      <formula>AV46="후보"</formula>
    </cfRule>
  </conditionalFormatting>
  <conditionalFormatting sqref="Z46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6693" priority="258" operator="greaterThan">
      <formula>0.9</formula>
    </cfRule>
    <cfRule type="cellIs" dxfId="6692" priority="259" operator="greaterThan">
      <formula>0.85</formula>
    </cfRule>
  </conditionalFormatting>
  <conditionalFormatting sqref="N46">
    <cfRule type="cellIs" dxfId="6691" priority="256" operator="greaterThan">
      <formula>0.9</formula>
    </cfRule>
    <cfRule type="cellIs" dxfId="6690" priority="257" operator="greaterThan">
      <formula>0.85</formula>
    </cfRule>
  </conditionalFormatting>
  <conditionalFormatting sqref="E46">
    <cfRule type="expression" dxfId="6689" priority="252">
      <formula>AND(IF(OR($Q46=1,$Q46=2),1,0),IF($X46&lt;=20,1,0))</formula>
    </cfRule>
    <cfRule type="expression" dxfId="6688" priority="253">
      <formula>AND(IF($Q46=2,1,0),IF($X46&lt;30,1,0))</formula>
    </cfRule>
    <cfRule type="expression" dxfId="6687" priority="254">
      <formula>AND(IF($Q46=3,1,0),IF($X46&lt;30,1,0))</formula>
    </cfRule>
    <cfRule type="expression" dxfId="6686" priority="255">
      <formula>AND(IF($Q46=3,1,IF($Q46=4,1,0)),IF($F46&lt;=85,1,0))</formula>
    </cfRule>
  </conditionalFormatting>
  <conditionalFormatting sqref="X46">
    <cfRule type="expression" dxfId="6685" priority="248">
      <formula>AND(IF(OR($Q46=1,$Q46=2),1,0),IF($X46&lt;=20,1,0))</formula>
    </cfRule>
    <cfRule type="expression" dxfId="6684" priority="249">
      <formula>AND(IF($Q46=2,1,0),IF($X46&lt;30,1,0))</formula>
    </cfRule>
    <cfRule type="expression" dxfId="6683" priority="250">
      <formula>AND(IF($Q46=3,1,0),IF($X46&lt;30,1,0))</formula>
    </cfRule>
    <cfRule type="expression" dxfId="6682" priority="251">
      <formula>AND(IF($Q46=3,1,IF($Q46=4,1,0)),IF($F46&lt;=85,1,0))</formula>
    </cfRule>
  </conditionalFormatting>
  <conditionalFormatting sqref="AI46">
    <cfRule type="expression" dxfId="6681" priority="244">
      <formula>AND(IF(OR($Q46=1,$Q46=2),1,0),IF($X46&lt;=20,1,0))</formula>
    </cfRule>
    <cfRule type="expression" dxfId="6680" priority="245">
      <formula>AND(IF($Q46=2,1,0),IF($X46&lt;30,1,0))</formula>
    </cfRule>
    <cfRule type="expression" dxfId="6679" priority="246">
      <formula>AND(IF($Q46=3,1,0),IF($X46&lt;30,1,0))</formula>
    </cfRule>
    <cfRule type="expression" dxfId="6678" priority="247">
      <formula>AND(IF($Q46=3,1,IF($Q46=4,1,0)),IF($F46&lt;=85,1,0))</formula>
    </cfRule>
  </conditionalFormatting>
  <conditionalFormatting sqref="AV47">
    <cfRule type="expression" dxfId="6677" priority="242">
      <formula>AV47="X"</formula>
    </cfRule>
    <cfRule type="expression" dxfId="6676" priority="243">
      <formula>AV47="후보"</formula>
    </cfRule>
  </conditionalFormatting>
  <conditionalFormatting sqref="Z47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6675" priority="239" operator="greaterThan">
      <formula>0.9</formula>
    </cfRule>
    <cfRule type="cellIs" dxfId="6674" priority="240" operator="greaterThan">
      <formula>0.85</formula>
    </cfRule>
  </conditionalFormatting>
  <conditionalFormatting sqref="AV48">
    <cfRule type="expression" dxfId="6673" priority="237">
      <formula>AV48="X"</formula>
    </cfRule>
    <cfRule type="expression" dxfId="6672" priority="238">
      <formula>AV48="후보"</formula>
    </cfRule>
  </conditionalFormatting>
  <conditionalFormatting sqref="Z48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6671" priority="234" operator="greaterThan">
      <formula>0.9</formula>
    </cfRule>
    <cfRule type="cellIs" dxfId="6670" priority="235" operator="greaterThan">
      <formula>0.85</formula>
    </cfRule>
  </conditionalFormatting>
  <conditionalFormatting sqref="N48">
    <cfRule type="cellIs" dxfId="6669" priority="232" operator="greaterThan">
      <formula>0.9</formula>
    </cfRule>
    <cfRule type="cellIs" dxfId="6668" priority="233" operator="greaterThan">
      <formula>0.85</formula>
    </cfRule>
  </conditionalFormatting>
  <conditionalFormatting sqref="E48">
    <cfRule type="expression" dxfId="6667" priority="228">
      <formula>AND(IF(OR($Q48=1,$Q48=2),1,0),IF($X48&lt;=20,1,0))</formula>
    </cfRule>
    <cfRule type="expression" dxfId="6666" priority="229">
      <formula>AND(IF($Q48=2,1,0),IF($X48&lt;30,1,0))</formula>
    </cfRule>
    <cfRule type="expression" dxfId="6665" priority="230">
      <formula>AND(IF($Q48=3,1,0),IF($X48&lt;30,1,0))</formula>
    </cfRule>
    <cfRule type="expression" dxfId="6664" priority="231">
      <formula>AND(IF($Q48=3,1,IF($Q48=4,1,0)),IF($F48&lt;=85,1,0))</formula>
    </cfRule>
  </conditionalFormatting>
  <conditionalFormatting sqref="X48">
    <cfRule type="expression" dxfId="6663" priority="224">
      <formula>AND(IF(OR($Q48=1,$Q48=2),1,0),IF($X48&lt;=20,1,0))</formula>
    </cfRule>
    <cfRule type="expression" dxfId="6662" priority="225">
      <formula>AND(IF($Q48=2,1,0),IF($X48&lt;30,1,0))</formula>
    </cfRule>
    <cfRule type="expression" dxfId="6661" priority="226">
      <formula>AND(IF($Q48=3,1,0),IF($X48&lt;30,1,0))</formula>
    </cfRule>
    <cfRule type="expression" dxfId="6660" priority="227">
      <formula>AND(IF($Q48=3,1,IF($Q48=4,1,0)),IF($F48&lt;=85,1,0))</formula>
    </cfRule>
  </conditionalFormatting>
  <conditionalFormatting sqref="AI48">
    <cfRule type="expression" dxfId="6659" priority="220">
      <formula>AND(IF(OR($Q48=1,$Q48=2),1,0),IF($X48&lt;=20,1,0))</formula>
    </cfRule>
    <cfRule type="expression" dxfId="6658" priority="221">
      <formula>AND(IF($Q48=2,1,0),IF($X48&lt;30,1,0))</formula>
    </cfRule>
    <cfRule type="expression" dxfId="6657" priority="222">
      <formula>AND(IF($Q48=3,1,0),IF($X48&lt;30,1,0))</formula>
    </cfRule>
    <cfRule type="expression" dxfId="6656" priority="223">
      <formula>AND(IF($Q48=3,1,IF($Q48=4,1,0)),IF($F48&lt;=85,1,0))</formula>
    </cfRule>
  </conditionalFormatting>
  <conditionalFormatting sqref="AV49">
    <cfRule type="expression" dxfId="6655" priority="218">
      <formula>AV49="X"</formula>
    </cfRule>
    <cfRule type="expression" dxfId="6654" priority="219">
      <formula>AV49="후보"</formula>
    </cfRule>
  </conditionalFormatting>
  <conditionalFormatting sqref="Z49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6653" priority="215" operator="greaterThan">
      <formula>0.9</formula>
    </cfRule>
    <cfRule type="cellIs" dxfId="6652" priority="216" operator="greaterThan">
      <formula>0.85</formula>
    </cfRule>
  </conditionalFormatting>
  <conditionalFormatting sqref="N49">
    <cfRule type="cellIs" dxfId="6651" priority="213" operator="greaterThan">
      <formula>0.9</formula>
    </cfRule>
    <cfRule type="cellIs" dxfId="6650" priority="214" operator="greaterThan">
      <formula>0.85</formula>
    </cfRule>
  </conditionalFormatting>
  <conditionalFormatting sqref="E49">
    <cfRule type="expression" dxfId="6649" priority="209">
      <formula>AND(IF(OR($Q49=1,$Q49=2),1,0),IF($X49&lt;=20,1,0))</formula>
    </cfRule>
    <cfRule type="expression" dxfId="6648" priority="210">
      <formula>AND(IF($Q49=2,1,0),IF($X49&lt;30,1,0))</formula>
    </cfRule>
    <cfRule type="expression" dxfId="6647" priority="211">
      <formula>AND(IF($Q49=3,1,0),IF($X49&lt;30,1,0))</formula>
    </cfRule>
    <cfRule type="expression" dxfId="6646" priority="212">
      <formula>AND(IF($Q49=3,1,IF($Q49=4,1,0)),IF($F49&lt;=85,1,0))</formula>
    </cfRule>
  </conditionalFormatting>
  <conditionalFormatting sqref="X49">
    <cfRule type="expression" dxfId="6645" priority="205">
      <formula>AND(IF(OR($Q49=1,$Q49=2),1,0),IF($X49&lt;=20,1,0))</formula>
    </cfRule>
    <cfRule type="expression" dxfId="6644" priority="206">
      <formula>AND(IF($Q49=2,1,0),IF($X49&lt;30,1,0))</formula>
    </cfRule>
    <cfRule type="expression" dxfId="6643" priority="207">
      <formula>AND(IF($Q49=3,1,0),IF($X49&lt;30,1,0))</formula>
    </cfRule>
    <cfRule type="expression" dxfId="6642" priority="208">
      <formula>AND(IF($Q49=3,1,IF($Q49=4,1,0)),IF($F49&lt;=85,1,0))</formula>
    </cfRule>
  </conditionalFormatting>
  <conditionalFormatting sqref="AI49">
    <cfRule type="expression" dxfId="6641" priority="201">
      <formula>AND(IF(OR($Q49=1,$Q49=2),1,0),IF($X49&lt;=20,1,0))</formula>
    </cfRule>
    <cfRule type="expression" dxfId="6640" priority="202">
      <formula>AND(IF($Q49=2,1,0),IF($X49&lt;30,1,0))</formula>
    </cfRule>
    <cfRule type="expression" dxfId="6639" priority="203">
      <formula>AND(IF($Q49=3,1,0),IF($X49&lt;30,1,0))</formula>
    </cfRule>
    <cfRule type="expression" dxfId="6638" priority="204">
      <formula>AND(IF($Q49=3,1,IF($Q49=4,1,0)),IF($F49&lt;=85,1,0))</formula>
    </cfRule>
  </conditionalFormatting>
  <conditionalFormatting sqref="AV50">
    <cfRule type="expression" dxfId="6637" priority="199">
      <formula>AV50="X"</formula>
    </cfRule>
    <cfRule type="expression" dxfId="6636" priority="200">
      <formula>AV50="후보"</formula>
    </cfRule>
  </conditionalFormatting>
  <conditionalFormatting sqref="Z50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6635" priority="196" operator="greaterThan">
      <formula>0.9</formula>
    </cfRule>
    <cfRule type="cellIs" dxfId="6634" priority="197" operator="greaterThan">
      <formula>0.85</formula>
    </cfRule>
  </conditionalFormatting>
  <conditionalFormatting sqref="N50">
    <cfRule type="cellIs" dxfId="6633" priority="194" operator="greaterThan">
      <formula>0.9</formula>
    </cfRule>
    <cfRule type="cellIs" dxfId="6632" priority="195" operator="greaterThan">
      <formula>0.85</formula>
    </cfRule>
  </conditionalFormatting>
  <conditionalFormatting sqref="E50">
    <cfRule type="expression" dxfId="6631" priority="190">
      <formula>AND(IF(OR($Q50=1,$Q50=2),1,0),IF($X50&lt;=20,1,0))</formula>
    </cfRule>
    <cfRule type="expression" dxfId="6630" priority="191">
      <formula>AND(IF($Q50=2,1,0),IF($X50&lt;30,1,0))</formula>
    </cfRule>
    <cfRule type="expression" dxfId="6629" priority="192">
      <formula>AND(IF($Q50=3,1,0),IF($X50&lt;30,1,0))</formula>
    </cfRule>
    <cfRule type="expression" dxfId="6628" priority="193">
      <formula>AND(IF($Q50=3,1,IF($Q50=4,1,0)),IF($F50&lt;=85,1,0))</formula>
    </cfRule>
  </conditionalFormatting>
  <conditionalFormatting sqref="X50">
    <cfRule type="expression" dxfId="6627" priority="186">
      <formula>AND(IF(OR($Q50=1,$Q50=2),1,0),IF($X50&lt;=20,1,0))</formula>
    </cfRule>
    <cfRule type="expression" dxfId="6626" priority="187">
      <formula>AND(IF($Q50=2,1,0),IF($X50&lt;30,1,0))</formula>
    </cfRule>
    <cfRule type="expression" dxfId="6625" priority="188">
      <formula>AND(IF($Q50=3,1,0),IF($X50&lt;30,1,0))</formula>
    </cfRule>
    <cfRule type="expression" dxfId="6624" priority="189">
      <formula>AND(IF($Q50=3,1,IF($Q50=4,1,0)),IF($F50&lt;=85,1,0))</formula>
    </cfRule>
  </conditionalFormatting>
  <conditionalFormatting sqref="AI50">
    <cfRule type="expression" dxfId="6623" priority="182">
      <formula>AND(IF(OR($Q50=1,$Q50=2),1,0),IF($X50&lt;=20,1,0))</formula>
    </cfRule>
    <cfRule type="expression" dxfId="6622" priority="183">
      <formula>AND(IF($Q50=2,1,0),IF($X50&lt;30,1,0))</formula>
    </cfRule>
    <cfRule type="expression" dxfId="6621" priority="184">
      <formula>AND(IF($Q50=3,1,0),IF($X50&lt;30,1,0))</formula>
    </cfRule>
    <cfRule type="expression" dxfId="6620" priority="185">
      <formula>AND(IF($Q50=3,1,IF($Q50=4,1,0)),IF($F50&lt;=85,1,0))</formula>
    </cfRule>
  </conditionalFormatting>
  <conditionalFormatting sqref="AV51">
    <cfRule type="expression" dxfId="6619" priority="180">
      <formula>AV51="X"</formula>
    </cfRule>
    <cfRule type="expression" dxfId="6618" priority="181">
      <formula>AV51="후보"</formula>
    </cfRule>
  </conditionalFormatting>
  <conditionalFormatting sqref="Z51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6617" priority="177" operator="greaterThan">
      <formula>0.9</formula>
    </cfRule>
    <cfRule type="cellIs" dxfId="6616" priority="178" operator="greaterThan">
      <formula>0.85</formula>
    </cfRule>
  </conditionalFormatting>
  <conditionalFormatting sqref="N51">
    <cfRule type="cellIs" dxfId="6615" priority="175" operator="greaterThan">
      <formula>0.9</formula>
    </cfRule>
    <cfRule type="cellIs" dxfId="6614" priority="176" operator="greaterThan">
      <formula>0.85</formula>
    </cfRule>
  </conditionalFormatting>
  <conditionalFormatting sqref="E51">
    <cfRule type="expression" dxfId="6613" priority="171">
      <formula>AND(IF(OR($Q51=1,$Q51=2),1,0),IF($X51&lt;=20,1,0))</formula>
    </cfRule>
    <cfRule type="expression" dxfId="6612" priority="172">
      <formula>AND(IF($Q51=2,1,0),IF($X51&lt;30,1,0))</formula>
    </cfRule>
    <cfRule type="expression" dxfId="6611" priority="173">
      <formula>AND(IF($Q51=3,1,0),IF($X51&lt;30,1,0))</formula>
    </cfRule>
    <cfRule type="expression" dxfId="6610" priority="174">
      <formula>AND(IF($Q51=3,1,IF($Q51=4,1,0)),IF($F51&lt;=85,1,0))</formula>
    </cfRule>
  </conditionalFormatting>
  <conditionalFormatting sqref="X51">
    <cfRule type="expression" dxfId="6609" priority="167">
      <formula>AND(IF(OR($Q51=1,$Q51=2),1,0),IF($X51&lt;=20,1,0))</formula>
    </cfRule>
    <cfRule type="expression" dxfId="6608" priority="168">
      <formula>AND(IF($Q51=2,1,0),IF($X51&lt;30,1,0))</formula>
    </cfRule>
    <cfRule type="expression" dxfId="6607" priority="169">
      <formula>AND(IF($Q51=3,1,0),IF($X51&lt;30,1,0))</formula>
    </cfRule>
    <cfRule type="expression" dxfId="6606" priority="170">
      <formula>AND(IF($Q51=3,1,IF($Q51=4,1,0)),IF($F51&lt;=85,1,0))</formula>
    </cfRule>
  </conditionalFormatting>
  <conditionalFormatting sqref="AI51">
    <cfRule type="expression" dxfId="6605" priority="163">
      <formula>AND(IF(OR($Q51=1,$Q51=2),1,0),IF($X51&lt;=20,1,0))</formula>
    </cfRule>
    <cfRule type="expression" dxfId="6604" priority="164">
      <formula>AND(IF($Q51=2,1,0),IF($X51&lt;30,1,0))</formula>
    </cfRule>
    <cfRule type="expression" dxfId="6603" priority="165">
      <formula>AND(IF($Q51=3,1,0),IF($X51&lt;30,1,0))</formula>
    </cfRule>
    <cfRule type="expression" dxfId="6602" priority="166">
      <formula>AND(IF($Q51=3,1,IF($Q51=4,1,0)),IF($F51&lt;=85,1,0))</formula>
    </cfRule>
  </conditionalFormatting>
  <conditionalFormatting sqref="AV52">
    <cfRule type="expression" dxfId="6601" priority="161">
      <formula>AV52="X"</formula>
    </cfRule>
    <cfRule type="expression" dxfId="6600" priority="162">
      <formula>AV52="후보"</formula>
    </cfRule>
  </conditionalFormatting>
  <conditionalFormatting sqref="Z52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6599" priority="158" operator="greaterThan">
      <formula>0.9</formula>
    </cfRule>
    <cfRule type="cellIs" dxfId="6598" priority="159" operator="greaterThan">
      <formula>0.85</formula>
    </cfRule>
  </conditionalFormatting>
  <conditionalFormatting sqref="N52">
    <cfRule type="cellIs" dxfId="6597" priority="156" operator="greaterThan">
      <formula>0.9</formula>
    </cfRule>
    <cfRule type="cellIs" dxfId="6596" priority="157" operator="greaterThan">
      <formula>0.85</formula>
    </cfRule>
  </conditionalFormatting>
  <conditionalFormatting sqref="E52">
    <cfRule type="expression" dxfId="6595" priority="152">
      <formula>AND(IF(OR($Q52=1,$Q52=2),1,0),IF($X52&lt;=20,1,0))</formula>
    </cfRule>
    <cfRule type="expression" dxfId="6594" priority="153">
      <formula>AND(IF($Q52=2,1,0),IF($X52&lt;30,1,0))</formula>
    </cfRule>
    <cfRule type="expression" dxfId="6593" priority="154">
      <formula>AND(IF($Q52=3,1,0),IF($X52&lt;30,1,0))</formula>
    </cfRule>
    <cfRule type="expression" dxfId="6592" priority="155">
      <formula>AND(IF($Q52=3,1,IF($Q52=4,1,0)),IF($F52&lt;=85,1,0))</formula>
    </cfRule>
  </conditionalFormatting>
  <conditionalFormatting sqref="X52">
    <cfRule type="expression" dxfId="6591" priority="148">
      <formula>AND(IF(OR($Q52=1,$Q52=2),1,0),IF($X52&lt;=20,1,0))</formula>
    </cfRule>
    <cfRule type="expression" dxfId="6590" priority="149">
      <formula>AND(IF($Q52=2,1,0),IF($X52&lt;30,1,0))</formula>
    </cfRule>
    <cfRule type="expression" dxfId="6589" priority="150">
      <formula>AND(IF($Q52=3,1,0),IF($X52&lt;30,1,0))</formula>
    </cfRule>
    <cfRule type="expression" dxfId="6588" priority="151">
      <formula>AND(IF($Q52=3,1,IF($Q52=4,1,0)),IF($F52&lt;=85,1,0))</formula>
    </cfRule>
  </conditionalFormatting>
  <conditionalFormatting sqref="AI52">
    <cfRule type="expression" dxfId="6587" priority="144">
      <formula>AND(IF(OR($Q52=1,$Q52=2),1,0),IF($X52&lt;=20,1,0))</formula>
    </cfRule>
    <cfRule type="expression" dxfId="6586" priority="145">
      <formula>AND(IF($Q52=2,1,0),IF($X52&lt;30,1,0))</formula>
    </cfRule>
    <cfRule type="expression" dxfId="6585" priority="146">
      <formula>AND(IF($Q52=3,1,0),IF($X52&lt;30,1,0))</formula>
    </cfRule>
    <cfRule type="expression" dxfId="6584" priority="147">
      <formula>AND(IF($Q52=3,1,IF($Q52=4,1,0)),IF($F52&lt;=85,1,0))</formula>
    </cfRule>
  </conditionalFormatting>
  <conditionalFormatting sqref="AV53">
    <cfRule type="expression" dxfId="6583" priority="142">
      <formula>AV53="X"</formula>
    </cfRule>
    <cfRule type="expression" dxfId="6582" priority="143">
      <formula>AV53="후보"</formula>
    </cfRule>
  </conditionalFormatting>
  <conditionalFormatting sqref="Z53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6581" priority="139" operator="greaterThan">
      <formula>0.9</formula>
    </cfRule>
    <cfRule type="cellIs" dxfId="6580" priority="140" operator="greaterThan">
      <formula>0.85</formula>
    </cfRule>
  </conditionalFormatting>
  <conditionalFormatting sqref="N53">
    <cfRule type="cellIs" dxfId="6579" priority="137" operator="greaterThan">
      <formula>0.9</formula>
    </cfRule>
    <cfRule type="cellIs" dxfId="6578" priority="138" operator="greaterThan">
      <formula>0.85</formula>
    </cfRule>
  </conditionalFormatting>
  <conditionalFormatting sqref="E53">
    <cfRule type="expression" dxfId="6577" priority="133">
      <formula>AND(IF(OR($Q53=1,$Q53=2),1,0),IF($X53&lt;=20,1,0))</formula>
    </cfRule>
    <cfRule type="expression" dxfId="6576" priority="134">
      <formula>AND(IF($Q53=2,1,0),IF($X53&lt;30,1,0))</formula>
    </cfRule>
    <cfRule type="expression" dxfId="6575" priority="135">
      <formula>AND(IF($Q53=3,1,0),IF($X53&lt;30,1,0))</formula>
    </cfRule>
    <cfRule type="expression" dxfId="6574" priority="136">
      <formula>AND(IF($Q53=3,1,IF($Q53=4,1,0)),IF($F53&lt;=85,1,0))</formula>
    </cfRule>
  </conditionalFormatting>
  <conditionalFormatting sqref="X53">
    <cfRule type="expression" dxfId="6573" priority="129">
      <formula>AND(IF(OR($Q53=1,$Q53=2),1,0),IF($X53&lt;=20,1,0))</formula>
    </cfRule>
    <cfRule type="expression" dxfId="6572" priority="130">
      <formula>AND(IF($Q53=2,1,0),IF($X53&lt;30,1,0))</formula>
    </cfRule>
    <cfRule type="expression" dxfId="6571" priority="131">
      <formula>AND(IF($Q53=3,1,0),IF($X53&lt;30,1,0))</formula>
    </cfRule>
    <cfRule type="expression" dxfId="6570" priority="132">
      <formula>AND(IF($Q53=3,1,IF($Q53=4,1,0)),IF($F53&lt;=85,1,0))</formula>
    </cfRule>
  </conditionalFormatting>
  <conditionalFormatting sqref="AI53">
    <cfRule type="expression" dxfId="6569" priority="125">
      <formula>AND(IF(OR($Q53=1,$Q53=2),1,0),IF($X53&lt;=20,1,0))</formula>
    </cfRule>
    <cfRule type="expression" dxfId="6568" priority="126">
      <formula>AND(IF($Q53=2,1,0),IF($X53&lt;30,1,0))</formula>
    </cfRule>
    <cfRule type="expression" dxfId="6567" priority="127">
      <formula>AND(IF($Q53=3,1,0),IF($X53&lt;30,1,0))</formula>
    </cfRule>
    <cfRule type="expression" dxfId="6566" priority="128">
      <formula>AND(IF($Q53=3,1,IF($Q53=4,1,0)),IF($F53&lt;=85,1,0))</formula>
    </cfRule>
  </conditionalFormatting>
  <conditionalFormatting sqref="AV54">
    <cfRule type="expression" dxfId="6565" priority="123">
      <formula>AV54="X"</formula>
    </cfRule>
    <cfRule type="expression" dxfId="6564" priority="124">
      <formula>AV54="후보"</formula>
    </cfRule>
  </conditionalFormatting>
  <conditionalFormatting sqref="Z54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6563" priority="120" operator="greaterThan">
      <formula>0.9</formula>
    </cfRule>
    <cfRule type="cellIs" dxfId="6562" priority="121" operator="greaterThan">
      <formula>0.85</formula>
    </cfRule>
  </conditionalFormatting>
  <conditionalFormatting sqref="N54">
    <cfRule type="cellIs" dxfId="6561" priority="118" operator="greaterThan">
      <formula>0.9</formula>
    </cfRule>
    <cfRule type="cellIs" dxfId="6560" priority="119" operator="greaterThan">
      <formula>0.85</formula>
    </cfRule>
  </conditionalFormatting>
  <conditionalFormatting sqref="E54">
    <cfRule type="expression" dxfId="6559" priority="114">
      <formula>AND(IF(OR($Q54=1,$Q54=2),1,0),IF($X54&lt;=20,1,0))</formula>
    </cfRule>
    <cfRule type="expression" dxfId="6558" priority="115">
      <formula>AND(IF($Q54=2,1,0),IF($X54&lt;30,1,0))</formula>
    </cfRule>
    <cfRule type="expression" dxfId="6557" priority="116">
      <formula>AND(IF($Q54=3,1,0),IF($X54&lt;30,1,0))</formula>
    </cfRule>
    <cfRule type="expression" dxfId="6556" priority="117">
      <formula>AND(IF($Q54=3,1,IF($Q54=4,1,0)),IF($F54&lt;=85,1,0))</formula>
    </cfRule>
  </conditionalFormatting>
  <conditionalFormatting sqref="X54">
    <cfRule type="expression" dxfId="6555" priority="110">
      <formula>AND(IF(OR($Q54=1,$Q54=2),1,0),IF($X54&lt;=20,1,0))</formula>
    </cfRule>
    <cfRule type="expression" dxfId="6554" priority="111">
      <formula>AND(IF($Q54=2,1,0),IF($X54&lt;30,1,0))</formula>
    </cfRule>
    <cfRule type="expression" dxfId="6553" priority="112">
      <formula>AND(IF($Q54=3,1,0),IF($X54&lt;30,1,0))</formula>
    </cfRule>
    <cfRule type="expression" dxfId="6552" priority="113">
      <formula>AND(IF($Q54=3,1,IF($Q54=4,1,0)),IF($F54&lt;=85,1,0))</formula>
    </cfRule>
  </conditionalFormatting>
  <conditionalFormatting sqref="AI54">
    <cfRule type="expression" dxfId="6551" priority="106">
      <formula>AND(IF(OR($Q54=1,$Q54=2),1,0),IF($X54&lt;=20,1,0))</formula>
    </cfRule>
    <cfRule type="expression" dxfId="6550" priority="107">
      <formula>AND(IF($Q54=2,1,0),IF($X54&lt;30,1,0))</formula>
    </cfRule>
    <cfRule type="expression" dxfId="6549" priority="108">
      <formula>AND(IF($Q54=3,1,0),IF($X54&lt;30,1,0))</formula>
    </cfRule>
    <cfRule type="expression" dxfId="6548" priority="109">
      <formula>AND(IF($Q54=3,1,IF($Q54=4,1,0)),IF($F54&lt;=85,1,0))</formula>
    </cfRule>
  </conditionalFormatting>
  <conditionalFormatting sqref="AV55">
    <cfRule type="expression" dxfId="6547" priority="104">
      <formula>AV55="X"</formula>
    </cfRule>
    <cfRule type="expression" dxfId="6546" priority="105">
      <formula>AV55="후보"</formula>
    </cfRule>
  </conditionalFormatting>
  <conditionalFormatting sqref="Z55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6545" priority="101" operator="greaterThan">
      <formula>0.9</formula>
    </cfRule>
    <cfRule type="cellIs" dxfId="6544" priority="102" operator="greaterThan">
      <formula>0.85</formula>
    </cfRule>
  </conditionalFormatting>
  <conditionalFormatting sqref="N55">
    <cfRule type="cellIs" dxfId="6543" priority="99" operator="greaterThan">
      <formula>0.9</formula>
    </cfRule>
    <cfRule type="cellIs" dxfId="6542" priority="100" operator="greaterThan">
      <formula>0.85</formula>
    </cfRule>
  </conditionalFormatting>
  <conditionalFormatting sqref="E55">
    <cfRule type="expression" dxfId="6541" priority="95">
      <formula>AND(IF(OR($Q55=1,$Q55=2),1,0),IF($X55&lt;=20,1,0))</formula>
    </cfRule>
    <cfRule type="expression" dxfId="6540" priority="96">
      <formula>AND(IF($Q55=2,1,0),IF($X55&lt;30,1,0))</formula>
    </cfRule>
    <cfRule type="expression" dxfId="6539" priority="97">
      <formula>AND(IF($Q55=3,1,0),IF($X55&lt;30,1,0))</formula>
    </cfRule>
    <cfRule type="expression" dxfId="6538" priority="98">
      <formula>AND(IF($Q55=3,1,IF($Q55=4,1,0)),IF($F55&lt;=85,1,0))</formula>
    </cfRule>
  </conditionalFormatting>
  <conditionalFormatting sqref="X55">
    <cfRule type="expression" dxfId="6537" priority="91">
      <formula>AND(IF(OR($Q55=1,$Q55=2),1,0),IF($X55&lt;=20,1,0))</formula>
    </cfRule>
    <cfRule type="expression" dxfId="6536" priority="92">
      <formula>AND(IF($Q55=2,1,0),IF($X55&lt;30,1,0))</formula>
    </cfRule>
    <cfRule type="expression" dxfId="6535" priority="93">
      <formula>AND(IF($Q55=3,1,0),IF($X55&lt;30,1,0))</formula>
    </cfRule>
    <cfRule type="expression" dxfId="6534" priority="94">
      <formula>AND(IF($Q55=3,1,IF($Q55=4,1,0)),IF($F55&lt;=85,1,0))</formula>
    </cfRule>
  </conditionalFormatting>
  <conditionalFormatting sqref="AI55">
    <cfRule type="expression" dxfId="6533" priority="87">
      <formula>AND(IF(OR($Q55=1,$Q55=2),1,0),IF($X55&lt;=20,1,0))</formula>
    </cfRule>
    <cfRule type="expression" dxfId="6532" priority="88">
      <formula>AND(IF($Q55=2,1,0),IF($X55&lt;30,1,0))</formula>
    </cfRule>
    <cfRule type="expression" dxfId="6531" priority="89">
      <formula>AND(IF($Q55=3,1,0),IF($X55&lt;30,1,0))</formula>
    </cfRule>
    <cfRule type="expression" dxfId="6530" priority="90">
      <formula>AND(IF($Q55=3,1,IF($Q55=4,1,0)),IF($F55&lt;=85,1,0))</formula>
    </cfRule>
  </conditionalFormatting>
  <conditionalFormatting sqref="AV56">
    <cfRule type="expression" dxfId="6529" priority="85">
      <formula>AV56="X"</formula>
    </cfRule>
    <cfRule type="expression" dxfId="6528" priority="86">
      <formula>AV56="후보"</formula>
    </cfRule>
  </conditionalFormatting>
  <conditionalFormatting sqref="Z56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6527" priority="82" operator="greaterThan">
      <formula>0.9</formula>
    </cfRule>
    <cfRule type="cellIs" dxfId="6526" priority="83" operator="greaterThan">
      <formula>0.85</formula>
    </cfRule>
  </conditionalFormatting>
  <conditionalFormatting sqref="N56">
    <cfRule type="cellIs" dxfId="6525" priority="80" operator="greaterThan">
      <formula>0.9</formula>
    </cfRule>
    <cfRule type="cellIs" dxfId="6524" priority="81" operator="greaterThan">
      <formula>0.85</formula>
    </cfRule>
  </conditionalFormatting>
  <conditionalFormatting sqref="E56">
    <cfRule type="expression" dxfId="6523" priority="76">
      <formula>AND(IF(OR($Q56=1,$Q56=2),1,0),IF($X56&lt;=20,1,0))</formula>
    </cfRule>
    <cfRule type="expression" dxfId="6522" priority="77">
      <formula>AND(IF($Q56=2,1,0),IF($X56&lt;30,1,0))</formula>
    </cfRule>
    <cfRule type="expression" dxfId="6521" priority="78">
      <formula>AND(IF($Q56=3,1,0),IF($X56&lt;30,1,0))</formula>
    </cfRule>
    <cfRule type="expression" dxfId="6520" priority="79">
      <formula>AND(IF($Q56=3,1,IF($Q56=4,1,0)),IF($F56&lt;=85,1,0))</formula>
    </cfRule>
  </conditionalFormatting>
  <conditionalFormatting sqref="X56">
    <cfRule type="expression" dxfId="6519" priority="72">
      <formula>AND(IF(OR($Q56=1,$Q56=2),1,0),IF($X56&lt;=20,1,0))</formula>
    </cfRule>
    <cfRule type="expression" dxfId="6518" priority="73">
      <formula>AND(IF($Q56=2,1,0),IF($X56&lt;30,1,0))</formula>
    </cfRule>
    <cfRule type="expression" dxfId="6517" priority="74">
      <formula>AND(IF($Q56=3,1,0),IF($X56&lt;30,1,0))</formula>
    </cfRule>
    <cfRule type="expression" dxfId="6516" priority="75">
      <formula>AND(IF($Q56=3,1,IF($Q56=4,1,0)),IF($F56&lt;=85,1,0))</formula>
    </cfRule>
  </conditionalFormatting>
  <conditionalFormatting sqref="AI56">
    <cfRule type="expression" dxfId="6515" priority="68">
      <formula>AND(IF(OR($Q56=1,$Q56=2),1,0),IF($X56&lt;=20,1,0))</formula>
    </cfRule>
    <cfRule type="expression" dxfId="6514" priority="69">
      <formula>AND(IF($Q56=2,1,0),IF($X56&lt;30,1,0))</formula>
    </cfRule>
    <cfRule type="expression" dxfId="6513" priority="70">
      <formula>AND(IF($Q56=3,1,0),IF($X56&lt;30,1,0))</formula>
    </cfRule>
    <cfRule type="expression" dxfId="6512" priority="71">
      <formula>AND(IF($Q56=3,1,IF($Q56=4,1,0)),IF($F56&lt;=85,1,0))</formula>
    </cfRule>
  </conditionalFormatting>
  <conditionalFormatting sqref="AV57">
    <cfRule type="expression" dxfId="6511" priority="66">
      <formula>AV57="X"</formula>
    </cfRule>
    <cfRule type="expression" dxfId="6510" priority="67">
      <formula>AV57="후보"</formula>
    </cfRule>
  </conditionalFormatting>
  <conditionalFormatting sqref="Z57">
    <cfRule type="colorScale" priority="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6509" priority="63" operator="greaterThan">
      <formula>0.9</formula>
    </cfRule>
    <cfRule type="cellIs" dxfId="6508" priority="64" operator="greaterThan">
      <formula>0.85</formula>
    </cfRule>
  </conditionalFormatting>
  <conditionalFormatting sqref="N57">
    <cfRule type="cellIs" dxfId="6507" priority="61" operator="greaterThan">
      <formula>0.9</formula>
    </cfRule>
    <cfRule type="cellIs" dxfId="6506" priority="62" operator="greaterThan">
      <formula>0.85</formula>
    </cfRule>
  </conditionalFormatting>
  <conditionalFormatting sqref="E57">
    <cfRule type="expression" dxfId="6505" priority="57">
      <formula>AND(IF(OR($Q57=1,$Q57=2),1,0),IF($X57&lt;=20,1,0))</formula>
    </cfRule>
    <cfRule type="expression" dxfId="6504" priority="58">
      <formula>AND(IF($Q57=2,1,0),IF($X57&lt;30,1,0))</formula>
    </cfRule>
    <cfRule type="expression" dxfId="6503" priority="59">
      <formula>AND(IF($Q57=3,1,0),IF($X57&lt;30,1,0))</formula>
    </cfRule>
    <cfRule type="expression" dxfId="6502" priority="60">
      <formula>AND(IF($Q57=3,1,IF($Q57=4,1,0)),IF($F57&lt;=85,1,0))</formula>
    </cfRule>
  </conditionalFormatting>
  <conditionalFormatting sqref="X57">
    <cfRule type="expression" dxfId="6501" priority="53">
      <formula>AND(IF(OR($Q57=1,$Q57=2),1,0),IF($X57&lt;=20,1,0))</formula>
    </cfRule>
    <cfRule type="expression" dxfId="6500" priority="54">
      <formula>AND(IF($Q57=2,1,0),IF($X57&lt;30,1,0))</formula>
    </cfRule>
    <cfRule type="expression" dxfId="6499" priority="55">
      <formula>AND(IF($Q57=3,1,0),IF($X57&lt;30,1,0))</formula>
    </cfRule>
    <cfRule type="expression" dxfId="6498" priority="56">
      <formula>AND(IF($Q57=3,1,IF($Q57=4,1,0)),IF($F57&lt;=85,1,0))</formula>
    </cfRule>
  </conditionalFormatting>
  <conditionalFormatting sqref="AI57">
    <cfRule type="expression" dxfId="6497" priority="49">
      <formula>AND(IF(OR($Q57=1,$Q57=2),1,0),IF($X57&lt;=20,1,0))</formula>
    </cfRule>
    <cfRule type="expression" dxfId="6496" priority="50">
      <formula>AND(IF($Q57=2,1,0),IF($X57&lt;30,1,0))</formula>
    </cfRule>
    <cfRule type="expression" dxfId="6495" priority="51">
      <formula>AND(IF($Q57=3,1,0),IF($X57&lt;30,1,0))</formula>
    </cfRule>
    <cfRule type="expression" dxfId="6494" priority="52">
      <formula>AND(IF($Q57=3,1,IF($Q57=4,1,0)),IF($F57&lt;=85,1,0))</formula>
    </cfRule>
  </conditionalFormatting>
  <conditionalFormatting sqref="AV58">
    <cfRule type="expression" dxfId="6493" priority="47">
      <formula>AV58="X"</formula>
    </cfRule>
    <cfRule type="expression" dxfId="6492" priority="48">
      <formula>AV58="후보"</formula>
    </cfRule>
  </conditionalFormatting>
  <conditionalFormatting sqref="Z58">
    <cfRule type="colorScale" priority="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6491" priority="44" operator="greaterThan">
      <formula>0.9</formula>
    </cfRule>
    <cfRule type="cellIs" dxfId="6490" priority="45" operator="greaterThan">
      <formula>0.85</formula>
    </cfRule>
  </conditionalFormatting>
  <conditionalFormatting sqref="AV59">
    <cfRule type="expression" dxfId="6489" priority="42">
      <formula>AV59="X"</formula>
    </cfRule>
    <cfRule type="expression" dxfId="6488" priority="43">
      <formula>AV59="후보"</formula>
    </cfRule>
  </conditionalFormatting>
  <conditionalFormatting sqref="Z59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6487" priority="39" operator="greaterThan">
      <formula>0.9</formula>
    </cfRule>
    <cfRule type="cellIs" dxfId="6486" priority="40" operator="greaterThan">
      <formula>0.85</formula>
    </cfRule>
  </conditionalFormatting>
  <conditionalFormatting sqref="N59">
    <cfRule type="cellIs" dxfId="6485" priority="37" operator="greaterThan">
      <formula>0.9</formula>
    </cfRule>
    <cfRule type="cellIs" dxfId="6484" priority="38" operator="greaterThan">
      <formula>0.85</formula>
    </cfRule>
  </conditionalFormatting>
  <conditionalFormatting sqref="E59">
    <cfRule type="expression" dxfId="6483" priority="33">
      <formula>AND(IF(OR($Q59=1,$Q59=2),1,0),IF($X59&lt;=20,1,0))</formula>
    </cfRule>
    <cfRule type="expression" dxfId="6482" priority="34">
      <formula>AND(IF($Q59=2,1,0),IF($X59&lt;30,1,0))</formula>
    </cfRule>
    <cfRule type="expression" dxfId="6481" priority="35">
      <formula>AND(IF($Q59=3,1,0),IF($X59&lt;30,1,0))</formula>
    </cfRule>
    <cfRule type="expression" dxfId="6480" priority="36">
      <formula>AND(IF($Q59=3,1,IF($Q59=4,1,0)),IF($F59&lt;=85,1,0))</formula>
    </cfRule>
  </conditionalFormatting>
  <conditionalFormatting sqref="X59">
    <cfRule type="expression" dxfId="6479" priority="29">
      <formula>AND(IF(OR($Q59=1,$Q59=2),1,0),IF($X59&lt;=20,1,0))</formula>
    </cfRule>
    <cfRule type="expression" dxfId="6478" priority="30">
      <formula>AND(IF($Q59=2,1,0),IF($X59&lt;30,1,0))</formula>
    </cfRule>
    <cfRule type="expression" dxfId="6477" priority="31">
      <formula>AND(IF($Q59=3,1,0),IF($X59&lt;30,1,0))</formula>
    </cfRule>
    <cfRule type="expression" dxfId="6476" priority="32">
      <formula>AND(IF($Q59=3,1,IF($Q59=4,1,0)),IF($F59&lt;=85,1,0))</formula>
    </cfRule>
  </conditionalFormatting>
  <conditionalFormatting sqref="AI59">
    <cfRule type="expression" dxfId="6475" priority="25">
      <formula>AND(IF(OR($Q59=1,$Q59=2),1,0),IF($X59&lt;=20,1,0))</formula>
    </cfRule>
    <cfRule type="expression" dxfId="6474" priority="26">
      <formula>AND(IF($Q59=2,1,0),IF($X59&lt;30,1,0))</formula>
    </cfRule>
    <cfRule type="expression" dxfId="6473" priority="27">
      <formula>AND(IF($Q59=3,1,0),IF($X59&lt;30,1,0))</formula>
    </cfRule>
    <cfRule type="expression" dxfId="6472" priority="28">
      <formula>AND(IF($Q59=3,1,IF($Q59=4,1,0)),IF($F59&lt;=85,1,0))</formula>
    </cfRule>
  </conditionalFormatting>
  <conditionalFormatting sqref="AV60">
    <cfRule type="expression" dxfId="6471" priority="23">
      <formula>AV60="X"</formula>
    </cfRule>
    <cfRule type="expression" dxfId="6470" priority="24">
      <formula>AV60="후보"</formula>
    </cfRule>
  </conditionalFormatting>
  <conditionalFormatting sqref="Z60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6469" priority="20" operator="greaterThan">
      <formula>0.9</formula>
    </cfRule>
    <cfRule type="cellIs" dxfId="6468" priority="21" operator="greaterThan">
      <formula>0.85</formula>
    </cfRule>
  </conditionalFormatting>
  <conditionalFormatting sqref="AV61">
    <cfRule type="expression" dxfId="6467" priority="18">
      <formula>AV61="X"</formula>
    </cfRule>
    <cfRule type="expression" dxfId="6466" priority="19">
      <formula>AV61="후보"</formula>
    </cfRule>
  </conditionalFormatting>
  <conditionalFormatting sqref="Z6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6465" priority="15" operator="greaterThan">
      <formula>0.9</formula>
    </cfRule>
    <cfRule type="cellIs" dxfId="6464" priority="16" operator="greaterThan">
      <formula>0.85</formula>
    </cfRule>
  </conditionalFormatting>
  <conditionalFormatting sqref="N61">
    <cfRule type="cellIs" dxfId="6463" priority="13" operator="greaterThan">
      <formula>0.9</formula>
    </cfRule>
    <cfRule type="cellIs" dxfId="6462" priority="14" operator="greaterThan">
      <formula>0.85</formula>
    </cfRule>
  </conditionalFormatting>
  <conditionalFormatting sqref="E61">
    <cfRule type="expression" dxfId="6461" priority="9">
      <formula>AND(IF(OR($Q61=1,$Q61=2),1,0),IF($X61&lt;=20,1,0))</formula>
    </cfRule>
    <cfRule type="expression" dxfId="6460" priority="10">
      <formula>AND(IF($Q61=2,1,0),IF($X61&lt;30,1,0))</formula>
    </cfRule>
    <cfRule type="expression" dxfId="6459" priority="11">
      <formula>AND(IF($Q61=3,1,0),IF($X61&lt;30,1,0))</formula>
    </cfRule>
    <cfRule type="expression" dxfId="6458" priority="12">
      <formula>AND(IF($Q61=3,1,IF($Q61=4,1,0)),IF($F61&lt;=85,1,0))</formula>
    </cfRule>
  </conditionalFormatting>
  <conditionalFormatting sqref="X61">
    <cfRule type="expression" dxfId="6457" priority="5">
      <formula>AND(IF(OR($Q61=1,$Q61=2),1,0),IF($X61&lt;=20,1,0))</formula>
    </cfRule>
    <cfRule type="expression" dxfId="6456" priority="6">
      <formula>AND(IF($Q61=2,1,0),IF($X61&lt;30,1,0))</formula>
    </cfRule>
    <cfRule type="expression" dxfId="6455" priority="7">
      <formula>AND(IF($Q61=3,1,0),IF($X61&lt;30,1,0))</formula>
    </cfRule>
    <cfRule type="expression" dxfId="6454" priority="8">
      <formula>AND(IF($Q61=3,1,IF($Q61=4,1,0)),IF($F61&lt;=85,1,0))</formula>
    </cfRule>
  </conditionalFormatting>
  <conditionalFormatting sqref="AI61">
    <cfRule type="expression" dxfId="6453" priority="1">
      <formula>AND(IF(OR($Q61=1,$Q61=2),1,0),IF($X61&lt;=20,1,0))</formula>
    </cfRule>
    <cfRule type="expression" dxfId="6452" priority="2">
      <formula>AND(IF($Q61=2,1,0),IF($X61&lt;30,1,0))</formula>
    </cfRule>
    <cfRule type="expression" dxfId="6451" priority="3">
      <formula>AND(IF($Q61=3,1,0),IF($X61&lt;30,1,0))</formula>
    </cfRule>
    <cfRule type="expression" dxfId="6450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숭의동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3134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숭의동 도원역서희스타힐스크루즈시티(주)('22.04.,992^)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3135</v>
      </c>
      <c r="B6" s="16" t="s">
        <v>3136</v>
      </c>
      <c r="C6" s="28">
        <v>992</v>
      </c>
      <c r="D6" s="25">
        <v>87.3</v>
      </c>
      <c r="E6" s="106">
        <v>26</v>
      </c>
      <c r="F6" s="25">
        <v>59.9</v>
      </c>
      <c r="G6" s="27">
        <v>18</v>
      </c>
      <c r="H6" s="28">
        <v>174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725</v>
      </c>
      <c r="U6" s="13"/>
      <c r="W6" s="25">
        <f>D6</f>
        <v>87.3</v>
      </c>
      <c r="X6" s="106">
        <f>E6</f>
        <v>26</v>
      </c>
      <c r="Y6" s="32">
        <f>H6</f>
        <v>174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도원역서희스타힐스크루즈시티(주)</v>
      </c>
      <c r="AI6" s="106">
        <f>IF(E6="","",E6)</f>
        <v>26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3137</v>
      </c>
      <c r="B7" s="16" t="s">
        <v>3138</v>
      </c>
      <c r="C7" s="28">
        <v>992</v>
      </c>
      <c r="D7" s="25">
        <v>88.2</v>
      </c>
      <c r="E7" s="106">
        <v>27</v>
      </c>
      <c r="F7" s="25">
        <v>60</v>
      </c>
      <c r="G7" s="27">
        <v>18</v>
      </c>
      <c r="H7" s="28">
        <v>83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3127</v>
      </c>
      <c r="T7" s="8" t="s">
        <v>3139</v>
      </c>
      <c r="U7" s="13"/>
      <c r="W7" s="25">
        <f>D7</f>
        <v>88.2</v>
      </c>
      <c r="X7" s="106">
        <f>E7</f>
        <v>27</v>
      </c>
      <c r="Y7" s="32">
        <f>H7</f>
        <v>83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도원역서희스타힐스크루즈시티(주)</v>
      </c>
      <c r="AI7" s="106">
        <f>IF(E7="","",E7)</f>
        <v>27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3137</v>
      </c>
      <c r="B8" s="16" t="s">
        <v>3138</v>
      </c>
      <c r="C8" s="28">
        <v>992</v>
      </c>
      <c r="D8" s="25">
        <v>102.1</v>
      </c>
      <c r="E8" s="106">
        <v>31</v>
      </c>
      <c r="F8" s="25">
        <v>74.900000000000006</v>
      </c>
      <c r="G8" s="27">
        <v>23</v>
      </c>
      <c r="H8" s="28">
        <v>267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3127</v>
      </c>
      <c r="T8" s="8" t="s">
        <v>3140</v>
      </c>
      <c r="U8" s="13"/>
      <c r="W8" s="25">
        <f>D8</f>
        <v>102.1</v>
      </c>
      <c r="X8" s="106">
        <f>E8</f>
        <v>31</v>
      </c>
      <c r="Y8" s="32">
        <f>H8</f>
        <v>267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도원역서희스타힐스크루즈시티(주)</v>
      </c>
      <c r="AI8" s="106">
        <f>IF(E8="","",E8)</f>
        <v>31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3137</v>
      </c>
      <c r="B9" s="16" t="s">
        <v>3138</v>
      </c>
      <c r="C9" s="28">
        <v>992</v>
      </c>
      <c r="D9" s="25">
        <v>104.8</v>
      </c>
      <c r="E9" s="106">
        <v>32</v>
      </c>
      <c r="F9" s="25">
        <v>74.900000000000006</v>
      </c>
      <c r="G9" s="27">
        <v>23</v>
      </c>
      <c r="H9" s="28">
        <v>37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3127</v>
      </c>
      <c r="T9" s="8" t="s">
        <v>3141</v>
      </c>
      <c r="U9" s="13"/>
      <c r="W9" s="25">
        <f>D9</f>
        <v>104.8</v>
      </c>
      <c r="X9" s="106">
        <f>E9</f>
        <v>32</v>
      </c>
      <c r="Y9" s="32">
        <f>H9</f>
        <v>37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도원역서희스타힐스크루즈시티(주)</v>
      </c>
      <c r="AI9" s="106">
        <f>IF(E9="","",E9)</f>
        <v>32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3137</v>
      </c>
      <c r="B10" s="16" t="s">
        <v>3138</v>
      </c>
      <c r="C10" s="28">
        <v>992</v>
      </c>
      <c r="D10" s="25">
        <v>112.5</v>
      </c>
      <c r="E10" s="106">
        <v>34</v>
      </c>
      <c r="F10" s="25">
        <v>84.9</v>
      </c>
      <c r="G10" s="27">
        <v>26</v>
      </c>
      <c r="H10" s="28">
        <v>356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3127</v>
      </c>
      <c r="T10" s="8" t="s">
        <v>3142</v>
      </c>
      <c r="U10" s="13"/>
      <c r="W10" s="25">
        <f>D10</f>
        <v>112.5</v>
      </c>
      <c r="X10" s="106">
        <f>E10</f>
        <v>34</v>
      </c>
      <c r="Y10" s="32">
        <f>H10</f>
        <v>356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도원역서희스타힐스크루즈시티(주)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3137</v>
      </c>
      <c r="B11" s="16" t="s">
        <v>3138</v>
      </c>
      <c r="C11" s="28">
        <v>992</v>
      </c>
      <c r="D11" s="25">
        <v>113.2</v>
      </c>
      <c r="E11" s="106">
        <v>34</v>
      </c>
      <c r="F11" s="25">
        <v>85</v>
      </c>
      <c r="G11" s="27">
        <v>26</v>
      </c>
      <c r="H11" s="28">
        <v>75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3127</v>
      </c>
      <c r="T11" s="8" t="s">
        <v>3143</v>
      </c>
      <c r="U11" s="13"/>
      <c r="W11" s="25">
        <f>D11</f>
        <v>113.2</v>
      </c>
      <c r="X11" s="106">
        <f>E11</f>
        <v>34</v>
      </c>
      <c r="Y11" s="32">
        <f>H11</f>
        <v>75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도원역서희스타힐스크루즈시티(주)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숭의동 한화꿈에그린('07.02.,405^)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3144</v>
      </c>
      <c r="B13" s="16" t="s">
        <v>3145</v>
      </c>
      <c r="C13" s="28">
        <v>405</v>
      </c>
      <c r="D13" s="25">
        <v>72</v>
      </c>
      <c r="E13" s="106">
        <v>22</v>
      </c>
      <c r="F13" s="25">
        <v>53.8</v>
      </c>
      <c r="G13" s="27">
        <v>16</v>
      </c>
      <c r="H13" s="28">
        <v>39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3127</v>
      </c>
      <c r="T13" s="8">
        <v>72</v>
      </c>
      <c r="U13" s="13"/>
      <c r="W13" s="25">
        <f>D13</f>
        <v>72</v>
      </c>
      <c r="X13" s="106">
        <f>E13</f>
        <v>22</v>
      </c>
      <c r="Y13" s="32">
        <f>H13</f>
        <v>39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한화꿈에그린</v>
      </c>
      <c r="AI13" s="106">
        <f>IF(E13="","",E13)</f>
        <v>22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3144</v>
      </c>
      <c r="B14" s="16" t="s">
        <v>3145</v>
      </c>
      <c r="C14" s="28">
        <v>405</v>
      </c>
      <c r="D14" s="25">
        <v>80.400000000000006</v>
      </c>
      <c r="E14" s="106">
        <v>24</v>
      </c>
      <c r="F14" s="25">
        <v>60</v>
      </c>
      <c r="G14" s="27">
        <v>18</v>
      </c>
      <c r="H14" s="28">
        <v>117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3127</v>
      </c>
      <c r="T14" s="8">
        <v>80</v>
      </c>
      <c r="U14" s="13"/>
      <c r="W14" s="25">
        <f>D14</f>
        <v>80.400000000000006</v>
      </c>
      <c r="X14" s="106">
        <f>E14</f>
        <v>24</v>
      </c>
      <c r="Y14" s="32">
        <f>H14</f>
        <v>117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한화꿈에그린</v>
      </c>
      <c r="AI14" s="106">
        <f>IF(E14="","",E14)</f>
        <v>24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3144</v>
      </c>
      <c r="B15" s="16" t="s">
        <v>3145</v>
      </c>
      <c r="C15" s="28">
        <v>405</v>
      </c>
      <c r="D15" s="25">
        <v>105.8</v>
      </c>
      <c r="E15" s="106">
        <v>32</v>
      </c>
      <c r="F15" s="25">
        <v>84.4</v>
      </c>
      <c r="G15" s="27">
        <v>26</v>
      </c>
      <c r="H15" s="28">
        <v>237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3127</v>
      </c>
      <c r="T15" s="8" t="s">
        <v>3146</v>
      </c>
      <c r="U15" s="13"/>
      <c r="W15" s="25">
        <f>D15</f>
        <v>105.8</v>
      </c>
      <c r="X15" s="106">
        <f>E15</f>
        <v>32</v>
      </c>
      <c r="Y15" s="32">
        <f>H15</f>
        <v>237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한화꿈에그린</v>
      </c>
      <c r="AI15" s="106">
        <f>IF(E15="","",E15)</f>
        <v>32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3144</v>
      </c>
      <c r="B16" s="16" t="s">
        <v>3145</v>
      </c>
      <c r="C16" s="28">
        <v>405</v>
      </c>
      <c r="D16" s="25">
        <v>105.8</v>
      </c>
      <c r="E16" s="106">
        <v>32</v>
      </c>
      <c r="F16" s="25">
        <v>84.4</v>
      </c>
      <c r="G16" s="27">
        <v>26</v>
      </c>
      <c r="H16" s="28">
        <v>12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3127</v>
      </c>
      <c r="T16" s="8" t="s">
        <v>3147</v>
      </c>
      <c r="U16" s="13"/>
      <c r="W16" s="25">
        <f>D16</f>
        <v>105.8</v>
      </c>
      <c r="X16" s="106">
        <f>E16</f>
        <v>32</v>
      </c>
      <c r="Y16" s="32">
        <f>H16</f>
        <v>12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한화꿈에그린</v>
      </c>
      <c r="AI16" s="106">
        <f>IF(E16="","",E16)</f>
        <v>32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숭의동 두산위브더제니스센트럴여의('25.06.,1115^)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3148</v>
      </c>
      <c r="B18" s="16" t="s">
        <v>3149</v>
      </c>
      <c r="C18" s="28">
        <v>1115</v>
      </c>
      <c r="D18" s="25">
        <v>71.8</v>
      </c>
      <c r="E18" s="106">
        <v>22</v>
      </c>
      <c r="F18" s="25">
        <v>52.9</v>
      </c>
      <c r="G18" s="27">
        <v>16</v>
      </c>
      <c r="H18" s="28">
        <v>11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2</v>
      </c>
      <c r="R18" s="15">
        <v>1</v>
      </c>
      <c r="S18" s="113" t="s">
        <v>3127</v>
      </c>
      <c r="T18" s="8">
        <v>71</v>
      </c>
      <c r="U18" s="13"/>
      <c r="W18" s="25">
        <f>D18</f>
        <v>71.8</v>
      </c>
      <c r="X18" s="106">
        <f>E18</f>
        <v>22</v>
      </c>
      <c r="Y18" s="32">
        <f>H18</f>
        <v>11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2/1</v>
      </c>
      <c r="AH18" s="36" t="str">
        <f>IF(A18="","",A18)</f>
        <v>두산위브더제니스센트럴여의</v>
      </c>
      <c r="AI18" s="106">
        <f>IF(E18="","",E18)</f>
        <v>22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3148</v>
      </c>
      <c r="B19" s="16" t="s">
        <v>3149</v>
      </c>
      <c r="C19" s="28">
        <v>1115</v>
      </c>
      <c r="D19" s="25">
        <v>80.8</v>
      </c>
      <c r="E19" s="106">
        <v>24</v>
      </c>
      <c r="F19" s="25">
        <v>59.8</v>
      </c>
      <c r="G19" s="27">
        <v>18</v>
      </c>
      <c r="H19" s="28">
        <v>84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3127</v>
      </c>
      <c r="T19" s="8" t="s">
        <v>3150</v>
      </c>
      <c r="U19" s="13"/>
      <c r="W19" s="25">
        <f>D19</f>
        <v>80.8</v>
      </c>
      <c r="X19" s="106">
        <f>E19</f>
        <v>24</v>
      </c>
      <c r="Y19" s="32">
        <f>H19</f>
        <v>84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두산위브더제니스센트럴여의</v>
      </c>
      <c r="AI19" s="106">
        <f>IF(E19="","",E19)</f>
        <v>24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3148</v>
      </c>
      <c r="B20" s="16" t="s">
        <v>3149</v>
      </c>
      <c r="C20" s="28">
        <v>1115</v>
      </c>
      <c r="D20" s="25">
        <v>81</v>
      </c>
      <c r="E20" s="106">
        <v>25</v>
      </c>
      <c r="F20" s="25">
        <v>60</v>
      </c>
      <c r="G20" s="27">
        <v>18</v>
      </c>
      <c r="H20" s="28">
        <v>218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3127</v>
      </c>
      <c r="T20" s="8" t="s">
        <v>3151</v>
      </c>
      <c r="U20" s="13"/>
      <c r="W20" s="25">
        <f>D20</f>
        <v>81</v>
      </c>
      <c r="X20" s="106">
        <f>E20</f>
        <v>25</v>
      </c>
      <c r="Y20" s="32">
        <f>H20</f>
        <v>218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두산위브더제니스센트럴여의</v>
      </c>
      <c r="AI20" s="106">
        <f>IF(E20="","",E20)</f>
        <v>25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3152</v>
      </c>
      <c r="B21" s="16" t="s">
        <v>3153</v>
      </c>
      <c r="C21" s="28">
        <v>1115</v>
      </c>
      <c r="D21" s="25">
        <v>85.2</v>
      </c>
      <c r="E21" s="106">
        <v>26</v>
      </c>
      <c r="F21" s="25">
        <v>63</v>
      </c>
      <c r="G21" s="27">
        <v>19</v>
      </c>
      <c r="H21" s="28">
        <v>116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3060</v>
      </c>
      <c r="T21" s="8">
        <v>85</v>
      </c>
      <c r="U21" s="13"/>
      <c r="W21" s="25">
        <f>D21</f>
        <v>85.2</v>
      </c>
      <c r="X21" s="106">
        <f>E21</f>
        <v>26</v>
      </c>
      <c r="Y21" s="32">
        <f>H21</f>
        <v>116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두산위브더제니스센트럴여의</v>
      </c>
      <c r="AI21" s="106">
        <f>IF(E21="","",E21)</f>
        <v>26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3154</v>
      </c>
      <c r="B22" s="16" t="s">
        <v>3155</v>
      </c>
      <c r="C22" s="28">
        <v>1115</v>
      </c>
      <c r="D22" s="25">
        <v>97.3</v>
      </c>
      <c r="E22" s="106">
        <v>29</v>
      </c>
      <c r="F22" s="25">
        <v>72.8</v>
      </c>
      <c r="G22" s="27">
        <v>22</v>
      </c>
      <c r="H22" s="28">
        <v>134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64</v>
      </c>
      <c r="T22" s="8" t="s">
        <v>3156</v>
      </c>
      <c r="U22" s="13"/>
      <c r="W22" s="25">
        <f>D22</f>
        <v>97.3</v>
      </c>
      <c r="X22" s="106">
        <f>E22</f>
        <v>29</v>
      </c>
      <c r="Y22" s="32">
        <f>H22</f>
        <v>134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두산위브더제니스센트럴여의</v>
      </c>
      <c r="AI22" s="106">
        <f>IF(E22="","",E22)</f>
        <v>29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3154</v>
      </c>
      <c r="B23" s="16" t="s">
        <v>3155</v>
      </c>
      <c r="C23" s="28">
        <v>1115</v>
      </c>
      <c r="D23" s="25">
        <v>97</v>
      </c>
      <c r="E23" s="106">
        <v>29</v>
      </c>
      <c r="F23" s="25">
        <v>72.599999999999994</v>
      </c>
      <c r="G23" s="27">
        <v>22</v>
      </c>
      <c r="H23" s="28">
        <v>70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3157</v>
      </c>
      <c r="T23" s="8" t="s">
        <v>3158</v>
      </c>
      <c r="U23" s="13"/>
      <c r="W23" s="25">
        <f>D23</f>
        <v>97</v>
      </c>
      <c r="X23" s="106">
        <f>E23</f>
        <v>29</v>
      </c>
      <c r="Y23" s="32">
        <f>H23</f>
        <v>70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두산위브더제니스센트럴여의</v>
      </c>
      <c r="AI23" s="106">
        <f>IF(E23="","",E23)</f>
        <v>29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3154</v>
      </c>
      <c r="B24" s="16" t="s">
        <v>3155</v>
      </c>
      <c r="C24" s="28">
        <v>1115</v>
      </c>
      <c r="D24" s="25">
        <v>97.6</v>
      </c>
      <c r="E24" s="106">
        <v>30</v>
      </c>
      <c r="F24" s="25">
        <v>72.900000000000006</v>
      </c>
      <c r="G24" s="27">
        <v>22</v>
      </c>
      <c r="H24" s="28">
        <v>70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3157</v>
      </c>
      <c r="T24" s="8" t="s">
        <v>3159</v>
      </c>
      <c r="U24" s="13"/>
      <c r="W24" s="25">
        <f>D24</f>
        <v>97.6</v>
      </c>
      <c r="X24" s="106">
        <f>E24</f>
        <v>30</v>
      </c>
      <c r="Y24" s="32">
        <f>H24</f>
        <v>70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두산위브더제니스센트럴여의</v>
      </c>
      <c r="AI24" s="106">
        <f>IF(E24="","",E24)</f>
        <v>30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3154</v>
      </c>
      <c r="B25" s="16" t="s">
        <v>3155</v>
      </c>
      <c r="C25" s="28">
        <v>1115</v>
      </c>
      <c r="D25" s="25">
        <v>112.9</v>
      </c>
      <c r="E25" s="106">
        <v>34</v>
      </c>
      <c r="F25" s="25">
        <v>85</v>
      </c>
      <c r="G25" s="27">
        <v>26</v>
      </c>
      <c r="H25" s="28">
        <v>146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3157</v>
      </c>
      <c r="T25" s="8" t="s">
        <v>3160</v>
      </c>
      <c r="U25" s="13"/>
      <c r="W25" s="25">
        <f>D25</f>
        <v>112.9</v>
      </c>
      <c r="X25" s="106">
        <f>E25</f>
        <v>34</v>
      </c>
      <c r="Y25" s="32">
        <f>H25</f>
        <v>146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두산위브더제니스센트럴여의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3154</v>
      </c>
      <c r="B26" s="16" t="s">
        <v>3155</v>
      </c>
      <c r="C26" s="28">
        <v>1115</v>
      </c>
      <c r="D26" s="25">
        <v>112.6</v>
      </c>
      <c r="E26" s="106">
        <v>34</v>
      </c>
      <c r="F26" s="25">
        <v>84.8</v>
      </c>
      <c r="G26" s="27">
        <v>26</v>
      </c>
      <c r="H26" s="28">
        <v>65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3157</v>
      </c>
      <c r="T26" s="8" t="s">
        <v>3161</v>
      </c>
      <c r="U26" s="13"/>
      <c r="W26" s="25">
        <f>D26</f>
        <v>112.6</v>
      </c>
      <c r="X26" s="106">
        <f>E26</f>
        <v>34</v>
      </c>
      <c r="Y26" s="32">
        <f>H26</f>
        <v>65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두산위브더제니스센트럴여의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3154</v>
      </c>
      <c r="B27" s="16" t="s">
        <v>3155</v>
      </c>
      <c r="C27" s="28">
        <v>1115</v>
      </c>
      <c r="D27" s="25">
        <v>113.1</v>
      </c>
      <c r="E27" s="106">
        <v>34</v>
      </c>
      <c r="F27" s="25">
        <v>85</v>
      </c>
      <c r="G27" s="27">
        <v>26</v>
      </c>
      <c r="H27" s="28">
        <v>87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3157</v>
      </c>
      <c r="T27" s="8" t="s">
        <v>3162</v>
      </c>
      <c r="U27" s="13"/>
      <c r="W27" s="25">
        <f>D27</f>
        <v>113.1</v>
      </c>
      <c r="X27" s="106">
        <f>E27</f>
        <v>34</v>
      </c>
      <c r="Y27" s="32">
        <f>H27</f>
        <v>87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두산위브더제니스센트럴여의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3154</v>
      </c>
      <c r="B28" s="16" t="s">
        <v>3155</v>
      </c>
      <c r="C28" s="28">
        <v>1115</v>
      </c>
      <c r="D28" s="25">
        <v>145.1</v>
      </c>
      <c r="E28" s="106">
        <v>44</v>
      </c>
      <c r="F28" s="25">
        <v>109.3</v>
      </c>
      <c r="G28" s="27">
        <v>33</v>
      </c>
      <c r="H28" s="28">
        <v>58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3157</v>
      </c>
      <c r="T28" s="8">
        <v>145</v>
      </c>
      <c r="U28" s="13"/>
      <c r="W28" s="25">
        <f>D28</f>
        <v>145.1</v>
      </c>
      <c r="X28" s="106">
        <f>E28</f>
        <v>44</v>
      </c>
      <c r="Y28" s="32">
        <f>H28</f>
        <v>58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두산위브더제니스센트럴여의</v>
      </c>
      <c r="AI28" s="106">
        <f>IF(E28="","",E28)</f>
        <v>44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</sheetData>
  <mergeCells count="1">
    <mergeCell ref="AJ1:AN1"/>
  </mergeCells>
  <phoneticPr fontId="2" type="noConversion"/>
  <conditionalFormatting sqref="AV4:AV6">
    <cfRule type="expression" dxfId="6449" priority="410">
      <formula>AV4="X"</formula>
    </cfRule>
    <cfRule type="expression" dxfId="6448" priority="411">
      <formula>AV4="후보"</formula>
    </cfRule>
  </conditionalFormatting>
  <conditionalFormatting sqref="Z2:Z6">
    <cfRule type="colorScale" priority="4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447" priority="407" operator="greaterThan">
      <formula>0.9</formula>
    </cfRule>
    <cfRule type="cellIs" dxfId="6446" priority="408" operator="greaterThan">
      <formula>0.85</formula>
    </cfRule>
  </conditionalFormatting>
  <conditionalFormatting sqref="N1:N2">
    <cfRule type="cellIs" dxfId="6445" priority="405" operator="greaterThan">
      <formula>0.9</formula>
    </cfRule>
    <cfRule type="cellIs" dxfId="6444" priority="406" operator="greaterThan">
      <formula>0.85</formula>
    </cfRule>
  </conditionalFormatting>
  <conditionalFormatting sqref="N6">
    <cfRule type="cellIs" dxfId="6443" priority="403" operator="greaterThan">
      <formula>0.9</formula>
    </cfRule>
    <cfRule type="cellIs" dxfId="6442" priority="404" operator="greaterThan">
      <formula>0.85</formula>
    </cfRule>
  </conditionalFormatting>
  <conditionalFormatting sqref="E6">
    <cfRule type="expression" dxfId="6441" priority="399">
      <formula>AND(IF(OR($Q6=1,$Q6=2),1,0),IF($X6&lt;=20,1,0))</formula>
    </cfRule>
    <cfRule type="expression" dxfId="6440" priority="400">
      <formula>AND(IF($Q6=2,1,0),IF($X6&lt;30,1,0))</formula>
    </cfRule>
    <cfRule type="expression" dxfId="6439" priority="401">
      <formula>AND(IF($Q6=3,1,0),IF($X6&lt;30,1,0))</formula>
    </cfRule>
    <cfRule type="expression" dxfId="6438" priority="402">
      <formula>AND(IF($Q6=3,1,IF($Q6=4,1,0)),IF($F6&lt;=85,1,0))</formula>
    </cfRule>
  </conditionalFormatting>
  <conditionalFormatting sqref="X6">
    <cfRule type="expression" dxfId="6437" priority="395">
      <formula>AND(IF(OR($Q6=1,$Q6=2),1,0),IF($X6&lt;=20,1,0))</formula>
    </cfRule>
    <cfRule type="expression" dxfId="6436" priority="396">
      <formula>AND(IF($Q6=2,1,0),IF($X6&lt;30,1,0))</formula>
    </cfRule>
    <cfRule type="expression" dxfId="6435" priority="397">
      <formula>AND(IF($Q6=3,1,0),IF($X6&lt;30,1,0))</formula>
    </cfRule>
    <cfRule type="expression" dxfId="6434" priority="398">
      <formula>AND(IF($Q6=3,1,IF($Q6=4,1,0)),IF($F6&lt;=85,1,0))</formula>
    </cfRule>
  </conditionalFormatting>
  <conditionalFormatting sqref="AI6">
    <cfRule type="expression" dxfId="6433" priority="391">
      <formula>AND(IF(OR($Q6=1,$Q6=2),1,0),IF($X6&lt;=20,1,0))</formula>
    </cfRule>
    <cfRule type="expression" dxfId="6432" priority="392">
      <formula>AND(IF($Q6=2,1,0),IF($X6&lt;30,1,0))</formula>
    </cfRule>
    <cfRule type="expression" dxfId="6431" priority="393">
      <formula>AND(IF($Q6=3,1,0),IF($X6&lt;30,1,0))</formula>
    </cfRule>
    <cfRule type="expression" dxfId="6430" priority="394">
      <formula>AND(IF($Q6=3,1,IF($Q6=4,1,0)),IF($F6&lt;=85,1,0))</formula>
    </cfRule>
  </conditionalFormatting>
  <conditionalFormatting sqref="AV7">
    <cfRule type="expression" dxfId="6429" priority="389">
      <formula>AV7="X"</formula>
    </cfRule>
    <cfRule type="expression" dxfId="6428" priority="390">
      <formula>AV7="후보"</formula>
    </cfRule>
  </conditionalFormatting>
  <conditionalFormatting sqref="Z7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427" priority="386" operator="greaterThan">
      <formula>0.9</formula>
    </cfRule>
    <cfRule type="cellIs" dxfId="6426" priority="387" operator="greaterThan">
      <formula>0.85</formula>
    </cfRule>
  </conditionalFormatting>
  <conditionalFormatting sqref="N7">
    <cfRule type="cellIs" dxfId="6425" priority="384" operator="greaterThan">
      <formula>0.9</formula>
    </cfRule>
    <cfRule type="cellIs" dxfId="6424" priority="385" operator="greaterThan">
      <formula>0.85</formula>
    </cfRule>
  </conditionalFormatting>
  <conditionalFormatting sqref="E7">
    <cfRule type="expression" dxfId="6423" priority="380">
      <formula>AND(IF(OR($Q7=1,$Q7=2),1,0),IF($X7&lt;=20,1,0))</formula>
    </cfRule>
    <cfRule type="expression" dxfId="6422" priority="381">
      <formula>AND(IF($Q7=2,1,0),IF($X7&lt;30,1,0))</formula>
    </cfRule>
    <cfRule type="expression" dxfId="6421" priority="382">
      <formula>AND(IF($Q7=3,1,0),IF($X7&lt;30,1,0))</formula>
    </cfRule>
    <cfRule type="expression" dxfId="6420" priority="383">
      <formula>AND(IF($Q7=3,1,IF($Q7=4,1,0)),IF($F7&lt;=85,1,0))</formula>
    </cfRule>
  </conditionalFormatting>
  <conditionalFormatting sqref="X7">
    <cfRule type="expression" dxfId="6419" priority="376">
      <formula>AND(IF(OR($Q7=1,$Q7=2),1,0),IF($X7&lt;=20,1,0))</formula>
    </cfRule>
    <cfRule type="expression" dxfId="6418" priority="377">
      <formula>AND(IF($Q7=2,1,0),IF($X7&lt;30,1,0))</formula>
    </cfRule>
    <cfRule type="expression" dxfId="6417" priority="378">
      <formula>AND(IF($Q7=3,1,0),IF($X7&lt;30,1,0))</formula>
    </cfRule>
    <cfRule type="expression" dxfId="6416" priority="379">
      <formula>AND(IF($Q7=3,1,IF($Q7=4,1,0)),IF($F7&lt;=85,1,0))</formula>
    </cfRule>
  </conditionalFormatting>
  <conditionalFormatting sqref="AI7">
    <cfRule type="expression" dxfId="6415" priority="372">
      <formula>AND(IF(OR($Q7=1,$Q7=2),1,0),IF($X7&lt;=20,1,0))</formula>
    </cfRule>
    <cfRule type="expression" dxfId="6414" priority="373">
      <formula>AND(IF($Q7=2,1,0),IF($X7&lt;30,1,0))</formula>
    </cfRule>
    <cfRule type="expression" dxfId="6413" priority="374">
      <formula>AND(IF($Q7=3,1,0),IF($X7&lt;30,1,0))</formula>
    </cfRule>
    <cfRule type="expression" dxfId="6412" priority="375">
      <formula>AND(IF($Q7=3,1,IF($Q7=4,1,0)),IF($F7&lt;=85,1,0))</formula>
    </cfRule>
  </conditionalFormatting>
  <conditionalFormatting sqref="AV8">
    <cfRule type="expression" dxfId="6411" priority="370">
      <formula>AV8="X"</formula>
    </cfRule>
    <cfRule type="expression" dxfId="6410" priority="371">
      <formula>AV8="후보"</formula>
    </cfRule>
  </conditionalFormatting>
  <conditionalFormatting sqref="Z8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6409" priority="367" operator="greaterThan">
      <formula>0.9</formula>
    </cfRule>
    <cfRule type="cellIs" dxfId="6408" priority="368" operator="greaterThan">
      <formula>0.85</formula>
    </cfRule>
  </conditionalFormatting>
  <conditionalFormatting sqref="N8">
    <cfRule type="cellIs" dxfId="6407" priority="365" operator="greaterThan">
      <formula>0.9</formula>
    </cfRule>
    <cfRule type="cellIs" dxfId="6406" priority="366" operator="greaterThan">
      <formula>0.85</formula>
    </cfRule>
  </conditionalFormatting>
  <conditionalFormatting sqref="E8">
    <cfRule type="expression" dxfId="6405" priority="361">
      <formula>AND(IF(OR($Q8=1,$Q8=2),1,0),IF($X8&lt;=20,1,0))</formula>
    </cfRule>
    <cfRule type="expression" dxfId="6404" priority="362">
      <formula>AND(IF($Q8=2,1,0),IF($X8&lt;30,1,0))</formula>
    </cfRule>
    <cfRule type="expression" dxfId="6403" priority="363">
      <formula>AND(IF($Q8=3,1,0),IF($X8&lt;30,1,0))</formula>
    </cfRule>
    <cfRule type="expression" dxfId="6402" priority="364">
      <formula>AND(IF($Q8=3,1,IF($Q8=4,1,0)),IF($F8&lt;=85,1,0))</formula>
    </cfRule>
  </conditionalFormatting>
  <conditionalFormatting sqref="X8">
    <cfRule type="expression" dxfId="6401" priority="357">
      <formula>AND(IF(OR($Q8=1,$Q8=2),1,0),IF($X8&lt;=20,1,0))</formula>
    </cfRule>
    <cfRule type="expression" dxfId="6400" priority="358">
      <formula>AND(IF($Q8=2,1,0),IF($X8&lt;30,1,0))</formula>
    </cfRule>
    <cfRule type="expression" dxfId="6399" priority="359">
      <formula>AND(IF($Q8=3,1,0),IF($X8&lt;30,1,0))</formula>
    </cfRule>
    <cfRule type="expression" dxfId="6398" priority="360">
      <formula>AND(IF($Q8=3,1,IF($Q8=4,1,0)),IF($F8&lt;=85,1,0))</formula>
    </cfRule>
  </conditionalFormatting>
  <conditionalFormatting sqref="AI8">
    <cfRule type="expression" dxfId="6397" priority="353">
      <formula>AND(IF(OR($Q8=1,$Q8=2),1,0),IF($X8&lt;=20,1,0))</formula>
    </cfRule>
    <cfRule type="expression" dxfId="6396" priority="354">
      <formula>AND(IF($Q8=2,1,0),IF($X8&lt;30,1,0))</formula>
    </cfRule>
    <cfRule type="expression" dxfId="6395" priority="355">
      <formula>AND(IF($Q8=3,1,0),IF($X8&lt;30,1,0))</formula>
    </cfRule>
    <cfRule type="expression" dxfId="6394" priority="356">
      <formula>AND(IF($Q8=3,1,IF($Q8=4,1,0)),IF($F8&lt;=85,1,0))</formula>
    </cfRule>
  </conditionalFormatting>
  <conditionalFormatting sqref="AV9">
    <cfRule type="expression" dxfId="6393" priority="351">
      <formula>AV9="X"</formula>
    </cfRule>
    <cfRule type="expression" dxfId="6392" priority="352">
      <formula>AV9="후보"</formula>
    </cfRule>
  </conditionalFormatting>
  <conditionalFormatting sqref="Z9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6391" priority="348" operator="greaterThan">
      <formula>0.9</formula>
    </cfRule>
    <cfRule type="cellIs" dxfId="6390" priority="349" operator="greaterThan">
      <formula>0.85</formula>
    </cfRule>
  </conditionalFormatting>
  <conditionalFormatting sqref="N9">
    <cfRule type="cellIs" dxfId="6389" priority="346" operator="greaterThan">
      <formula>0.9</formula>
    </cfRule>
    <cfRule type="cellIs" dxfId="6388" priority="347" operator="greaterThan">
      <formula>0.85</formula>
    </cfRule>
  </conditionalFormatting>
  <conditionalFormatting sqref="E9">
    <cfRule type="expression" dxfId="6387" priority="342">
      <formula>AND(IF(OR($Q9=1,$Q9=2),1,0),IF($X9&lt;=20,1,0))</formula>
    </cfRule>
    <cfRule type="expression" dxfId="6386" priority="343">
      <formula>AND(IF($Q9=2,1,0),IF($X9&lt;30,1,0))</formula>
    </cfRule>
    <cfRule type="expression" dxfId="6385" priority="344">
      <formula>AND(IF($Q9=3,1,0),IF($X9&lt;30,1,0))</formula>
    </cfRule>
    <cfRule type="expression" dxfId="6384" priority="345">
      <formula>AND(IF($Q9=3,1,IF($Q9=4,1,0)),IF($F9&lt;=85,1,0))</formula>
    </cfRule>
  </conditionalFormatting>
  <conditionalFormatting sqref="X9">
    <cfRule type="expression" dxfId="6383" priority="338">
      <formula>AND(IF(OR($Q9=1,$Q9=2),1,0),IF($X9&lt;=20,1,0))</formula>
    </cfRule>
    <cfRule type="expression" dxfId="6382" priority="339">
      <formula>AND(IF($Q9=2,1,0),IF($X9&lt;30,1,0))</formula>
    </cfRule>
    <cfRule type="expression" dxfId="6381" priority="340">
      <formula>AND(IF($Q9=3,1,0),IF($X9&lt;30,1,0))</formula>
    </cfRule>
    <cfRule type="expression" dxfId="6380" priority="341">
      <formula>AND(IF($Q9=3,1,IF($Q9=4,1,0)),IF($F9&lt;=85,1,0))</formula>
    </cfRule>
  </conditionalFormatting>
  <conditionalFormatting sqref="AI9">
    <cfRule type="expression" dxfId="6379" priority="334">
      <formula>AND(IF(OR($Q9=1,$Q9=2),1,0),IF($X9&lt;=20,1,0))</formula>
    </cfRule>
    <cfRule type="expression" dxfId="6378" priority="335">
      <formula>AND(IF($Q9=2,1,0),IF($X9&lt;30,1,0))</formula>
    </cfRule>
    <cfRule type="expression" dxfId="6377" priority="336">
      <formula>AND(IF($Q9=3,1,0),IF($X9&lt;30,1,0))</formula>
    </cfRule>
    <cfRule type="expression" dxfId="6376" priority="337">
      <formula>AND(IF($Q9=3,1,IF($Q9=4,1,0)),IF($F9&lt;=85,1,0))</formula>
    </cfRule>
  </conditionalFormatting>
  <conditionalFormatting sqref="AV10">
    <cfRule type="expression" dxfId="6375" priority="332">
      <formula>AV10="X"</formula>
    </cfRule>
    <cfRule type="expression" dxfId="6374" priority="333">
      <formula>AV10="후보"</formula>
    </cfRule>
  </conditionalFormatting>
  <conditionalFormatting sqref="Z10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6373" priority="329" operator="greaterThan">
      <formula>0.9</formula>
    </cfRule>
    <cfRule type="cellIs" dxfId="6372" priority="330" operator="greaterThan">
      <formula>0.85</formula>
    </cfRule>
  </conditionalFormatting>
  <conditionalFormatting sqref="N10">
    <cfRule type="cellIs" dxfId="6371" priority="327" operator="greaterThan">
      <formula>0.9</formula>
    </cfRule>
    <cfRule type="cellIs" dxfId="6370" priority="328" operator="greaterThan">
      <formula>0.85</formula>
    </cfRule>
  </conditionalFormatting>
  <conditionalFormatting sqref="E10">
    <cfRule type="expression" dxfId="6369" priority="323">
      <formula>AND(IF(OR($Q10=1,$Q10=2),1,0),IF($X10&lt;=20,1,0))</formula>
    </cfRule>
    <cfRule type="expression" dxfId="6368" priority="324">
      <formula>AND(IF($Q10=2,1,0),IF($X10&lt;30,1,0))</formula>
    </cfRule>
    <cfRule type="expression" dxfId="6367" priority="325">
      <formula>AND(IF($Q10=3,1,0),IF($X10&lt;30,1,0))</formula>
    </cfRule>
    <cfRule type="expression" dxfId="6366" priority="326">
      <formula>AND(IF($Q10=3,1,IF($Q10=4,1,0)),IF($F10&lt;=85,1,0))</formula>
    </cfRule>
  </conditionalFormatting>
  <conditionalFormatting sqref="X10">
    <cfRule type="expression" dxfId="6365" priority="319">
      <formula>AND(IF(OR($Q10=1,$Q10=2),1,0),IF($X10&lt;=20,1,0))</formula>
    </cfRule>
    <cfRule type="expression" dxfId="6364" priority="320">
      <formula>AND(IF($Q10=2,1,0),IF($X10&lt;30,1,0))</formula>
    </cfRule>
    <cfRule type="expression" dxfId="6363" priority="321">
      <formula>AND(IF($Q10=3,1,0),IF($X10&lt;30,1,0))</formula>
    </cfRule>
    <cfRule type="expression" dxfId="6362" priority="322">
      <formula>AND(IF($Q10=3,1,IF($Q10=4,1,0)),IF($F10&lt;=85,1,0))</formula>
    </cfRule>
  </conditionalFormatting>
  <conditionalFormatting sqref="AI10">
    <cfRule type="expression" dxfId="6361" priority="315">
      <formula>AND(IF(OR($Q10=1,$Q10=2),1,0),IF($X10&lt;=20,1,0))</formula>
    </cfRule>
    <cfRule type="expression" dxfId="6360" priority="316">
      <formula>AND(IF($Q10=2,1,0),IF($X10&lt;30,1,0))</formula>
    </cfRule>
    <cfRule type="expression" dxfId="6359" priority="317">
      <formula>AND(IF($Q10=3,1,0),IF($X10&lt;30,1,0))</formula>
    </cfRule>
    <cfRule type="expression" dxfId="6358" priority="318">
      <formula>AND(IF($Q10=3,1,IF($Q10=4,1,0)),IF($F10&lt;=85,1,0))</formula>
    </cfRule>
  </conditionalFormatting>
  <conditionalFormatting sqref="AV11">
    <cfRule type="expression" dxfId="6357" priority="313">
      <formula>AV11="X"</formula>
    </cfRule>
    <cfRule type="expression" dxfId="6356" priority="314">
      <formula>AV11="후보"</formula>
    </cfRule>
  </conditionalFormatting>
  <conditionalFormatting sqref="Z11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6355" priority="310" operator="greaterThan">
      <formula>0.9</formula>
    </cfRule>
    <cfRule type="cellIs" dxfId="6354" priority="311" operator="greaterThan">
      <formula>0.85</formula>
    </cfRule>
  </conditionalFormatting>
  <conditionalFormatting sqref="N11">
    <cfRule type="cellIs" dxfId="6353" priority="308" operator="greaterThan">
      <formula>0.9</formula>
    </cfRule>
    <cfRule type="cellIs" dxfId="6352" priority="309" operator="greaterThan">
      <formula>0.85</formula>
    </cfRule>
  </conditionalFormatting>
  <conditionalFormatting sqref="E11">
    <cfRule type="expression" dxfId="6351" priority="304">
      <formula>AND(IF(OR($Q11=1,$Q11=2),1,0),IF($X11&lt;=20,1,0))</formula>
    </cfRule>
    <cfRule type="expression" dxfId="6350" priority="305">
      <formula>AND(IF($Q11=2,1,0),IF($X11&lt;30,1,0))</formula>
    </cfRule>
    <cfRule type="expression" dxfId="6349" priority="306">
      <formula>AND(IF($Q11=3,1,0),IF($X11&lt;30,1,0))</formula>
    </cfRule>
    <cfRule type="expression" dxfId="6348" priority="307">
      <formula>AND(IF($Q11=3,1,IF($Q11=4,1,0)),IF($F11&lt;=85,1,0))</formula>
    </cfRule>
  </conditionalFormatting>
  <conditionalFormatting sqref="X11">
    <cfRule type="expression" dxfId="6347" priority="300">
      <formula>AND(IF(OR($Q11=1,$Q11=2),1,0),IF($X11&lt;=20,1,0))</formula>
    </cfRule>
    <cfRule type="expression" dxfId="6346" priority="301">
      <formula>AND(IF($Q11=2,1,0),IF($X11&lt;30,1,0))</formula>
    </cfRule>
    <cfRule type="expression" dxfId="6345" priority="302">
      <formula>AND(IF($Q11=3,1,0),IF($X11&lt;30,1,0))</formula>
    </cfRule>
    <cfRule type="expression" dxfId="6344" priority="303">
      <formula>AND(IF($Q11=3,1,IF($Q11=4,1,0)),IF($F11&lt;=85,1,0))</formula>
    </cfRule>
  </conditionalFormatting>
  <conditionalFormatting sqref="AI11">
    <cfRule type="expression" dxfId="6343" priority="296">
      <formula>AND(IF(OR($Q11=1,$Q11=2),1,0),IF($X11&lt;=20,1,0))</formula>
    </cfRule>
    <cfRule type="expression" dxfId="6342" priority="297">
      <formula>AND(IF($Q11=2,1,0),IF($X11&lt;30,1,0))</formula>
    </cfRule>
    <cfRule type="expression" dxfId="6341" priority="298">
      <formula>AND(IF($Q11=3,1,0),IF($X11&lt;30,1,0))</formula>
    </cfRule>
    <cfRule type="expression" dxfId="6340" priority="299">
      <formula>AND(IF($Q11=3,1,IF($Q11=4,1,0)),IF($F11&lt;=85,1,0))</formula>
    </cfRule>
  </conditionalFormatting>
  <conditionalFormatting sqref="AV12">
    <cfRule type="expression" dxfId="6339" priority="294">
      <formula>AV12="X"</formula>
    </cfRule>
    <cfRule type="expression" dxfId="6338" priority="295">
      <formula>AV12="후보"</formula>
    </cfRule>
  </conditionalFormatting>
  <conditionalFormatting sqref="Z12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6337" priority="291" operator="greaterThan">
      <formula>0.9</formula>
    </cfRule>
    <cfRule type="cellIs" dxfId="6336" priority="292" operator="greaterThan">
      <formula>0.85</formula>
    </cfRule>
  </conditionalFormatting>
  <conditionalFormatting sqref="AV13">
    <cfRule type="expression" dxfId="6335" priority="289">
      <formula>AV13="X"</formula>
    </cfRule>
    <cfRule type="expression" dxfId="6334" priority="290">
      <formula>AV13="후보"</formula>
    </cfRule>
  </conditionalFormatting>
  <conditionalFormatting sqref="Z13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6333" priority="286" operator="greaterThan">
      <formula>0.9</formula>
    </cfRule>
    <cfRule type="cellIs" dxfId="6332" priority="287" operator="greaterThan">
      <formula>0.85</formula>
    </cfRule>
  </conditionalFormatting>
  <conditionalFormatting sqref="N13">
    <cfRule type="cellIs" dxfId="6331" priority="284" operator="greaterThan">
      <formula>0.9</formula>
    </cfRule>
    <cfRule type="cellIs" dxfId="6330" priority="285" operator="greaterThan">
      <formula>0.85</formula>
    </cfRule>
  </conditionalFormatting>
  <conditionalFormatting sqref="E13">
    <cfRule type="expression" dxfId="6329" priority="280">
      <formula>AND(IF(OR($Q13=1,$Q13=2),1,0),IF($X13&lt;=20,1,0))</formula>
    </cfRule>
    <cfRule type="expression" dxfId="6328" priority="281">
      <formula>AND(IF($Q13=2,1,0),IF($X13&lt;30,1,0))</formula>
    </cfRule>
    <cfRule type="expression" dxfId="6327" priority="282">
      <formula>AND(IF($Q13=3,1,0),IF($X13&lt;30,1,0))</formula>
    </cfRule>
    <cfRule type="expression" dxfId="6326" priority="283">
      <formula>AND(IF($Q13=3,1,IF($Q13=4,1,0)),IF($F13&lt;=85,1,0))</formula>
    </cfRule>
  </conditionalFormatting>
  <conditionalFormatting sqref="X13">
    <cfRule type="expression" dxfId="6325" priority="276">
      <formula>AND(IF(OR($Q13=1,$Q13=2),1,0),IF($X13&lt;=20,1,0))</formula>
    </cfRule>
    <cfRule type="expression" dxfId="6324" priority="277">
      <formula>AND(IF($Q13=2,1,0),IF($X13&lt;30,1,0))</formula>
    </cfRule>
    <cfRule type="expression" dxfId="6323" priority="278">
      <formula>AND(IF($Q13=3,1,0),IF($X13&lt;30,1,0))</formula>
    </cfRule>
    <cfRule type="expression" dxfId="6322" priority="279">
      <formula>AND(IF($Q13=3,1,IF($Q13=4,1,0)),IF($F13&lt;=85,1,0))</formula>
    </cfRule>
  </conditionalFormatting>
  <conditionalFormatting sqref="AI13">
    <cfRule type="expression" dxfId="6321" priority="272">
      <formula>AND(IF(OR($Q13=1,$Q13=2),1,0),IF($X13&lt;=20,1,0))</formula>
    </cfRule>
    <cfRule type="expression" dxfId="6320" priority="273">
      <formula>AND(IF($Q13=2,1,0),IF($X13&lt;30,1,0))</formula>
    </cfRule>
    <cfRule type="expression" dxfId="6319" priority="274">
      <formula>AND(IF($Q13=3,1,0),IF($X13&lt;30,1,0))</formula>
    </cfRule>
    <cfRule type="expression" dxfId="6318" priority="275">
      <formula>AND(IF($Q13=3,1,IF($Q13=4,1,0)),IF($F13&lt;=85,1,0))</formula>
    </cfRule>
  </conditionalFormatting>
  <conditionalFormatting sqref="AV14">
    <cfRule type="expression" dxfId="6317" priority="270">
      <formula>AV14="X"</formula>
    </cfRule>
    <cfRule type="expression" dxfId="6316" priority="271">
      <formula>AV14="후보"</formula>
    </cfRule>
  </conditionalFormatting>
  <conditionalFormatting sqref="Z14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6315" priority="267" operator="greaterThan">
      <formula>0.9</formula>
    </cfRule>
    <cfRule type="cellIs" dxfId="6314" priority="268" operator="greaterThan">
      <formula>0.85</formula>
    </cfRule>
  </conditionalFormatting>
  <conditionalFormatting sqref="N14">
    <cfRule type="cellIs" dxfId="6313" priority="265" operator="greaterThan">
      <formula>0.9</formula>
    </cfRule>
    <cfRule type="cellIs" dxfId="6312" priority="266" operator="greaterThan">
      <formula>0.85</formula>
    </cfRule>
  </conditionalFormatting>
  <conditionalFormatting sqref="E14">
    <cfRule type="expression" dxfId="6311" priority="261">
      <formula>AND(IF(OR($Q14=1,$Q14=2),1,0),IF($X14&lt;=20,1,0))</formula>
    </cfRule>
    <cfRule type="expression" dxfId="6310" priority="262">
      <formula>AND(IF($Q14=2,1,0),IF($X14&lt;30,1,0))</formula>
    </cfRule>
    <cfRule type="expression" dxfId="6309" priority="263">
      <formula>AND(IF($Q14=3,1,0),IF($X14&lt;30,1,0))</formula>
    </cfRule>
    <cfRule type="expression" dxfId="6308" priority="264">
      <formula>AND(IF($Q14=3,1,IF($Q14=4,1,0)),IF($F14&lt;=85,1,0))</formula>
    </cfRule>
  </conditionalFormatting>
  <conditionalFormatting sqref="X14">
    <cfRule type="expression" dxfId="6307" priority="257">
      <formula>AND(IF(OR($Q14=1,$Q14=2),1,0),IF($X14&lt;=20,1,0))</formula>
    </cfRule>
    <cfRule type="expression" dxfId="6306" priority="258">
      <formula>AND(IF($Q14=2,1,0),IF($X14&lt;30,1,0))</formula>
    </cfRule>
    <cfRule type="expression" dxfId="6305" priority="259">
      <formula>AND(IF($Q14=3,1,0),IF($X14&lt;30,1,0))</formula>
    </cfRule>
    <cfRule type="expression" dxfId="6304" priority="260">
      <formula>AND(IF($Q14=3,1,IF($Q14=4,1,0)),IF($F14&lt;=85,1,0))</formula>
    </cfRule>
  </conditionalFormatting>
  <conditionalFormatting sqref="AI14">
    <cfRule type="expression" dxfId="6303" priority="253">
      <formula>AND(IF(OR($Q14=1,$Q14=2),1,0),IF($X14&lt;=20,1,0))</formula>
    </cfRule>
    <cfRule type="expression" dxfId="6302" priority="254">
      <formula>AND(IF($Q14=2,1,0),IF($X14&lt;30,1,0))</formula>
    </cfRule>
    <cfRule type="expression" dxfId="6301" priority="255">
      <formula>AND(IF($Q14=3,1,0),IF($X14&lt;30,1,0))</formula>
    </cfRule>
    <cfRule type="expression" dxfId="6300" priority="256">
      <formula>AND(IF($Q14=3,1,IF($Q14=4,1,0)),IF($F14&lt;=85,1,0))</formula>
    </cfRule>
  </conditionalFormatting>
  <conditionalFormatting sqref="AV15">
    <cfRule type="expression" dxfId="6299" priority="251">
      <formula>AV15="X"</formula>
    </cfRule>
    <cfRule type="expression" dxfId="6298" priority="252">
      <formula>AV15="후보"</formula>
    </cfRule>
  </conditionalFormatting>
  <conditionalFormatting sqref="Z15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6297" priority="248" operator="greaterThan">
      <formula>0.9</formula>
    </cfRule>
    <cfRule type="cellIs" dxfId="6296" priority="249" operator="greaterThan">
      <formula>0.85</formula>
    </cfRule>
  </conditionalFormatting>
  <conditionalFormatting sqref="N15">
    <cfRule type="cellIs" dxfId="6295" priority="246" operator="greaterThan">
      <formula>0.9</formula>
    </cfRule>
    <cfRule type="cellIs" dxfId="6294" priority="247" operator="greaterThan">
      <formula>0.85</formula>
    </cfRule>
  </conditionalFormatting>
  <conditionalFormatting sqref="E15">
    <cfRule type="expression" dxfId="6293" priority="242">
      <formula>AND(IF(OR($Q15=1,$Q15=2),1,0),IF($X15&lt;=20,1,0))</formula>
    </cfRule>
    <cfRule type="expression" dxfId="6292" priority="243">
      <formula>AND(IF($Q15=2,1,0),IF($X15&lt;30,1,0))</formula>
    </cfRule>
    <cfRule type="expression" dxfId="6291" priority="244">
      <formula>AND(IF($Q15=3,1,0),IF($X15&lt;30,1,0))</formula>
    </cfRule>
    <cfRule type="expression" dxfId="6290" priority="245">
      <formula>AND(IF($Q15=3,1,IF($Q15=4,1,0)),IF($F15&lt;=85,1,0))</formula>
    </cfRule>
  </conditionalFormatting>
  <conditionalFormatting sqref="X15">
    <cfRule type="expression" dxfId="6289" priority="238">
      <formula>AND(IF(OR($Q15=1,$Q15=2),1,0),IF($X15&lt;=20,1,0))</formula>
    </cfRule>
    <cfRule type="expression" dxfId="6288" priority="239">
      <formula>AND(IF($Q15=2,1,0),IF($X15&lt;30,1,0))</formula>
    </cfRule>
    <cfRule type="expression" dxfId="6287" priority="240">
      <formula>AND(IF($Q15=3,1,0),IF($X15&lt;30,1,0))</formula>
    </cfRule>
    <cfRule type="expression" dxfId="6286" priority="241">
      <formula>AND(IF($Q15=3,1,IF($Q15=4,1,0)),IF($F15&lt;=85,1,0))</formula>
    </cfRule>
  </conditionalFormatting>
  <conditionalFormatting sqref="AI15">
    <cfRule type="expression" dxfId="6285" priority="234">
      <formula>AND(IF(OR($Q15=1,$Q15=2),1,0),IF($X15&lt;=20,1,0))</formula>
    </cfRule>
    <cfRule type="expression" dxfId="6284" priority="235">
      <formula>AND(IF($Q15=2,1,0),IF($X15&lt;30,1,0))</formula>
    </cfRule>
    <cfRule type="expression" dxfId="6283" priority="236">
      <formula>AND(IF($Q15=3,1,0),IF($X15&lt;30,1,0))</formula>
    </cfRule>
    <cfRule type="expression" dxfId="6282" priority="237">
      <formula>AND(IF($Q15=3,1,IF($Q15=4,1,0)),IF($F15&lt;=85,1,0))</formula>
    </cfRule>
  </conditionalFormatting>
  <conditionalFormatting sqref="AV16">
    <cfRule type="expression" dxfId="6281" priority="232">
      <formula>AV16="X"</formula>
    </cfRule>
    <cfRule type="expression" dxfId="6280" priority="233">
      <formula>AV16="후보"</formula>
    </cfRule>
  </conditionalFormatting>
  <conditionalFormatting sqref="Z16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6279" priority="229" operator="greaterThan">
      <formula>0.9</formula>
    </cfRule>
    <cfRule type="cellIs" dxfId="6278" priority="230" operator="greaterThan">
      <formula>0.85</formula>
    </cfRule>
  </conditionalFormatting>
  <conditionalFormatting sqref="N16">
    <cfRule type="cellIs" dxfId="6277" priority="227" operator="greaterThan">
      <formula>0.9</formula>
    </cfRule>
    <cfRule type="cellIs" dxfId="6276" priority="228" operator="greaterThan">
      <formula>0.85</formula>
    </cfRule>
  </conditionalFormatting>
  <conditionalFormatting sqref="E16">
    <cfRule type="expression" dxfId="6275" priority="223">
      <formula>AND(IF(OR($Q16=1,$Q16=2),1,0),IF($X16&lt;=20,1,0))</formula>
    </cfRule>
    <cfRule type="expression" dxfId="6274" priority="224">
      <formula>AND(IF($Q16=2,1,0),IF($X16&lt;30,1,0))</formula>
    </cfRule>
    <cfRule type="expression" dxfId="6273" priority="225">
      <formula>AND(IF($Q16=3,1,0),IF($X16&lt;30,1,0))</formula>
    </cfRule>
    <cfRule type="expression" dxfId="6272" priority="226">
      <formula>AND(IF($Q16=3,1,IF($Q16=4,1,0)),IF($F16&lt;=85,1,0))</formula>
    </cfRule>
  </conditionalFormatting>
  <conditionalFormatting sqref="X16">
    <cfRule type="expression" dxfId="6271" priority="219">
      <formula>AND(IF(OR($Q16=1,$Q16=2),1,0),IF($X16&lt;=20,1,0))</formula>
    </cfRule>
    <cfRule type="expression" dxfId="6270" priority="220">
      <formula>AND(IF($Q16=2,1,0),IF($X16&lt;30,1,0))</formula>
    </cfRule>
    <cfRule type="expression" dxfId="6269" priority="221">
      <formula>AND(IF($Q16=3,1,0),IF($X16&lt;30,1,0))</formula>
    </cfRule>
    <cfRule type="expression" dxfId="6268" priority="222">
      <formula>AND(IF($Q16=3,1,IF($Q16=4,1,0)),IF($F16&lt;=85,1,0))</formula>
    </cfRule>
  </conditionalFormatting>
  <conditionalFormatting sqref="AI16">
    <cfRule type="expression" dxfId="6267" priority="215">
      <formula>AND(IF(OR($Q16=1,$Q16=2),1,0),IF($X16&lt;=20,1,0))</formula>
    </cfRule>
    <cfRule type="expression" dxfId="6266" priority="216">
      <formula>AND(IF($Q16=2,1,0),IF($X16&lt;30,1,0))</formula>
    </cfRule>
    <cfRule type="expression" dxfId="6265" priority="217">
      <formula>AND(IF($Q16=3,1,0),IF($X16&lt;30,1,0))</formula>
    </cfRule>
    <cfRule type="expression" dxfId="6264" priority="218">
      <formula>AND(IF($Q16=3,1,IF($Q16=4,1,0)),IF($F16&lt;=85,1,0))</formula>
    </cfRule>
  </conditionalFormatting>
  <conditionalFormatting sqref="AV17">
    <cfRule type="expression" dxfId="6263" priority="213">
      <formula>AV17="X"</formula>
    </cfRule>
    <cfRule type="expression" dxfId="6262" priority="214">
      <formula>AV17="후보"</formula>
    </cfRule>
  </conditionalFormatting>
  <conditionalFormatting sqref="Z17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6261" priority="210" operator="greaterThan">
      <formula>0.9</formula>
    </cfRule>
    <cfRule type="cellIs" dxfId="6260" priority="211" operator="greaterThan">
      <formula>0.85</formula>
    </cfRule>
  </conditionalFormatting>
  <conditionalFormatting sqref="AV18">
    <cfRule type="expression" dxfId="6259" priority="208">
      <formula>AV18="X"</formula>
    </cfRule>
    <cfRule type="expression" dxfId="6258" priority="209">
      <formula>AV18="후보"</formula>
    </cfRule>
  </conditionalFormatting>
  <conditionalFormatting sqref="Z18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6257" priority="205" operator="greaterThan">
      <formula>0.9</formula>
    </cfRule>
    <cfRule type="cellIs" dxfId="6256" priority="206" operator="greaterThan">
      <formula>0.85</formula>
    </cfRule>
  </conditionalFormatting>
  <conditionalFormatting sqref="N18">
    <cfRule type="cellIs" dxfId="6255" priority="203" operator="greaterThan">
      <formula>0.9</formula>
    </cfRule>
    <cfRule type="cellIs" dxfId="6254" priority="204" operator="greaterThan">
      <formula>0.85</formula>
    </cfRule>
  </conditionalFormatting>
  <conditionalFormatting sqref="E18">
    <cfRule type="expression" dxfId="6253" priority="199">
      <formula>AND(IF(OR($Q18=1,$Q18=2),1,0),IF($X18&lt;=20,1,0))</formula>
    </cfRule>
    <cfRule type="expression" dxfId="6252" priority="200">
      <formula>AND(IF($Q18=2,1,0),IF($X18&lt;30,1,0))</formula>
    </cfRule>
    <cfRule type="expression" dxfId="6251" priority="201">
      <formula>AND(IF($Q18=3,1,0),IF($X18&lt;30,1,0))</formula>
    </cfRule>
    <cfRule type="expression" dxfId="6250" priority="202">
      <formula>AND(IF($Q18=3,1,IF($Q18=4,1,0)),IF($F18&lt;=85,1,0))</formula>
    </cfRule>
  </conditionalFormatting>
  <conditionalFormatting sqref="X18">
    <cfRule type="expression" dxfId="6249" priority="195">
      <formula>AND(IF(OR($Q18=1,$Q18=2),1,0),IF($X18&lt;=20,1,0))</formula>
    </cfRule>
    <cfRule type="expression" dxfId="6248" priority="196">
      <formula>AND(IF($Q18=2,1,0),IF($X18&lt;30,1,0))</formula>
    </cfRule>
    <cfRule type="expression" dxfId="6247" priority="197">
      <formula>AND(IF($Q18=3,1,0),IF($X18&lt;30,1,0))</formula>
    </cfRule>
    <cfRule type="expression" dxfId="6246" priority="198">
      <formula>AND(IF($Q18=3,1,IF($Q18=4,1,0)),IF($F18&lt;=85,1,0))</formula>
    </cfRule>
  </conditionalFormatting>
  <conditionalFormatting sqref="AI18">
    <cfRule type="expression" dxfId="6245" priority="191">
      <formula>AND(IF(OR($Q18=1,$Q18=2),1,0),IF($X18&lt;=20,1,0))</formula>
    </cfRule>
    <cfRule type="expression" dxfId="6244" priority="192">
      <formula>AND(IF($Q18=2,1,0),IF($X18&lt;30,1,0))</formula>
    </cfRule>
    <cfRule type="expression" dxfId="6243" priority="193">
      <formula>AND(IF($Q18=3,1,0),IF($X18&lt;30,1,0))</formula>
    </cfRule>
    <cfRule type="expression" dxfId="6242" priority="194">
      <formula>AND(IF($Q18=3,1,IF($Q18=4,1,0)),IF($F18&lt;=85,1,0))</formula>
    </cfRule>
  </conditionalFormatting>
  <conditionalFormatting sqref="AV19">
    <cfRule type="expression" dxfId="6241" priority="189">
      <formula>AV19="X"</formula>
    </cfRule>
    <cfRule type="expression" dxfId="6240" priority="190">
      <formula>AV19="후보"</formula>
    </cfRule>
  </conditionalFormatting>
  <conditionalFormatting sqref="Z19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6239" priority="186" operator="greaterThan">
      <formula>0.9</formula>
    </cfRule>
    <cfRule type="cellIs" dxfId="6238" priority="187" operator="greaterThan">
      <formula>0.85</formula>
    </cfRule>
  </conditionalFormatting>
  <conditionalFormatting sqref="N19">
    <cfRule type="cellIs" dxfId="6237" priority="184" operator="greaterThan">
      <formula>0.9</formula>
    </cfRule>
    <cfRule type="cellIs" dxfId="6236" priority="185" operator="greaterThan">
      <formula>0.85</formula>
    </cfRule>
  </conditionalFormatting>
  <conditionalFormatting sqref="E19">
    <cfRule type="expression" dxfId="6235" priority="180">
      <formula>AND(IF(OR($Q19=1,$Q19=2),1,0),IF($X19&lt;=20,1,0))</formula>
    </cfRule>
    <cfRule type="expression" dxfId="6234" priority="181">
      <formula>AND(IF($Q19=2,1,0),IF($X19&lt;30,1,0))</formula>
    </cfRule>
    <cfRule type="expression" dxfId="6233" priority="182">
      <formula>AND(IF($Q19=3,1,0),IF($X19&lt;30,1,0))</formula>
    </cfRule>
    <cfRule type="expression" dxfId="6232" priority="183">
      <formula>AND(IF($Q19=3,1,IF($Q19=4,1,0)),IF($F19&lt;=85,1,0))</formula>
    </cfRule>
  </conditionalFormatting>
  <conditionalFormatting sqref="X19">
    <cfRule type="expression" dxfId="6231" priority="176">
      <formula>AND(IF(OR($Q19=1,$Q19=2),1,0),IF($X19&lt;=20,1,0))</formula>
    </cfRule>
    <cfRule type="expression" dxfId="6230" priority="177">
      <formula>AND(IF($Q19=2,1,0),IF($X19&lt;30,1,0))</formula>
    </cfRule>
    <cfRule type="expression" dxfId="6229" priority="178">
      <formula>AND(IF($Q19=3,1,0),IF($X19&lt;30,1,0))</formula>
    </cfRule>
    <cfRule type="expression" dxfId="6228" priority="179">
      <formula>AND(IF($Q19=3,1,IF($Q19=4,1,0)),IF($F19&lt;=85,1,0))</formula>
    </cfRule>
  </conditionalFormatting>
  <conditionalFormatting sqref="AI19">
    <cfRule type="expression" dxfId="6227" priority="172">
      <formula>AND(IF(OR($Q19=1,$Q19=2),1,0),IF($X19&lt;=20,1,0))</formula>
    </cfRule>
    <cfRule type="expression" dxfId="6226" priority="173">
      <formula>AND(IF($Q19=2,1,0),IF($X19&lt;30,1,0))</formula>
    </cfRule>
    <cfRule type="expression" dxfId="6225" priority="174">
      <formula>AND(IF($Q19=3,1,0),IF($X19&lt;30,1,0))</formula>
    </cfRule>
    <cfRule type="expression" dxfId="6224" priority="175">
      <formula>AND(IF($Q19=3,1,IF($Q19=4,1,0)),IF($F19&lt;=85,1,0))</formula>
    </cfRule>
  </conditionalFormatting>
  <conditionalFormatting sqref="AV20">
    <cfRule type="expression" dxfId="6223" priority="170">
      <formula>AV20="X"</formula>
    </cfRule>
    <cfRule type="expression" dxfId="6222" priority="171">
      <formula>AV20="후보"</formula>
    </cfRule>
  </conditionalFormatting>
  <conditionalFormatting sqref="Z20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6221" priority="167" operator="greaterThan">
      <formula>0.9</formula>
    </cfRule>
    <cfRule type="cellIs" dxfId="6220" priority="168" operator="greaterThan">
      <formula>0.85</formula>
    </cfRule>
  </conditionalFormatting>
  <conditionalFormatting sqref="N20">
    <cfRule type="cellIs" dxfId="6219" priority="165" operator="greaterThan">
      <formula>0.9</formula>
    </cfRule>
    <cfRule type="cellIs" dxfId="6218" priority="166" operator="greaterThan">
      <formula>0.85</formula>
    </cfRule>
  </conditionalFormatting>
  <conditionalFormatting sqref="E20">
    <cfRule type="expression" dxfId="6217" priority="161">
      <formula>AND(IF(OR($Q20=1,$Q20=2),1,0),IF($X20&lt;=20,1,0))</formula>
    </cfRule>
    <cfRule type="expression" dxfId="6216" priority="162">
      <formula>AND(IF($Q20=2,1,0),IF($X20&lt;30,1,0))</formula>
    </cfRule>
    <cfRule type="expression" dxfId="6215" priority="163">
      <formula>AND(IF($Q20=3,1,0),IF($X20&lt;30,1,0))</formula>
    </cfRule>
    <cfRule type="expression" dxfId="6214" priority="164">
      <formula>AND(IF($Q20=3,1,IF($Q20=4,1,0)),IF($F20&lt;=85,1,0))</formula>
    </cfRule>
  </conditionalFormatting>
  <conditionalFormatting sqref="X20">
    <cfRule type="expression" dxfId="6213" priority="157">
      <formula>AND(IF(OR($Q20=1,$Q20=2),1,0),IF($X20&lt;=20,1,0))</formula>
    </cfRule>
    <cfRule type="expression" dxfId="6212" priority="158">
      <formula>AND(IF($Q20=2,1,0),IF($X20&lt;30,1,0))</formula>
    </cfRule>
    <cfRule type="expression" dxfId="6211" priority="159">
      <formula>AND(IF($Q20=3,1,0),IF($X20&lt;30,1,0))</formula>
    </cfRule>
    <cfRule type="expression" dxfId="6210" priority="160">
      <formula>AND(IF($Q20=3,1,IF($Q20=4,1,0)),IF($F20&lt;=85,1,0))</formula>
    </cfRule>
  </conditionalFormatting>
  <conditionalFormatting sqref="AI20">
    <cfRule type="expression" dxfId="6209" priority="153">
      <formula>AND(IF(OR($Q20=1,$Q20=2),1,0),IF($X20&lt;=20,1,0))</formula>
    </cfRule>
    <cfRule type="expression" dxfId="6208" priority="154">
      <formula>AND(IF($Q20=2,1,0),IF($X20&lt;30,1,0))</formula>
    </cfRule>
    <cfRule type="expression" dxfId="6207" priority="155">
      <formula>AND(IF($Q20=3,1,0),IF($X20&lt;30,1,0))</formula>
    </cfRule>
    <cfRule type="expression" dxfId="6206" priority="156">
      <formula>AND(IF($Q20=3,1,IF($Q20=4,1,0)),IF($F20&lt;=85,1,0))</formula>
    </cfRule>
  </conditionalFormatting>
  <conditionalFormatting sqref="AV21">
    <cfRule type="expression" dxfId="6205" priority="151">
      <formula>AV21="X"</formula>
    </cfRule>
    <cfRule type="expression" dxfId="6204" priority="152">
      <formula>AV21="후보"</formula>
    </cfRule>
  </conditionalFormatting>
  <conditionalFormatting sqref="Z21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6203" priority="148" operator="greaterThan">
      <formula>0.9</formula>
    </cfRule>
    <cfRule type="cellIs" dxfId="6202" priority="149" operator="greaterThan">
      <formula>0.85</formula>
    </cfRule>
  </conditionalFormatting>
  <conditionalFormatting sqref="N21">
    <cfRule type="cellIs" dxfId="6201" priority="146" operator="greaterThan">
      <formula>0.9</formula>
    </cfRule>
    <cfRule type="cellIs" dxfId="6200" priority="147" operator="greaterThan">
      <formula>0.85</formula>
    </cfRule>
  </conditionalFormatting>
  <conditionalFormatting sqref="E21">
    <cfRule type="expression" dxfId="6199" priority="142">
      <formula>AND(IF(OR($Q21=1,$Q21=2),1,0),IF($X21&lt;=20,1,0))</formula>
    </cfRule>
    <cfRule type="expression" dxfId="6198" priority="143">
      <formula>AND(IF($Q21=2,1,0),IF($X21&lt;30,1,0))</formula>
    </cfRule>
    <cfRule type="expression" dxfId="6197" priority="144">
      <formula>AND(IF($Q21=3,1,0),IF($X21&lt;30,1,0))</formula>
    </cfRule>
    <cfRule type="expression" dxfId="6196" priority="145">
      <formula>AND(IF($Q21=3,1,IF($Q21=4,1,0)),IF($F21&lt;=85,1,0))</formula>
    </cfRule>
  </conditionalFormatting>
  <conditionalFormatting sqref="X21">
    <cfRule type="expression" dxfId="6195" priority="138">
      <formula>AND(IF(OR($Q21=1,$Q21=2),1,0),IF($X21&lt;=20,1,0))</formula>
    </cfRule>
    <cfRule type="expression" dxfId="6194" priority="139">
      <formula>AND(IF($Q21=2,1,0),IF($X21&lt;30,1,0))</formula>
    </cfRule>
    <cfRule type="expression" dxfId="6193" priority="140">
      <formula>AND(IF($Q21=3,1,0),IF($X21&lt;30,1,0))</formula>
    </cfRule>
    <cfRule type="expression" dxfId="6192" priority="141">
      <formula>AND(IF($Q21=3,1,IF($Q21=4,1,0)),IF($F21&lt;=85,1,0))</formula>
    </cfRule>
  </conditionalFormatting>
  <conditionalFormatting sqref="AI21">
    <cfRule type="expression" dxfId="6191" priority="134">
      <formula>AND(IF(OR($Q21=1,$Q21=2),1,0),IF($X21&lt;=20,1,0))</formula>
    </cfRule>
    <cfRule type="expression" dxfId="6190" priority="135">
      <formula>AND(IF($Q21=2,1,0),IF($X21&lt;30,1,0))</formula>
    </cfRule>
    <cfRule type="expression" dxfId="6189" priority="136">
      <formula>AND(IF($Q21=3,1,0),IF($X21&lt;30,1,0))</formula>
    </cfRule>
    <cfRule type="expression" dxfId="6188" priority="137">
      <formula>AND(IF($Q21=3,1,IF($Q21=4,1,0)),IF($F21&lt;=85,1,0))</formula>
    </cfRule>
  </conditionalFormatting>
  <conditionalFormatting sqref="AV22">
    <cfRule type="expression" dxfId="6187" priority="132">
      <formula>AV22="X"</formula>
    </cfRule>
    <cfRule type="expression" dxfId="6186" priority="133">
      <formula>AV22="후보"</formula>
    </cfRule>
  </conditionalFormatting>
  <conditionalFormatting sqref="Z22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6185" priority="129" operator="greaterThan">
      <formula>0.9</formula>
    </cfRule>
    <cfRule type="cellIs" dxfId="6184" priority="130" operator="greaterThan">
      <formula>0.85</formula>
    </cfRule>
  </conditionalFormatting>
  <conditionalFormatting sqref="N22">
    <cfRule type="cellIs" dxfId="6183" priority="127" operator="greaterThan">
      <formula>0.9</formula>
    </cfRule>
    <cfRule type="cellIs" dxfId="6182" priority="128" operator="greaterThan">
      <formula>0.85</formula>
    </cfRule>
  </conditionalFormatting>
  <conditionalFormatting sqref="E22">
    <cfRule type="expression" dxfId="6181" priority="123">
      <formula>AND(IF(OR($Q22=1,$Q22=2),1,0),IF($X22&lt;=20,1,0))</formula>
    </cfRule>
    <cfRule type="expression" dxfId="6180" priority="124">
      <formula>AND(IF($Q22=2,1,0),IF($X22&lt;30,1,0))</formula>
    </cfRule>
    <cfRule type="expression" dxfId="6179" priority="125">
      <formula>AND(IF($Q22=3,1,0),IF($X22&lt;30,1,0))</formula>
    </cfRule>
    <cfRule type="expression" dxfId="6178" priority="126">
      <formula>AND(IF($Q22=3,1,IF($Q22=4,1,0)),IF($F22&lt;=85,1,0))</formula>
    </cfRule>
  </conditionalFormatting>
  <conditionalFormatting sqref="X22">
    <cfRule type="expression" dxfId="6177" priority="119">
      <formula>AND(IF(OR($Q22=1,$Q22=2),1,0),IF($X22&lt;=20,1,0))</formula>
    </cfRule>
    <cfRule type="expression" dxfId="6176" priority="120">
      <formula>AND(IF($Q22=2,1,0),IF($X22&lt;30,1,0))</formula>
    </cfRule>
    <cfRule type="expression" dxfId="6175" priority="121">
      <formula>AND(IF($Q22=3,1,0),IF($X22&lt;30,1,0))</formula>
    </cfRule>
    <cfRule type="expression" dxfId="6174" priority="122">
      <formula>AND(IF($Q22=3,1,IF($Q22=4,1,0)),IF($F22&lt;=85,1,0))</formula>
    </cfRule>
  </conditionalFormatting>
  <conditionalFormatting sqref="AI22">
    <cfRule type="expression" dxfId="6173" priority="115">
      <formula>AND(IF(OR($Q22=1,$Q22=2),1,0),IF($X22&lt;=20,1,0))</formula>
    </cfRule>
    <cfRule type="expression" dxfId="6172" priority="116">
      <formula>AND(IF($Q22=2,1,0),IF($X22&lt;30,1,0))</formula>
    </cfRule>
    <cfRule type="expression" dxfId="6171" priority="117">
      <formula>AND(IF($Q22=3,1,0),IF($X22&lt;30,1,0))</formula>
    </cfRule>
    <cfRule type="expression" dxfId="6170" priority="118">
      <formula>AND(IF($Q22=3,1,IF($Q22=4,1,0)),IF($F22&lt;=85,1,0))</formula>
    </cfRule>
  </conditionalFormatting>
  <conditionalFormatting sqref="AV23">
    <cfRule type="expression" dxfId="6169" priority="113">
      <formula>AV23="X"</formula>
    </cfRule>
    <cfRule type="expression" dxfId="6168" priority="114">
      <formula>AV23="후보"</formula>
    </cfRule>
  </conditionalFormatting>
  <conditionalFormatting sqref="Z23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6167" priority="110" operator="greaterThan">
      <formula>0.9</formula>
    </cfRule>
    <cfRule type="cellIs" dxfId="6166" priority="111" operator="greaterThan">
      <formula>0.85</formula>
    </cfRule>
  </conditionalFormatting>
  <conditionalFormatting sqref="N23">
    <cfRule type="cellIs" dxfId="6165" priority="108" operator="greaterThan">
      <formula>0.9</formula>
    </cfRule>
    <cfRule type="cellIs" dxfId="6164" priority="109" operator="greaterThan">
      <formula>0.85</formula>
    </cfRule>
  </conditionalFormatting>
  <conditionalFormatting sqref="E23">
    <cfRule type="expression" dxfId="6163" priority="104">
      <formula>AND(IF(OR($Q23=1,$Q23=2),1,0),IF($X23&lt;=20,1,0))</formula>
    </cfRule>
    <cfRule type="expression" dxfId="6162" priority="105">
      <formula>AND(IF($Q23=2,1,0),IF($X23&lt;30,1,0))</formula>
    </cfRule>
    <cfRule type="expression" dxfId="6161" priority="106">
      <formula>AND(IF($Q23=3,1,0),IF($X23&lt;30,1,0))</formula>
    </cfRule>
    <cfRule type="expression" dxfId="6160" priority="107">
      <formula>AND(IF($Q23=3,1,IF($Q23=4,1,0)),IF($F23&lt;=85,1,0))</formula>
    </cfRule>
  </conditionalFormatting>
  <conditionalFormatting sqref="X23">
    <cfRule type="expression" dxfId="6159" priority="100">
      <formula>AND(IF(OR($Q23=1,$Q23=2),1,0),IF($X23&lt;=20,1,0))</formula>
    </cfRule>
    <cfRule type="expression" dxfId="6158" priority="101">
      <formula>AND(IF($Q23=2,1,0),IF($X23&lt;30,1,0))</formula>
    </cfRule>
    <cfRule type="expression" dxfId="6157" priority="102">
      <formula>AND(IF($Q23=3,1,0),IF($X23&lt;30,1,0))</formula>
    </cfRule>
    <cfRule type="expression" dxfId="6156" priority="103">
      <formula>AND(IF($Q23=3,1,IF($Q23=4,1,0)),IF($F23&lt;=85,1,0))</formula>
    </cfRule>
  </conditionalFormatting>
  <conditionalFormatting sqref="AI23">
    <cfRule type="expression" dxfId="6155" priority="96">
      <formula>AND(IF(OR($Q23=1,$Q23=2),1,0),IF($X23&lt;=20,1,0))</formula>
    </cfRule>
    <cfRule type="expression" dxfId="6154" priority="97">
      <formula>AND(IF($Q23=2,1,0),IF($X23&lt;30,1,0))</formula>
    </cfRule>
    <cfRule type="expression" dxfId="6153" priority="98">
      <formula>AND(IF($Q23=3,1,0),IF($X23&lt;30,1,0))</formula>
    </cfRule>
    <cfRule type="expression" dxfId="6152" priority="99">
      <formula>AND(IF($Q23=3,1,IF($Q23=4,1,0)),IF($F23&lt;=85,1,0))</formula>
    </cfRule>
  </conditionalFormatting>
  <conditionalFormatting sqref="AV24">
    <cfRule type="expression" dxfId="6151" priority="94">
      <formula>AV24="X"</formula>
    </cfRule>
    <cfRule type="expression" dxfId="6150" priority="95">
      <formula>AV24="후보"</formula>
    </cfRule>
  </conditionalFormatting>
  <conditionalFormatting sqref="Z24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6149" priority="91" operator="greaterThan">
      <formula>0.9</formula>
    </cfRule>
    <cfRule type="cellIs" dxfId="6148" priority="92" operator="greaterThan">
      <formula>0.85</formula>
    </cfRule>
  </conditionalFormatting>
  <conditionalFormatting sqref="N24">
    <cfRule type="cellIs" dxfId="6147" priority="89" operator="greaterThan">
      <formula>0.9</formula>
    </cfRule>
    <cfRule type="cellIs" dxfId="6146" priority="90" operator="greaterThan">
      <formula>0.85</formula>
    </cfRule>
  </conditionalFormatting>
  <conditionalFormatting sqref="E24">
    <cfRule type="expression" dxfId="6145" priority="85">
      <formula>AND(IF(OR($Q24=1,$Q24=2),1,0),IF($X24&lt;=20,1,0))</formula>
    </cfRule>
    <cfRule type="expression" dxfId="6144" priority="86">
      <formula>AND(IF($Q24=2,1,0),IF($X24&lt;30,1,0))</formula>
    </cfRule>
    <cfRule type="expression" dxfId="6143" priority="87">
      <formula>AND(IF($Q24=3,1,0),IF($X24&lt;30,1,0))</formula>
    </cfRule>
    <cfRule type="expression" dxfId="6142" priority="88">
      <formula>AND(IF($Q24=3,1,IF($Q24=4,1,0)),IF($F24&lt;=85,1,0))</formula>
    </cfRule>
  </conditionalFormatting>
  <conditionalFormatting sqref="X24">
    <cfRule type="expression" dxfId="6141" priority="81">
      <formula>AND(IF(OR($Q24=1,$Q24=2),1,0),IF($X24&lt;=20,1,0))</formula>
    </cfRule>
    <cfRule type="expression" dxfId="6140" priority="82">
      <formula>AND(IF($Q24=2,1,0),IF($X24&lt;30,1,0))</formula>
    </cfRule>
    <cfRule type="expression" dxfId="6139" priority="83">
      <formula>AND(IF($Q24=3,1,0),IF($X24&lt;30,1,0))</formula>
    </cfRule>
    <cfRule type="expression" dxfId="6138" priority="84">
      <formula>AND(IF($Q24=3,1,IF($Q24=4,1,0)),IF($F24&lt;=85,1,0))</formula>
    </cfRule>
  </conditionalFormatting>
  <conditionalFormatting sqref="AI24">
    <cfRule type="expression" dxfId="6137" priority="77">
      <formula>AND(IF(OR($Q24=1,$Q24=2),1,0),IF($X24&lt;=20,1,0))</formula>
    </cfRule>
    <cfRule type="expression" dxfId="6136" priority="78">
      <formula>AND(IF($Q24=2,1,0),IF($X24&lt;30,1,0))</formula>
    </cfRule>
    <cfRule type="expression" dxfId="6135" priority="79">
      <formula>AND(IF($Q24=3,1,0),IF($X24&lt;30,1,0))</formula>
    </cfRule>
    <cfRule type="expression" dxfId="6134" priority="80">
      <formula>AND(IF($Q24=3,1,IF($Q24=4,1,0)),IF($F24&lt;=85,1,0))</formula>
    </cfRule>
  </conditionalFormatting>
  <conditionalFormatting sqref="AV25">
    <cfRule type="expression" dxfId="6133" priority="75">
      <formula>AV25="X"</formula>
    </cfRule>
    <cfRule type="expression" dxfId="6132" priority="76">
      <formula>AV25="후보"</formula>
    </cfRule>
  </conditionalFormatting>
  <conditionalFormatting sqref="Z2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6131" priority="72" operator="greaterThan">
      <formula>0.9</formula>
    </cfRule>
    <cfRule type="cellIs" dxfId="6130" priority="73" operator="greaterThan">
      <formula>0.85</formula>
    </cfRule>
  </conditionalFormatting>
  <conditionalFormatting sqref="N25">
    <cfRule type="cellIs" dxfId="6129" priority="70" operator="greaterThan">
      <formula>0.9</formula>
    </cfRule>
    <cfRule type="cellIs" dxfId="6128" priority="71" operator="greaterThan">
      <formula>0.85</formula>
    </cfRule>
  </conditionalFormatting>
  <conditionalFormatting sqref="E25">
    <cfRule type="expression" dxfId="6127" priority="66">
      <formula>AND(IF(OR($Q25=1,$Q25=2),1,0),IF($X25&lt;=20,1,0))</formula>
    </cfRule>
    <cfRule type="expression" dxfId="6126" priority="67">
      <formula>AND(IF($Q25=2,1,0),IF($X25&lt;30,1,0))</formula>
    </cfRule>
    <cfRule type="expression" dxfId="6125" priority="68">
      <formula>AND(IF($Q25=3,1,0),IF($X25&lt;30,1,0))</formula>
    </cfRule>
    <cfRule type="expression" dxfId="6124" priority="69">
      <formula>AND(IF($Q25=3,1,IF($Q25=4,1,0)),IF($F25&lt;=85,1,0))</formula>
    </cfRule>
  </conditionalFormatting>
  <conditionalFormatting sqref="X25">
    <cfRule type="expression" dxfId="6123" priority="62">
      <formula>AND(IF(OR($Q25=1,$Q25=2),1,0),IF($X25&lt;=20,1,0))</formula>
    </cfRule>
    <cfRule type="expression" dxfId="6122" priority="63">
      <formula>AND(IF($Q25=2,1,0),IF($X25&lt;30,1,0))</formula>
    </cfRule>
    <cfRule type="expression" dxfId="6121" priority="64">
      <formula>AND(IF($Q25=3,1,0),IF($X25&lt;30,1,0))</formula>
    </cfRule>
    <cfRule type="expression" dxfId="6120" priority="65">
      <formula>AND(IF($Q25=3,1,IF($Q25=4,1,0)),IF($F25&lt;=85,1,0))</formula>
    </cfRule>
  </conditionalFormatting>
  <conditionalFormatting sqref="AI25">
    <cfRule type="expression" dxfId="6119" priority="58">
      <formula>AND(IF(OR($Q25=1,$Q25=2),1,0),IF($X25&lt;=20,1,0))</formula>
    </cfRule>
    <cfRule type="expression" dxfId="6118" priority="59">
      <formula>AND(IF($Q25=2,1,0),IF($X25&lt;30,1,0))</formula>
    </cfRule>
    <cfRule type="expression" dxfId="6117" priority="60">
      <formula>AND(IF($Q25=3,1,0),IF($X25&lt;30,1,0))</formula>
    </cfRule>
    <cfRule type="expression" dxfId="6116" priority="61">
      <formula>AND(IF($Q25=3,1,IF($Q25=4,1,0)),IF($F25&lt;=85,1,0))</formula>
    </cfRule>
  </conditionalFormatting>
  <conditionalFormatting sqref="AV26">
    <cfRule type="expression" dxfId="6115" priority="56">
      <formula>AV26="X"</formula>
    </cfRule>
    <cfRule type="expression" dxfId="6114" priority="57">
      <formula>AV26="후보"</formula>
    </cfRule>
  </conditionalFormatting>
  <conditionalFormatting sqref="Z2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6113" priority="53" operator="greaterThan">
      <formula>0.9</formula>
    </cfRule>
    <cfRule type="cellIs" dxfId="6112" priority="54" operator="greaterThan">
      <formula>0.85</formula>
    </cfRule>
  </conditionalFormatting>
  <conditionalFormatting sqref="N26">
    <cfRule type="cellIs" dxfId="6111" priority="51" operator="greaterThan">
      <formula>0.9</formula>
    </cfRule>
    <cfRule type="cellIs" dxfId="6110" priority="52" operator="greaterThan">
      <formula>0.85</formula>
    </cfRule>
  </conditionalFormatting>
  <conditionalFormatting sqref="E26">
    <cfRule type="expression" dxfId="6109" priority="47">
      <formula>AND(IF(OR($Q26=1,$Q26=2),1,0),IF($X26&lt;=20,1,0))</formula>
    </cfRule>
    <cfRule type="expression" dxfId="6108" priority="48">
      <formula>AND(IF($Q26=2,1,0),IF($X26&lt;30,1,0))</formula>
    </cfRule>
    <cfRule type="expression" dxfId="6107" priority="49">
      <formula>AND(IF($Q26=3,1,0),IF($X26&lt;30,1,0))</formula>
    </cfRule>
    <cfRule type="expression" dxfId="6106" priority="50">
      <formula>AND(IF($Q26=3,1,IF($Q26=4,1,0)),IF($F26&lt;=85,1,0))</formula>
    </cfRule>
  </conditionalFormatting>
  <conditionalFormatting sqref="X26">
    <cfRule type="expression" dxfId="6105" priority="43">
      <formula>AND(IF(OR($Q26=1,$Q26=2),1,0),IF($X26&lt;=20,1,0))</formula>
    </cfRule>
    <cfRule type="expression" dxfId="6104" priority="44">
      <formula>AND(IF($Q26=2,1,0),IF($X26&lt;30,1,0))</formula>
    </cfRule>
    <cfRule type="expression" dxfId="6103" priority="45">
      <formula>AND(IF($Q26=3,1,0),IF($X26&lt;30,1,0))</formula>
    </cfRule>
    <cfRule type="expression" dxfId="6102" priority="46">
      <formula>AND(IF($Q26=3,1,IF($Q26=4,1,0)),IF($F26&lt;=85,1,0))</formula>
    </cfRule>
  </conditionalFormatting>
  <conditionalFormatting sqref="AI26">
    <cfRule type="expression" dxfId="6101" priority="39">
      <formula>AND(IF(OR($Q26=1,$Q26=2),1,0),IF($X26&lt;=20,1,0))</formula>
    </cfRule>
    <cfRule type="expression" dxfId="6100" priority="40">
      <formula>AND(IF($Q26=2,1,0),IF($X26&lt;30,1,0))</formula>
    </cfRule>
    <cfRule type="expression" dxfId="6099" priority="41">
      <formula>AND(IF($Q26=3,1,0),IF($X26&lt;30,1,0))</formula>
    </cfRule>
    <cfRule type="expression" dxfId="6098" priority="42">
      <formula>AND(IF($Q26=3,1,IF($Q26=4,1,0)),IF($F26&lt;=85,1,0))</formula>
    </cfRule>
  </conditionalFormatting>
  <conditionalFormatting sqref="AV27">
    <cfRule type="expression" dxfId="6097" priority="37">
      <formula>AV27="X"</formula>
    </cfRule>
    <cfRule type="expression" dxfId="6096" priority="38">
      <formula>AV27="후보"</formula>
    </cfRule>
  </conditionalFormatting>
  <conditionalFormatting sqref="Z2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6095" priority="34" operator="greaterThan">
      <formula>0.9</formula>
    </cfRule>
    <cfRule type="cellIs" dxfId="6094" priority="35" operator="greaterThan">
      <formula>0.85</formula>
    </cfRule>
  </conditionalFormatting>
  <conditionalFormatting sqref="N27">
    <cfRule type="cellIs" dxfId="6093" priority="32" operator="greaterThan">
      <formula>0.9</formula>
    </cfRule>
    <cfRule type="cellIs" dxfId="6092" priority="33" operator="greaterThan">
      <formula>0.85</formula>
    </cfRule>
  </conditionalFormatting>
  <conditionalFormatting sqref="E27">
    <cfRule type="expression" dxfId="6091" priority="28">
      <formula>AND(IF(OR($Q27=1,$Q27=2),1,0),IF($X27&lt;=20,1,0))</formula>
    </cfRule>
    <cfRule type="expression" dxfId="6090" priority="29">
      <formula>AND(IF($Q27=2,1,0),IF($X27&lt;30,1,0))</formula>
    </cfRule>
    <cfRule type="expression" dxfId="6089" priority="30">
      <formula>AND(IF($Q27=3,1,0),IF($X27&lt;30,1,0))</formula>
    </cfRule>
    <cfRule type="expression" dxfId="6088" priority="31">
      <formula>AND(IF($Q27=3,1,IF($Q27=4,1,0)),IF($F27&lt;=85,1,0))</formula>
    </cfRule>
  </conditionalFormatting>
  <conditionalFormatting sqref="X27">
    <cfRule type="expression" dxfId="6087" priority="24">
      <formula>AND(IF(OR($Q27=1,$Q27=2),1,0),IF($X27&lt;=20,1,0))</formula>
    </cfRule>
    <cfRule type="expression" dxfId="6086" priority="25">
      <formula>AND(IF($Q27=2,1,0),IF($X27&lt;30,1,0))</formula>
    </cfRule>
    <cfRule type="expression" dxfId="6085" priority="26">
      <formula>AND(IF($Q27=3,1,0),IF($X27&lt;30,1,0))</formula>
    </cfRule>
    <cfRule type="expression" dxfId="6084" priority="27">
      <formula>AND(IF($Q27=3,1,IF($Q27=4,1,0)),IF($F27&lt;=85,1,0))</formula>
    </cfRule>
  </conditionalFormatting>
  <conditionalFormatting sqref="AI27">
    <cfRule type="expression" dxfId="6083" priority="20">
      <formula>AND(IF(OR($Q27=1,$Q27=2),1,0),IF($X27&lt;=20,1,0))</formula>
    </cfRule>
    <cfRule type="expression" dxfId="6082" priority="21">
      <formula>AND(IF($Q27=2,1,0),IF($X27&lt;30,1,0))</formula>
    </cfRule>
    <cfRule type="expression" dxfId="6081" priority="22">
      <formula>AND(IF($Q27=3,1,0),IF($X27&lt;30,1,0))</formula>
    </cfRule>
    <cfRule type="expression" dxfId="6080" priority="23">
      <formula>AND(IF($Q27=3,1,IF($Q27=4,1,0)),IF($F27&lt;=85,1,0))</formula>
    </cfRule>
  </conditionalFormatting>
  <conditionalFormatting sqref="AV28">
    <cfRule type="expression" dxfId="6079" priority="18">
      <formula>AV28="X"</formula>
    </cfRule>
    <cfRule type="expression" dxfId="6078" priority="19">
      <formula>AV28="후보"</formula>
    </cfRule>
  </conditionalFormatting>
  <conditionalFormatting sqref="Z2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6077" priority="15" operator="greaterThan">
      <formula>0.9</formula>
    </cfRule>
    <cfRule type="cellIs" dxfId="6076" priority="16" operator="greaterThan">
      <formula>0.85</formula>
    </cfRule>
  </conditionalFormatting>
  <conditionalFormatting sqref="N28">
    <cfRule type="cellIs" dxfId="6075" priority="13" operator="greaterThan">
      <formula>0.9</formula>
    </cfRule>
    <cfRule type="cellIs" dxfId="6074" priority="14" operator="greaterThan">
      <formula>0.85</formula>
    </cfRule>
  </conditionalFormatting>
  <conditionalFormatting sqref="E28">
    <cfRule type="expression" dxfId="6073" priority="9">
      <formula>AND(IF(OR($Q28=1,$Q28=2),1,0),IF($X28&lt;=20,1,0))</formula>
    </cfRule>
    <cfRule type="expression" dxfId="6072" priority="10">
      <formula>AND(IF($Q28=2,1,0),IF($X28&lt;30,1,0))</formula>
    </cfRule>
    <cfRule type="expression" dxfId="6071" priority="11">
      <formula>AND(IF($Q28=3,1,0),IF($X28&lt;30,1,0))</formula>
    </cfRule>
    <cfRule type="expression" dxfId="6070" priority="12">
      <formula>AND(IF($Q28=3,1,IF($Q28=4,1,0)),IF($F28&lt;=85,1,0))</formula>
    </cfRule>
  </conditionalFormatting>
  <conditionalFormatting sqref="X28">
    <cfRule type="expression" dxfId="6069" priority="5">
      <formula>AND(IF(OR($Q28=1,$Q28=2),1,0),IF($X28&lt;=20,1,0))</formula>
    </cfRule>
    <cfRule type="expression" dxfId="6068" priority="6">
      <formula>AND(IF($Q28=2,1,0),IF($X28&lt;30,1,0))</formula>
    </cfRule>
    <cfRule type="expression" dxfId="6067" priority="7">
      <formula>AND(IF($Q28=3,1,0),IF($X28&lt;30,1,0))</formula>
    </cfRule>
    <cfRule type="expression" dxfId="6066" priority="8">
      <formula>AND(IF($Q28=3,1,IF($Q28=4,1,0)),IF($F28&lt;=85,1,0))</formula>
    </cfRule>
  </conditionalFormatting>
  <conditionalFormatting sqref="AI28">
    <cfRule type="expression" dxfId="6065" priority="1">
      <formula>AND(IF(OR($Q28=1,$Q28=2),1,0),IF($X28&lt;=20,1,0))</formula>
    </cfRule>
    <cfRule type="expression" dxfId="6064" priority="2">
      <formula>AND(IF($Q28=2,1,0),IF($X28&lt;30,1,0))</formula>
    </cfRule>
    <cfRule type="expression" dxfId="6063" priority="3">
      <formula>AND(IF($Q28=3,1,0),IF($X28&lt;30,1,0))</formula>
    </cfRule>
    <cfRule type="expression" dxfId="6062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용현동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3163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용현동 금호어울림4단지('10.12.,209^)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3164</v>
      </c>
      <c r="B6" s="16" t="s">
        <v>3165</v>
      </c>
      <c r="C6" s="28">
        <v>209</v>
      </c>
      <c r="D6" s="25">
        <v>80.2</v>
      </c>
      <c r="E6" s="106">
        <v>24</v>
      </c>
      <c r="F6" s="25">
        <v>59.9</v>
      </c>
      <c r="G6" s="27">
        <v>18</v>
      </c>
      <c r="H6" s="28">
        <v>67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3157</v>
      </c>
      <c r="T6" s="8">
        <v>80</v>
      </c>
      <c r="U6" s="13"/>
      <c r="W6" s="25">
        <f>D6</f>
        <v>80.2</v>
      </c>
      <c r="X6" s="106">
        <f>E6</f>
        <v>24</v>
      </c>
      <c r="Y6" s="32">
        <f>H6</f>
        <v>67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금호어울림4단지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3164</v>
      </c>
      <c r="B7" s="16" t="s">
        <v>3165</v>
      </c>
      <c r="C7" s="28">
        <v>209</v>
      </c>
      <c r="D7" s="25">
        <v>95.4</v>
      </c>
      <c r="E7" s="106">
        <v>29</v>
      </c>
      <c r="F7" s="25">
        <v>76.599999999999994</v>
      </c>
      <c r="G7" s="27">
        <v>23</v>
      </c>
      <c r="H7" s="28">
        <v>56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3157</v>
      </c>
      <c r="T7" s="8">
        <v>95</v>
      </c>
      <c r="U7" s="13"/>
      <c r="W7" s="25">
        <f>D7</f>
        <v>95.4</v>
      </c>
      <c r="X7" s="106">
        <f>E7</f>
        <v>29</v>
      </c>
      <c r="Y7" s="32">
        <f>H7</f>
        <v>56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금호어울림4단지</v>
      </c>
      <c r="AI7" s="106">
        <f>IF(E7="","",E7)</f>
        <v>29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3164</v>
      </c>
      <c r="B8" s="16" t="s">
        <v>3165</v>
      </c>
      <c r="C8" s="28">
        <v>209</v>
      </c>
      <c r="D8" s="25">
        <v>107.3</v>
      </c>
      <c r="E8" s="106">
        <v>32</v>
      </c>
      <c r="F8" s="25">
        <v>84.8</v>
      </c>
      <c r="G8" s="27">
        <v>26</v>
      </c>
      <c r="H8" s="28">
        <v>86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3157</v>
      </c>
      <c r="T8" s="8">
        <v>107</v>
      </c>
      <c r="U8" s="13"/>
      <c r="W8" s="25">
        <f>D8</f>
        <v>107.3</v>
      </c>
      <c r="X8" s="106">
        <f>E8</f>
        <v>32</v>
      </c>
      <c r="Y8" s="32">
        <f>H8</f>
        <v>86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금호어울림4단지</v>
      </c>
      <c r="AI8" s="106">
        <f>IF(E8="","",E8)</f>
        <v>32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용현동 용현자이크레스트('23.11.,2277^)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3166</v>
      </c>
      <c r="B10" s="16" t="s">
        <v>3167</v>
      </c>
      <c r="C10" s="28">
        <v>2277</v>
      </c>
      <c r="D10" s="25">
        <v>82.4</v>
      </c>
      <c r="E10" s="106">
        <v>25</v>
      </c>
      <c r="F10" s="25">
        <v>60</v>
      </c>
      <c r="G10" s="27">
        <v>18</v>
      </c>
      <c r="H10" s="28">
        <v>571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3157</v>
      </c>
      <c r="T10" s="8" t="s">
        <v>152</v>
      </c>
      <c r="U10" s="13"/>
      <c r="W10" s="25">
        <f>D10</f>
        <v>82.4</v>
      </c>
      <c r="X10" s="106">
        <f>E10</f>
        <v>25</v>
      </c>
      <c r="Y10" s="32">
        <f>H10</f>
        <v>571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용현자이크레스트</v>
      </c>
      <c r="AI10" s="106">
        <f>IF(E10="","",E10)</f>
        <v>25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3166</v>
      </c>
      <c r="B11" s="16" t="s">
        <v>3167</v>
      </c>
      <c r="C11" s="28">
        <v>2277</v>
      </c>
      <c r="D11" s="25">
        <v>82.6</v>
      </c>
      <c r="E11" s="106">
        <v>25</v>
      </c>
      <c r="F11" s="25">
        <v>60</v>
      </c>
      <c r="G11" s="27">
        <v>18</v>
      </c>
      <c r="H11" s="28">
        <v>168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2</v>
      </c>
      <c r="R11" s="15">
        <v>2</v>
      </c>
      <c r="S11" s="113" t="s">
        <v>3157</v>
      </c>
      <c r="T11" s="8" t="s">
        <v>748</v>
      </c>
      <c r="U11" s="13"/>
      <c r="W11" s="25">
        <f>D11</f>
        <v>82.6</v>
      </c>
      <c r="X11" s="106">
        <f>E11</f>
        <v>25</v>
      </c>
      <c r="Y11" s="32">
        <f>H11</f>
        <v>168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2/2</v>
      </c>
      <c r="AH11" s="36" t="str">
        <f>IF(A11="","",A11)</f>
        <v>용현자이크레스트</v>
      </c>
      <c r="AI11" s="106">
        <f>IF(E11="","",E11)</f>
        <v>25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3166</v>
      </c>
      <c r="B12" s="16" t="s">
        <v>3167</v>
      </c>
      <c r="C12" s="28">
        <v>2277</v>
      </c>
      <c r="D12" s="25">
        <v>82.6</v>
      </c>
      <c r="E12" s="106">
        <v>25</v>
      </c>
      <c r="F12" s="25">
        <v>60</v>
      </c>
      <c r="G12" s="27">
        <v>18</v>
      </c>
      <c r="H12" s="28">
        <v>12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3157</v>
      </c>
      <c r="T12" s="8" t="s">
        <v>503</v>
      </c>
      <c r="U12" s="13"/>
      <c r="W12" s="25">
        <f>D12</f>
        <v>82.6</v>
      </c>
      <c r="X12" s="106">
        <f>E12</f>
        <v>25</v>
      </c>
      <c r="Y12" s="32">
        <f>H12</f>
        <v>12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용현자이크레스트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3166</v>
      </c>
      <c r="B13" s="16" t="s">
        <v>3167</v>
      </c>
      <c r="C13" s="28">
        <v>2277</v>
      </c>
      <c r="D13" s="25">
        <v>82.4</v>
      </c>
      <c r="E13" s="106">
        <v>25</v>
      </c>
      <c r="F13" s="25">
        <v>60</v>
      </c>
      <c r="G13" s="27">
        <v>18</v>
      </c>
      <c r="H13" s="28">
        <v>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3157</v>
      </c>
      <c r="T13" s="8" t="s">
        <v>1074</v>
      </c>
      <c r="U13" s="13"/>
      <c r="W13" s="25">
        <f>D13</f>
        <v>82.4</v>
      </c>
      <c r="X13" s="106">
        <f>E13</f>
        <v>25</v>
      </c>
      <c r="Y13" s="32">
        <f>H13</f>
        <v>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용현자이크레스트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3166</v>
      </c>
      <c r="B14" s="16" t="s">
        <v>3167</v>
      </c>
      <c r="C14" s="28">
        <v>2277</v>
      </c>
      <c r="D14" s="25">
        <v>102.4</v>
      </c>
      <c r="E14" s="106">
        <v>31</v>
      </c>
      <c r="F14" s="25">
        <v>75</v>
      </c>
      <c r="G14" s="27">
        <v>23</v>
      </c>
      <c r="H14" s="28">
        <v>293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3157</v>
      </c>
      <c r="T14" s="8" t="s">
        <v>1262</v>
      </c>
      <c r="U14" s="13"/>
      <c r="W14" s="25">
        <f>D14</f>
        <v>102.4</v>
      </c>
      <c r="X14" s="106">
        <f>E14</f>
        <v>31</v>
      </c>
      <c r="Y14" s="32">
        <f>H14</f>
        <v>293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용현자이크레스트</v>
      </c>
      <c r="AI14" s="106">
        <f>IF(E14="","",E14)</f>
        <v>31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3166</v>
      </c>
      <c r="B15" s="16" t="s">
        <v>3167</v>
      </c>
      <c r="C15" s="28">
        <v>2277</v>
      </c>
      <c r="D15" s="25">
        <v>102.4</v>
      </c>
      <c r="E15" s="106">
        <v>31</v>
      </c>
      <c r="F15" s="25">
        <v>75</v>
      </c>
      <c r="G15" s="27">
        <v>23</v>
      </c>
      <c r="H15" s="28">
        <v>253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3157</v>
      </c>
      <c r="T15" s="8" t="s">
        <v>186</v>
      </c>
      <c r="U15" s="13"/>
      <c r="W15" s="25">
        <f>D15</f>
        <v>102.4</v>
      </c>
      <c r="X15" s="106">
        <f>E15</f>
        <v>31</v>
      </c>
      <c r="Y15" s="32">
        <f>H15</f>
        <v>253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용현자이크레스트</v>
      </c>
      <c r="AI15" s="106">
        <f>IF(E15="","",E15)</f>
        <v>31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3166</v>
      </c>
      <c r="B16" s="16" t="s">
        <v>3167</v>
      </c>
      <c r="C16" s="28">
        <v>2277</v>
      </c>
      <c r="D16" s="25">
        <v>102.7</v>
      </c>
      <c r="E16" s="106">
        <v>31</v>
      </c>
      <c r="F16" s="25">
        <v>75</v>
      </c>
      <c r="G16" s="27">
        <v>23</v>
      </c>
      <c r="H16" s="28">
        <v>161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3157</v>
      </c>
      <c r="T16" s="8" t="s">
        <v>1478</v>
      </c>
      <c r="U16" s="13"/>
      <c r="W16" s="25">
        <f>D16</f>
        <v>102.7</v>
      </c>
      <c r="X16" s="106">
        <f>E16</f>
        <v>31</v>
      </c>
      <c r="Y16" s="32">
        <f>H16</f>
        <v>161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용현자이크레스트</v>
      </c>
      <c r="AI16" s="106">
        <f>IF(E16="","",E16)</f>
        <v>31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3166</v>
      </c>
      <c r="B17" s="16" t="s">
        <v>3167</v>
      </c>
      <c r="C17" s="28">
        <v>2277</v>
      </c>
      <c r="D17" s="25">
        <v>102.6</v>
      </c>
      <c r="E17" s="106">
        <v>31</v>
      </c>
      <c r="F17" s="25">
        <v>75</v>
      </c>
      <c r="G17" s="27">
        <v>23</v>
      </c>
      <c r="H17" s="28">
        <v>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3157</v>
      </c>
      <c r="T17" s="8" t="s">
        <v>634</v>
      </c>
      <c r="U17" s="13"/>
      <c r="W17" s="25">
        <f>D17</f>
        <v>102.6</v>
      </c>
      <c r="X17" s="106">
        <f>E17</f>
        <v>31</v>
      </c>
      <c r="Y17" s="32">
        <f>H17</f>
        <v>5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용현자이크레스트</v>
      </c>
      <c r="AI17" s="106">
        <f>IF(E17="","",E17)</f>
        <v>31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3166</v>
      </c>
      <c r="B18" s="16" t="s">
        <v>3167</v>
      </c>
      <c r="C18" s="28">
        <v>2277</v>
      </c>
      <c r="D18" s="25">
        <v>114.9</v>
      </c>
      <c r="E18" s="106">
        <v>35</v>
      </c>
      <c r="F18" s="25">
        <v>85</v>
      </c>
      <c r="G18" s="27">
        <v>26</v>
      </c>
      <c r="H18" s="28">
        <v>167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3157</v>
      </c>
      <c r="T18" s="8" t="s">
        <v>188</v>
      </c>
      <c r="U18" s="13"/>
      <c r="W18" s="25">
        <f>D18</f>
        <v>114.9</v>
      </c>
      <c r="X18" s="106">
        <f>E18</f>
        <v>35</v>
      </c>
      <c r="Y18" s="32">
        <f>H18</f>
        <v>167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용현자이크레스트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3166</v>
      </c>
      <c r="B19" s="16" t="s">
        <v>3167</v>
      </c>
      <c r="C19" s="28">
        <v>2277</v>
      </c>
      <c r="D19" s="25">
        <v>115.3</v>
      </c>
      <c r="E19" s="106">
        <v>35</v>
      </c>
      <c r="F19" s="25">
        <v>85</v>
      </c>
      <c r="G19" s="27">
        <v>26</v>
      </c>
      <c r="H19" s="28">
        <v>641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3157</v>
      </c>
      <c r="T19" s="8" t="s">
        <v>1479</v>
      </c>
      <c r="U19" s="13"/>
      <c r="W19" s="25">
        <f>D19</f>
        <v>115.3</v>
      </c>
      <c r="X19" s="106">
        <f>E19</f>
        <v>35</v>
      </c>
      <c r="Y19" s="32">
        <f>H19</f>
        <v>641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용현자이크레스트</v>
      </c>
      <c r="AI19" s="106">
        <f>IF(E19="","",E19)</f>
        <v>35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용현동 인천용현엑슬루타워('11.09.,630^)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3168</v>
      </c>
      <c r="B21" s="16" t="s">
        <v>3169</v>
      </c>
      <c r="C21" s="28">
        <v>630</v>
      </c>
      <c r="D21" s="25">
        <v>83.3</v>
      </c>
      <c r="E21" s="106">
        <v>25</v>
      </c>
      <c r="F21" s="25">
        <v>59.9</v>
      </c>
      <c r="G21" s="27">
        <v>18</v>
      </c>
      <c r="H21" s="28">
        <v>58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3157</v>
      </c>
      <c r="T21" s="8" t="s">
        <v>220</v>
      </c>
      <c r="U21" s="13"/>
      <c r="W21" s="25">
        <f>D21</f>
        <v>83.3</v>
      </c>
      <c r="X21" s="106">
        <f>E21</f>
        <v>25</v>
      </c>
      <c r="Y21" s="32">
        <f>H21</f>
        <v>58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인천용현엑슬루타워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3170</v>
      </c>
      <c r="B22" s="16" t="s">
        <v>3171</v>
      </c>
      <c r="C22" s="28">
        <v>630</v>
      </c>
      <c r="D22" s="25">
        <v>84.7</v>
      </c>
      <c r="E22" s="106">
        <v>26</v>
      </c>
      <c r="F22" s="25">
        <v>60</v>
      </c>
      <c r="G22" s="27">
        <v>18</v>
      </c>
      <c r="H22" s="28">
        <v>57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3127</v>
      </c>
      <c r="T22" s="8" t="s">
        <v>221</v>
      </c>
      <c r="U22" s="13"/>
      <c r="W22" s="25">
        <f>D22</f>
        <v>84.7</v>
      </c>
      <c r="X22" s="106">
        <f>E22</f>
        <v>26</v>
      </c>
      <c r="Y22" s="32">
        <f>H22</f>
        <v>57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인천용현엑슬루타워</v>
      </c>
      <c r="AI22" s="106">
        <f>IF(E22="","",E22)</f>
        <v>26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3172</v>
      </c>
      <c r="B23" s="16" t="s">
        <v>3173</v>
      </c>
      <c r="C23" s="28">
        <v>630</v>
      </c>
      <c r="D23" s="25">
        <v>112.2</v>
      </c>
      <c r="E23" s="106">
        <v>34</v>
      </c>
      <c r="F23" s="25">
        <v>84.8</v>
      </c>
      <c r="G23" s="27">
        <v>26</v>
      </c>
      <c r="H23" s="28">
        <v>74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64</v>
      </c>
      <c r="T23" s="8">
        <v>112</v>
      </c>
      <c r="U23" s="13"/>
      <c r="W23" s="25">
        <f>D23</f>
        <v>112.2</v>
      </c>
      <c r="X23" s="106">
        <f>E23</f>
        <v>34</v>
      </c>
      <c r="Y23" s="32">
        <f>H23</f>
        <v>74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인천용현엑슬루타워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3172</v>
      </c>
      <c r="B24" s="16" t="s">
        <v>3173</v>
      </c>
      <c r="C24" s="28">
        <v>630</v>
      </c>
      <c r="D24" s="25">
        <v>122.1</v>
      </c>
      <c r="E24" s="106">
        <v>37</v>
      </c>
      <c r="F24" s="25">
        <v>93.7</v>
      </c>
      <c r="G24" s="27">
        <v>28</v>
      </c>
      <c r="H24" s="28">
        <v>86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3174</v>
      </c>
      <c r="T24" s="8">
        <v>122</v>
      </c>
      <c r="U24" s="13"/>
      <c r="W24" s="25">
        <f>D24</f>
        <v>122.1</v>
      </c>
      <c r="X24" s="106">
        <f>E24</f>
        <v>37</v>
      </c>
      <c r="Y24" s="32">
        <f>H24</f>
        <v>86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인천용현엑슬루타워</v>
      </c>
      <c r="AI24" s="106">
        <f>IF(E24="","",E24)</f>
        <v>37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3172</v>
      </c>
      <c r="B25" s="16" t="s">
        <v>3173</v>
      </c>
      <c r="C25" s="28">
        <v>630</v>
      </c>
      <c r="D25" s="25">
        <v>136.5</v>
      </c>
      <c r="E25" s="106">
        <v>41</v>
      </c>
      <c r="F25" s="25">
        <v>102.5</v>
      </c>
      <c r="G25" s="27">
        <v>31</v>
      </c>
      <c r="H25" s="28">
        <v>80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3174</v>
      </c>
      <c r="T25" s="8">
        <v>136</v>
      </c>
      <c r="U25" s="13"/>
      <c r="W25" s="25">
        <f>D25</f>
        <v>136.5</v>
      </c>
      <c r="X25" s="106">
        <f>E25</f>
        <v>41</v>
      </c>
      <c r="Y25" s="32">
        <f>H25</f>
        <v>80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인천용현엑슬루타워</v>
      </c>
      <c r="AI25" s="106">
        <f>IF(E25="","",E25)</f>
        <v>41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3172</v>
      </c>
      <c r="B26" s="16" t="s">
        <v>3173</v>
      </c>
      <c r="C26" s="28">
        <v>630</v>
      </c>
      <c r="D26" s="25">
        <v>143</v>
      </c>
      <c r="E26" s="106">
        <v>43</v>
      </c>
      <c r="F26" s="25">
        <v>110.5</v>
      </c>
      <c r="G26" s="27">
        <v>33</v>
      </c>
      <c r="H26" s="28">
        <v>93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3174</v>
      </c>
      <c r="T26" s="8">
        <v>143</v>
      </c>
      <c r="U26" s="13"/>
      <c r="W26" s="25">
        <f>D26</f>
        <v>143</v>
      </c>
      <c r="X26" s="106">
        <f>E26</f>
        <v>43</v>
      </c>
      <c r="Y26" s="32">
        <f>H26</f>
        <v>93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인천용현엑슬루타워</v>
      </c>
      <c r="AI26" s="106">
        <f>IF(E26="","",E26)</f>
        <v>43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3172</v>
      </c>
      <c r="B27" s="16" t="s">
        <v>3173</v>
      </c>
      <c r="C27" s="28">
        <v>630</v>
      </c>
      <c r="D27" s="25">
        <v>161.9</v>
      </c>
      <c r="E27" s="106">
        <v>49</v>
      </c>
      <c r="F27" s="25">
        <v>125</v>
      </c>
      <c r="G27" s="27">
        <v>38</v>
      </c>
      <c r="H27" s="28">
        <v>85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3174</v>
      </c>
      <c r="T27" s="8">
        <v>161</v>
      </c>
      <c r="U27" s="13"/>
      <c r="W27" s="25">
        <f>D27</f>
        <v>161.9</v>
      </c>
      <c r="X27" s="106">
        <f>E27</f>
        <v>49</v>
      </c>
      <c r="Y27" s="32">
        <f>H27</f>
        <v>85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인천용현엑슬루타워</v>
      </c>
      <c r="AI27" s="106">
        <f>IF(E27="","",E27)</f>
        <v>49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3172</v>
      </c>
      <c r="B28" s="16" t="s">
        <v>3173</v>
      </c>
      <c r="C28" s="28">
        <v>630</v>
      </c>
      <c r="D28" s="25">
        <v>173.7</v>
      </c>
      <c r="E28" s="106">
        <v>53</v>
      </c>
      <c r="F28" s="25">
        <v>134.4</v>
      </c>
      <c r="G28" s="27">
        <v>41</v>
      </c>
      <c r="H28" s="28">
        <v>97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3174</v>
      </c>
      <c r="T28" s="8">
        <v>173</v>
      </c>
      <c r="U28" s="13"/>
      <c r="W28" s="25">
        <f>D28</f>
        <v>173.7</v>
      </c>
      <c r="X28" s="106">
        <f>E28</f>
        <v>53</v>
      </c>
      <c r="Y28" s="32">
        <f>H28</f>
        <v>97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인천용현엑슬루타워</v>
      </c>
      <c r="AI28" s="106">
        <f>IF(E28="","",E28)</f>
        <v>53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용현동 용현유원('89.10.,940^)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3175</v>
      </c>
      <c r="B30" s="16" t="s">
        <v>3176</v>
      </c>
      <c r="C30" s="28">
        <v>940</v>
      </c>
      <c r="D30" s="25">
        <v>81.400000000000006</v>
      </c>
      <c r="E30" s="106">
        <v>25</v>
      </c>
      <c r="F30" s="25">
        <v>58.5</v>
      </c>
      <c r="G30" s="27">
        <v>18</v>
      </c>
      <c r="H30" s="28">
        <v>145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3177</v>
      </c>
      <c r="T30" s="8">
        <v>81</v>
      </c>
      <c r="U30" s="13"/>
      <c r="W30" s="25">
        <f>D30</f>
        <v>81.400000000000006</v>
      </c>
      <c r="X30" s="106">
        <f>E30</f>
        <v>25</v>
      </c>
      <c r="Y30" s="32">
        <f>H30</f>
        <v>145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3/1</v>
      </c>
      <c r="AH30" s="36" t="str">
        <f>IF(A30="","",A30)</f>
        <v>용현유원</v>
      </c>
      <c r="AI30" s="106">
        <f>IF(E30="","",E30)</f>
        <v>25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3175</v>
      </c>
      <c r="B31" s="16" t="s">
        <v>3176</v>
      </c>
      <c r="C31" s="28">
        <v>940</v>
      </c>
      <c r="D31" s="25">
        <v>91.1</v>
      </c>
      <c r="E31" s="106">
        <v>28</v>
      </c>
      <c r="F31" s="25">
        <v>74.7</v>
      </c>
      <c r="G31" s="27">
        <v>23</v>
      </c>
      <c r="H31" s="28">
        <v>114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3177</v>
      </c>
      <c r="T31" s="8">
        <v>91</v>
      </c>
      <c r="U31" s="13"/>
      <c r="W31" s="25">
        <f>D31</f>
        <v>91.1</v>
      </c>
      <c r="X31" s="106">
        <f>E31</f>
        <v>28</v>
      </c>
      <c r="Y31" s="32">
        <f>H31</f>
        <v>114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복</v>
      </c>
      <c r="AF31" s="15" t="str">
        <f>Q31&amp;"/"&amp;R31</f>
        <v>3/1</v>
      </c>
      <c r="AH31" s="36" t="str">
        <f>IF(A31="","",A31)</f>
        <v>용현유원</v>
      </c>
      <c r="AI31" s="106">
        <f>IF(E31="","",E31)</f>
        <v>28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3175</v>
      </c>
      <c r="B32" s="16" t="s">
        <v>3176</v>
      </c>
      <c r="C32" s="28">
        <v>940</v>
      </c>
      <c r="D32" s="25">
        <v>94.6</v>
      </c>
      <c r="E32" s="106">
        <v>29</v>
      </c>
      <c r="F32" s="25">
        <v>78</v>
      </c>
      <c r="G32" s="27">
        <v>24</v>
      </c>
      <c r="H32" s="28">
        <v>120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3" t="s">
        <v>3174</v>
      </c>
      <c r="T32" s="8">
        <v>94</v>
      </c>
      <c r="U32" s="13"/>
      <c r="W32" s="25">
        <f>D32</f>
        <v>94.6</v>
      </c>
      <c r="X32" s="106">
        <f>E32</f>
        <v>29</v>
      </c>
      <c r="Y32" s="32">
        <f>H32</f>
        <v>120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3/1</v>
      </c>
      <c r="AH32" s="36" t="str">
        <f>IF(A32="","",A32)</f>
        <v>용현유원</v>
      </c>
      <c r="AI32" s="106">
        <f>IF(E32="","",E32)</f>
        <v>29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3175</v>
      </c>
      <c r="B33" s="16" t="s">
        <v>3176</v>
      </c>
      <c r="C33" s="28">
        <v>940</v>
      </c>
      <c r="D33" s="25">
        <v>101.6</v>
      </c>
      <c r="E33" s="106">
        <v>31</v>
      </c>
      <c r="F33" s="25">
        <v>84.9</v>
      </c>
      <c r="G33" s="27">
        <v>26</v>
      </c>
      <c r="H33" s="28">
        <v>356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3174</v>
      </c>
      <c r="T33" s="8" t="s">
        <v>182</v>
      </c>
      <c r="U33" s="13"/>
      <c r="W33" s="25">
        <f>D33</f>
        <v>101.6</v>
      </c>
      <c r="X33" s="106">
        <f>E33</f>
        <v>31</v>
      </c>
      <c r="Y33" s="32">
        <f>H33</f>
        <v>356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용현유원</v>
      </c>
      <c r="AI33" s="106">
        <f>IF(E33="","",E33)</f>
        <v>31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3175</v>
      </c>
      <c r="B34" s="16" t="s">
        <v>3176</v>
      </c>
      <c r="C34" s="28">
        <v>940</v>
      </c>
      <c r="D34" s="25">
        <v>101.8</v>
      </c>
      <c r="E34" s="106">
        <v>31</v>
      </c>
      <c r="F34" s="25">
        <v>84.9</v>
      </c>
      <c r="G34" s="27">
        <v>26</v>
      </c>
      <c r="H34" s="28">
        <v>119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3174</v>
      </c>
      <c r="T34" s="8" t="s">
        <v>1055</v>
      </c>
      <c r="U34" s="13"/>
      <c r="W34" s="25">
        <f>D34</f>
        <v>101.8</v>
      </c>
      <c r="X34" s="106">
        <f>E34</f>
        <v>31</v>
      </c>
      <c r="Y34" s="32">
        <f>H34</f>
        <v>119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용현유원</v>
      </c>
      <c r="AI34" s="106">
        <f>IF(E34="","",E34)</f>
        <v>31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3175</v>
      </c>
      <c r="B35" s="16" t="s">
        <v>3176</v>
      </c>
      <c r="C35" s="28">
        <v>940</v>
      </c>
      <c r="D35" s="25">
        <v>133.80000000000001</v>
      </c>
      <c r="E35" s="106">
        <v>40</v>
      </c>
      <c r="F35" s="25">
        <v>114.1</v>
      </c>
      <c r="G35" s="27">
        <v>35</v>
      </c>
      <c r="H35" s="28">
        <v>86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3174</v>
      </c>
      <c r="T35" s="8">
        <v>133</v>
      </c>
      <c r="U35" s="13"/>
      <c r="W35" s="25">
        <f>D35</f>
        <v>133.80000000000001</v>
      </c>
      <c r="X35" s="106">
        <f>E35</f>
        <v>40</v>
      </c>
      <c r="Y35" s="32">
        <f>H35</f>
        <v>86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용현유원</v>
      </c>
      <c r="AI35" s="106">
        <f>IF(E35="","",E35)</f>
        <v>40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용현동 윤성('93.06.,368^)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3178</v>
      </c>
      <c r="B37" s="16" t="s">
        <v>3179</v>
      </c>
      <c r="C37" s="28">
        <v>368</v>
      </c>
      <c r="D37" s="25">
        <v>78.099999999999994</v>
      </c>
      <c r="E37" s="106">
        <v>24</v>
      </c>
      <c r="F37" s="25">
        <v>59.9</v>
      </c>
      <c r="G37" s="27">
        <v>18</v>
      </c>
      <c r="H37" s="28">
        <v>180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1</v>
      </c>
      <c r="S37" s="113" t="s">
        <v>3177</v>
      </c>
      <c r="T37" s="8">
        <v>78</v>
      </c>
      <c r="U37" s="13"/>
      <c r="W37" s="25">
        <f>D37</f>
        <v>78.099999999999994</v>
      </c>
      <c r="X37" s="106">
        <f>E37</f>
        <v>24</v>
      </c>
      <c r="Y37" s="32">
        <f>H37</f>
        <v>180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복</v>
      </c>
      <c r="AF37" s="15" t="str">
        <f>Q37&amp;"/"&amp;R37</f>
        <v>3/1</v>
      </c>
      <c r="AH37" s="36" t="str">
        <f>IF(A37="","",A37)</f>
        <v>윤성</v>
      </c>
      <c r="AI37" s="106">
        <f>IF(E37="","",E37)</f>
        <v>24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3178</v>
      </c>
      <c r="B38" s="16" t="s">
        <v>3179</v>
      </c>
      <c r="C38" s="28">
        <v>368</v>
      </c>
      <c r="D38" s="25">
        <v>91</v>
      </c>
      <c r="E38" s="106">
        <v>28</v>
      </c>
      <c r="F38" s="25">
        <v>72.7</v>
      </c>
      <c r="G38" s="27">
        <v>22</v>
      </c>
      <c r="H38" s="28">
        <v>80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3" t="s">
        <v>3174</v>
      </c>
      <c r="T38" s="8">
        <v>90</v>
      </c>
      <c r="U38" s="13"/>
      <c r="W38" s="25">
        <f>D38</f>
        <v>91</v>
      </c>
      <c r="X38" s="106">
        <f>E38</f>
        <v>28</v>
      </c>
      <c r="Y38" s="32">
        <f>H38</f>
        <v>80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3/1</v>
      </c>
      <c r="AH38" s="36" t="str">
        <f>IF(A38="","",A38)</f>
        <v>윤성</v>
      </c>
      <c r="AI38" s="106">
        <f>IF(E38="","",E38)</f>
        <v>28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3178</v>
      </c>
      <c r="B39" s="16" t="s">
        <v>3179</v>
      </c>
      <c r="C39" s="28">
        <v>368</v>
      </c>
      <c r="D39" s="25">
        <v>107.4</v>
      </c>
      <c r="E39" s="106">
        <v>32</v>
      </c>
      <c r="F39" s="25">
        <v>88.3</v>
      </c>
      <c r="G39" s="27">
        <v>27</v>
      </c>
      <c r="H39" s="28">
        <v>108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3174</v>
      </c>
      <c r="T39" s="8">
        <v>107</v>
      </c>
      <c r="U39" s="13"/>
      <c r="W39" s="25">
        <f>D39</f>
        <v>107.4</v>
      </c>
      <c r="X39" s="106">
        <f>E39</f>
        <v>32</v>
      </c>
      <c r="Y39" s="32">
        <f>H39</f>
        <v>108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윤성</v>
      </c>
      <c r="AI39" s="106">
        <f>IF(E39="","",E39)</f>
        <v>32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용현동 부성로얄('87.11.,204^)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3180</v>
      </c>
      <c r="B41" s="16" t="s">
        <v>3181</v>
      </c>
      <c r="C41" s="28">
        <v>204</v>
      </c>
      <c r="D41" s="25">
        <v>52.9</v>
      </c>
      <c r="E41" s="106">
        <v>16</v>
      </c>
      <c r="F41" s="25">
        <v>42.5</v>
      </c>
      <c r="G41" s="27">
        <v>13</v>
      </c>
      <c r="H41" s="28">
        <v>30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3174</v>
      </c>
      <c r="T41" s="8">
        <v>52</v>
      </c>
      <c r="U41" s="13"/>
      <c r="W41" s="25">
        <f>D41</f>
        <v>52.9</v>
      </c>
      <c r="X41" s="106">
        <f>E41</f>
        <v>16</v>
      </c>
      <c r="Y41" s="32">
        <f>H41</f>
        <v>30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2/1</v>
      </c>
      <c r="AH41" s="36" t="str">
        <f>IF(A41="","",A41)</f>
        <v>부성로얄</v>
      </c>
      <c r="AI41" s="106">
        <f>IF(E41="","",E41)</f>
        <v>16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5" t="s">
        <v>3180</v>
      </c>
      <c r="B42" s="16" t="s">
        <v>3181</v>
      </c>
      <c r="C42" s="28">
        <v>204</v>
      </c>
      <c r="D42" s="25">
        <v>56.2</v>
      </c>
      <c r="E42" s="106">
        <v>17</v>
      </c>
      <c r="F42" s="25">
        <v>45.2</v>
      </c>
      <c r="G42" s="27">
        <v>14</v>
      </c>
      <c r="H42" s="28">
        <v>114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3174</v>
      </c>
      <c r="T42" s="8">
        <v>56</v>
      </c>
      <c r="U42" s="13"/>
      <c r="W42" s="25">
        <f>D42</f>
        <v>56.2</v>
      </c>
      <c r="X42" s="106">
        <f>E42</f>
        <v>17</v>
      </c>
      <c r="Y42" s="32">
        <f>H42</f>
        <v>114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2/1</v>
      </c>
      <c r="AH42" s="36" t="str">
        <f>IF(A42="","",A42)</f>
        <v>부성로얄</v>
      </c>
      <c r="AI42" s="106">
        <f>IF(E42="","",E42)</f>
        <v>17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5" t="s">
        <v>3180</v>
      </c>
      <c r="B43" s="16" t="s">
        <v>3181</v>
      </c>
      <c r="C43" s="28">
        <v>204</v>
      </c>
      <c r="D43" s="25">
        <v>69.400000000000006</v>
      </c>
      <c r="E43" s="106">
        <v>21</v>
      </c>
      <c r="F43" s="25">
        <v>52.7</v>
      </c>
      <c r="G43" s="27">
        <v>16</v>
      </c>
      <c r="H43" s="28">
        <v>60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3174</v>
      </c>
      <c r="T43" s="8">
        <v>69</v>
      </c>
      <c r="U43" s="13"/>
      <c r="W43" s="25">
        <f>D43</f>
        <v>69.400000000000006</v>
      </c>
      <c r="X43" s="106">
        <f>E43</f>
        <v>21</v>
      </c>
      <c r="Y43" s="32">
        <f>H43</f>
        <v>60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3/1</v>
      </c>
      <c r="AH43" s="36" t="str">
        <f>IF(A43="","",A43)</f>
        <v>부성로얄</v>
      </c>
      <c r="AI43" s="106">
        <f>IF(E43="","",E43)</f>
        <v>21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X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용현동 한양2차('92.07.,352^)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3182</v>
      </c>
      <c r="B45" s="16" t="s">
        <v>3183</v>
      </c>
      <c r="C45" s="28">
        <v>352</v>
      </c>
      <c r="D45" s="25">
        <v>74</v>
      </c>
      <c r="E45" s="106">
        <v>22</v>
      </c>
      <c r="F45" s="25">
        <v>59.9</v>
      </c>
      <c r="G45" s="27">
        <v>18</v>
      </c>
      <c r="H45" s="28">
        <v>1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2</v>
      </c>
      <c r="R45" s="15">
        <v>1</v>
      </c>
      <c r="S45" s="113" t="s">
        <v>3177</v>
      </c>
      <c r="T45" s="8">
        <v>74</v>
      </c>
      <c r="U45" s="13"/>
      <c r="W45" s="25">
        <f>D45</f>
        <v>74</v>
      </c>
      <c r="X45" s="106">
        <f>E45</f>
        <v>22</v>
      </c>
      <c r="Y45" s="32">
        <f>H45</f>
        <v>1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2/1</v>
      </c>
      <c r="AH45" s="36" t="str">
        <f>IF(A45="","",A45)</f>
        <v>한양2차</v>
      </c>
      <c r="AI45" s="106">
        <f>IF(E45="","",E45)</f>
        <v>22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3182</v>
      </c>
      <c r="B46" s="16" t="s">
        <v>3183</v>
      </c>
      <c r="C46" s="28">
        <v>352</v>
      </c>
      <c r="D46" s="25">
        <v>83.4</v>
      </c>
      <c r="E46" s="106">
        <v>25</v>
      </c>
      <c r="F46" s="25">
        <v>67.599999999999994</v>
      </c>
      <c r="G46" s="27">
        <v>20</v>
      </c>
      <c r="H46" s="28">
        <v>191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1</v>
      </c>
      <c r="S46" s="113" t="s">
        <v>3177</v>
      </c>
      <c r="T46" s="8">
        <v>83</v>
      </c>
      <c r="U46" s="13"/>
      <c r="W46" s="25">
        <f>D46</f>
        <v>83.4</v>
      </c>
      <c r="X46" s="106">
        <f>E46</f>
        <v>25</v>
      </c>
      <c r="Y46" s="32">
        <f>H46</f>
        <v>191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복</v>
      </c>
      <c r="AF46" s="15" t="str">
        <f>Q46&amp;"/"&amp;R46</f>
        <v>3/1</v>
      </c>
      <c r="AH46" s="36" t="str">
        <f>IF(A46="","",A46)</f>
        <v>한양2차</v>
      </c>
      <c r="AI46" s="106">
        <f>IF(E46="","",E46)</f>
        <v>25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3182</v>
      </c>
      <c r="B47" s="16" t="s">
        <v>3184</v>
      </c>
      <c r="C47" s="28">
        <v>352</v>
      </c>
      <c r="D47" s="25">
        <v>101.8</v>
      </c>
      <c r="E47" s="106">
        <v>31</v>
      </c>
      <c r="F47" s="25">
        <v>84.6</v>
      </c>
      <c r="G47" s="27">
        <v>26</v>
      </c>
      <c r="H47" s="28">
        <v>96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64</v>
      </c>
      <c r="T47" s="8">
        <v>101</v>
      </c>
      <c r="U47" s="13"/>
      <c r="W47" s="25">
        <f>D47</f>
        <v>101.8</v>
      </c>
      <c r="X47" s="106">
        <f>E47</f>
        <v>31</v>
      </c>
      <c r="Y47" s="32">
        <f>H47</f>
        <v>96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한양2차</v>
      </c>
      <c r="AI47" s="106">
        <f>IF(E47="","",E47)</f>
        <v>31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3185</v>
      </c>
      <c r="B48" s="16" t="s">
        <v>3183</v>
      </c>
      <c r="C48" s="28">
        <v>352</v>
      </c>
      <c r="D48" s="25">
        <v>149.80000000000001</v>
      </c>
      <c r="E48" s="106">
        <v>45</v>
      </c>
      <c r="F48" s="25">
        <v>127.9</v>
      </c>
      <c r="G48" s="27">
        <v>39</v>
      </c>
      <c r="H48" s="28">
        <v>64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3174</v>
      </c>
      <c r="T48" s="8">
        <v>149</v>
      </c>
      <c r="U48" s="13"/>
      <c r="W48" s="25">
        <f>D48</f>
        <v>149.80000000000001</v>
      </c>
      <c r="X48" s="106">
        <f>E48</f>
        <v>45</v>
      </c>
      <c r="Y48" s="32">
        <f>H48</f>
        <v>64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한양2차</v>
      </c>
      <c r="AI48" s="106">
        <f>IF(E48="","",E48)</f>
        <v>45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용현동 한양1차('90.12.,606^)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3186</v>
      </c>
      <c r="B50" s="16" t="s">
        <v>3187</v>
      </c>
      <c r="C50" s="28">
        <v>606</v>
      </c>
      <c r="D50" s="25">
        <v>71.900000000000006</v>
      </c>
      <c r="E50" s="106">
        <v>22</v>
      </c>
      <c r="F50" s="25">
        <v>57.5</v>
      </c>
      <c r="G50" s="27">
        <v>17</v>
      </c>
      <c r="H50" s="28">
        <v>100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2</v>
      </c>
      <c r="R50" s="15">
        <v>1</v>
      </c>
      <c r="S50" s="113" t="s">
        <v>3177</v>
      </c>
      <c r="T50" s="8">
        <v>71</v>
      </c>
      <c r="U50" s="13"/>
      <c r="W50" s="25">
        <f>D50</f>
        <v>71.900000000000006</v>
      </c>
      <c r="X50" s="106">
        <f>E50</f>
        <v>22</v>
      </c>
      <c r="Y50" s="32">
        <f>H50</f>
        <v>100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복</v>
      </c>
      <c r="AF50" s="15" t="str">
        <f>Q50&amp;"/"&amp;R50</f>
        <v>2/1</v>
      </c>
      <c r="AH50" s="36" t="str">
        <f>IF(A50="","",A50)</f>
        <v>한양1차</v>
      </c>
      <c r="AI50" s="106">
        <f>IF(E50="","",E50)</f>
        <v>22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3186</v>
      </c>
      <c r="B51" s="16" t="s">
        <v>3187</v>
      </c>
      <c r="C51" s="28">
        <v>606</v>
      </c>
      <c r="D51" s="25">
        <v>84.8</v>
      </c>
      <c r="E51" s="106">
        <v>26</v>
      </c>
      <c r="F51" s="25">
        <v>67.8</v>
      </c>
      <c r="G51" s="27">
        <v>21</v>
      </c>
      <c r="H51" s="28">
        <v>100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1</v>
      </c>
      <c r="S51" s="113" t="s">
        <v>3177</v>
      </c>
      <c r="T51" s="8">
        <v>84</v>
      </c>
      <c r="U51" s="13"/>
      <c r="W51" s="25">
        <f>D51</f>
        <v>84.8</v>
      </c>
      <c r="X51" s="106">
        <f>E51</f>
        <v>26</v>
      </c>
      <c r="Y51" s="32">
        <f>H51</f>
        <v>100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복</v>
      </c>
      <c r="AF51" s="15" t="str">
        <f>Q51&amp;"/"&amp;R51</f>
        <v>3/1</v>
      </c>
      <c r="AH51" s="36" t="str">
        <f>IF(A51="","",A51)</f>
        <v>한양1차</v>
      </c>
      <c r="AI51" s="106">
        <f>IF(E51="","",E51)</f>
        <v>26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3188</v>
      </c>
      <c r="B52" s="16" t="s">
        <v>3189</v>
      </c>
      <c r="C52" s="28">
        <v>606</v>
      </c>
      <c r="D52" s="25">
        <v>100.5</v>
      </c>
      <c r="E52" s="106">
        <v>30</v>
      </c>
      <c r="F52" s="25">
        <v>84.6</v>
      </c>
      <c r="G52" s="27">
        <v>26</v>
      </c>
      <c r="H52" s="28">
        <v>354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>
        <v>100</v>
      </c>
      <c r="U52" s="13"/>
      <c r="W52" s="25">
        <f>D52</f>
        <v>100.5</v>
      </c>
      <c r="X52" s="106">
        <f>E52</f>
        <v>30</v>
      </c>
      <c r="Y52" s="32">
        <f>H52</f>
        <v>354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한양1차</v>
      </c>
      <c r="AI52" s="106">
        <f>IF(E52="","",E52)</f>
        <v>30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3186</v>
      </c>
      <c r="B53" s="16" t="s">
        <v>3187</v>
      </c>
      <c r="C53" s="28">
        <v>606</v>
      </c>
      <c r="D53" s="25">
        <v>139.6</v>
      </c>
      <c r="E53" s="106">
        <v>42</v>
      </c>
      <c r="F53" s="25">
        <v>120.4</v>
      </c>
      <c r="G53" s="27">
        <v>36</v>
      </c>
      <c r="H53" s="28">
        <v>52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64</v>
      </c>
      <c r="T53" s="8">
        <v>139</v>
      </c>
      <c r="U53" s="13"/>
      <c r="W53" s="25">
        <f>D53</f>
        <v>139.6</v>
      </c>
      <c r="X53" s="106">
        <f>E53</f>
        <v>42</v>
      </c>
      <c r="Y53" s="32">
        <f>H53</f>
        <v>52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한양1차</v>
      </c>
      <c r="AI53" s="106">
        <f>IF(E53="","",E53)</f>
        <v>42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용현동 용현금호타운2단지('99.11.,1306^)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3190</v>
      </c>
      <c r="B55" s="16" t="s">
        <v>3191</v>
      </c>
      <c r="C55" s="28">
        <v>1306</v>
      </c>
      <c r="D55" s="25">
        <v>80.8</v>
      </c>
      <c r="E55" s="106">
        <v>24</v>
      </c>
      <c r="F55" s="25">
        <v>59.9</v>
      </c>
      <c r="G55" s="27">
        <v>18</v>
      </c>
      <c r="H55" s="28">
        <v>194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3174</v>
      </c>
      <c r="T55" s="8">
        <v>80</v>
      </c>
      <c r="U55" s="13"/>
      <c r="W55" s="25">
        <f>D55</f>
        <v>80.8</v>
      </c>
      <c r="X55" s="106">
        <f>E55</f>
        <v>24</v>
      </c>
      <c r="Y55" s="32">
        <f>H55</f>
        <v>194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용현금호타운2단지</v>
      </c>
      <c r="AI55" s="106">
        <f>IF(E55="","",E55)</f>
        <v>24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3190</v>
      </c>
      <c r="B56" s="16" t="s">
        <v>3192</v>
      </c>
      <c r="C56" s="28">
        <v>1306</v>
      </c>
      <c r="D56" s="25">
        <v>95.6</v>
      </c>
      <c r="E56" s="106">
        <v>29</v>
      </c>
      <c r="F56" s="25">
        <v>71.3</v>
      </c>
      <c r="G56" s="27">
        <v>22</v>
      </c>
      <c r="H56" s="28">
        <v>356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3174</v>
      </c>
      <c r="T56" s="8">
        <v>95</v>
      </c>
      <c r="U56" s="13"/>
      <c r="W56" s="25">
        <f>D56</f>
        <v>95.6</v>
      </c>
      <c r="X56" s="106">
        <f>E56</f>
        <v>29</v>
      </c>
      <c r="Y56" s="32">
        <f>H56</f>
        <v>356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용현금호타운2단지</v>
      </c>
      <c r="AI56" s="106">
        <f>IF(E56="","",E56)</f>
        <v>29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3193</v>
      </c>
      <c r="B57" s="16" t="s">
        <v>3192</v>
      </c>
      <c r="C57" s="28">
        <v>1306</v>
      </c>
      <c r="D57" s="25">
        <v>110.9</v>
      </c>
      <c r="E57" s="106">
        <v>34</v>
      </c>
      <c r="F57" s="25">
        <v>84.5</v>
      </c>
      <c r="G57" s="27">
        <v>26</v>
      </c>
      <c r="H57" s="28">
        <v>360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3174</v>
      </c>
      <c r="T57" s="8" t="s">
        <v>440</v>
      </c>
      <c r="U57" s="13"/>
      <c r="W57" s="25">
        <f>D57</f>
        <v>110.9</v>
      </c>
      <c r="X57" s="106">
        <f>E57</f>
        <v>34</v>
      </c>
      <c r="Y57" s="32">
        <f>H57</f>
        <v>360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용현금호타운2단지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3190</v>
      </c>
      <c r="B58" s="16" t="s">
        <v>3191</v>
      </c>
      <c r="C58" s="28">
        <v>1306</v>
      </c>
      <c r="D58" s="25">
        <v>111.1</v>
      </c>
      <c r="E58" s="106">
        <v>34</v>
      </c>
      <c r="F58" s="25">
        <v>84.7</v>
      </c>
      <c r="G58" s="27">
        <v>26</v>
      </c>
      <c r="H58" s="28">
        <v>80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3174</v>
      </c>
      <c r="T58" s="8" t="s">
        <v>1638</v>
      </c>
      <c r="U58" s="13"/>
      <c r="W58" s="25">
        <f>D58</f>
        <v>111.1</v>
      </c>
      <c r="X58" s="106">
        <f>E58</f>
        <v>34</v>
      </c>
      <c r="Y58" s="32">
        <f>H58</f>
        <v>80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용현금호타운2단지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3190</v>
      </c>
      <c r="B59" s="16" t="s">
        <v>3191</v>
      </c>
      <c r="C59" s="28">
        <v>1306</v>
      </c>
      <c r="D59" s="25">
        <v>132</v>
      </c>
      <c r="E59" s="106">
        <v>40</v>
      </c>
      <c r="F59" s="25">
        <v>105.4</v>
      </c>
      <c r="G59" s="27">
        <v>32</v>
      </c>
      <c r="H59" s="28">
        <v>160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3174</v>
      </c>
      <c r="T59" s="8">
        <v>132</v>
      </c>
      <c r="U59" s="13"/>
      <c r="W59" s="25">
        <f>D59</f>
        <v>132</v>
      </c>
      <c r="X59" s="106">
        <f>E59</f>
        <v>40</v>
      </c>
      <c r="Y59" s="32">
        <f>H59</f>
        <v>160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용현금호타운2단지</v>
      </c>
      <c r="AI59" s="106">
        <f>IF(E59="","",E59)</f>
        <v>40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3190</v>
      </c>
      <c r="B60" s="16" t="s">
        <v>3191</v>
      </c>
      <c r="C60" s="28">
        <v>1306</v>
      </c>
      <c r="D60" s="25">
        <v>162.69999999999999</v>
      </c>
      <c r="E60" s="106">
        <v>49</v>
      </c>
      <c r="F60" s="25">
        <v>132.1</v>
      </c>
      <c r="G60" s="27">
        <v>40</v>
      </c>
      <c r="H60" s="28">
        <v>156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3174</v>
      </c>
      <c r="T60" s="8">
        <v>162</v>
      </c>
      <c r="U60" s="13"/>
      <c r="W60" s="25">
        <f>D60</f>
        <v>162.69999999999999</v>
      </c>
      <c r="X60" s="106">
        <f>E60</f>
        <v>49</v>
      </c>
      <c r="Y60" s="32">
        <f>H60</f>
        <v>156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용현금호타운2단지</v>
      </c>
      <c r="AI60" s="106">
        <f>IF(E60="","",E60)</f>
        <v>49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용현동 동아(고층)('90.12.,398^)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3194</v>
      </c>
      <c r="B62" s="16" t="s">
        <v>3189</v>
      </c>
      <c r="C62" s="28">
        <v>398</v>
      </c>
      <c r="D62" s="25">
        <v>100.1</v>
      </c>
      <c r="E62" s="106">
        <v>30</v>
      </c>
      <c r="F62" s="25">
        <v>84.6</v>
      </c>
      <c r="G62" s="27">
        <v>26</v>
      </c>
      <c r="H62" s="28">
        <v>383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1</v>
      </c>
      <c r="S62" s="113" t="s">
        <v>3174</v>
      </c>
      <c r="T62" s="8" t="s">
        <v>1640</v>
      </c>
      <c r="U62" s="13"/>
      <c r="W62" s="25">
        <f>D62</f>
        <v>100.1</v>
      </c>
      <c r="X62" s="106">
        <f>E62</f>
        <v>30</v>
      </c>
      <c r="Y62" s="32">
        <f>H62</f>
        <v>383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3/1</v>
      </c>
      <c r="AH62" s="36" t="str">
        <f>IF(A62="","",A62)</f>
        <v>동아(고층)</v>
      </c>
      <c r="AI62" s="106">
        <f>IF(E62="","",E62)</f>
        <v>30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3194</v>
      </c>
      <c r="B63" s="16" t="s">
        <v>3189</v>
      </c>
      <c r="C63" s="28">
        <v>398</v>
      </c>
      <c r="D63" s="25">
        <v>100.1</v>
      </c>
      <c r="E63" s="106">
        <v>30</v>
      </c>
      <c r="F63" s="25">
        <v>84.5</v>
      </c>
      <c r="G63" s="27">
        <v>26</v>
      </c>
      <c r="H63" s="28">
        <v>15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601</v>
      </c>
      <c r="U63" s="13"/>
      <c r="W63" s="25">
        <f>D63</f>
        <v>100.1</v>
      </c>
      <c r="X63" s="106">
        <f>E63</f>
        <v>30</v>
      </c>
      <c r="Y63" s="32">
        <f>H63</f>
        <v>15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동아(고층)</v>
      </c>
      <c r="AI63" s="106">
        <f>IF(E63="","",E63)</f>
        <v>30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용현동 금호타운1단지('91.11.,1170^)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3195</v>
      </c>
      <c r="B65" s="16" t="s">
        <v>3196</v>
      </c>
      <c r="C65" s="28">
        <v>1170</v>
      </c>
      <c r="D65" s="25">
        <v>86.2</v>
      </c>
      <c r="E65" s="106">
        <v>26</v>
      </c>
      <c r="F65" s="25">
        <v>72.2</v>
      </c>
      <c r="G65" s="27">
        <v>22</v>
      </c>
      <c r="H65" s="28">
        <v>270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1</v>
      </c>
      <c r="S65" s="113" t="s">
        <v>64</v>
      </c>
      <c r="T65" s="8">
        <v>86</v>
      </c>
      <c r="U65" s="13"/>
      <c r="W65" s="25">
        <f>D65</f>
        <v>86.2</v>
      </c>
      <c r="X65" s="106">
        <f>E65</f>
        <v>26</v>
      </c>
      <c r="Y65" s="32">
        <f>H65</f>
        <v>270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3/1</v>
      </c>
      <c r="AH65" s="36" t="str">
        <f>IF(A65="","",A65)</f>
        <v>금호타운1단지</v>
      </c>
      <c r="AI65" s="106">
        <f>IF(E65="","",E65)</f>
        <v>26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3197</v>
      </c>
      <c r="B66" s="16" t="s">
        <v>3196</v>
      </c>
      <c r="C66" s="28">
        <v>1170</v>
      </c>
      <c r="D66" s="25">
        <v>98.2</v>
      </c>
      <c r="E66" s="106">
        <v>30</v>
      </c>
      <c r="F66" s="25">
        <v>84.3</v>
      </c>
      <c r="G66" s="27">
        <v>25</v>
      </c>
      <c r="H66" s="28">
        <v>450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360</v>
      </c>
      <c r="U66" s="13"/>
      <c r="W66" s="25">
        <f>D66</f>
        <v>98.2</v>
      </c>
      <c r="X66" s="106">
        <f>E66</f>
        <v>30</v>
      </c>
      <c r="Y66" s="32">
        <f>H66</f>
        <v>450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금호타운1단지</v>
      </c>
      <c r="AI66" s="106">
        <f>IF(E66="","",E66)</f>
        <v>30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3197</v>
      </c>
      <c r="B67" s="16" t="s">
        <v>3196</v>
      </c>
      <c r="C67" s="28">
        <v>1170</v>
      </c>
      <c r="D67" s="25">
        <v>99.7</v>
      </c>
      <c r="E67" s="106">
        <v>30</v>
      </c>
      <c r="F67" s="25">
        <v>85</v>
      </c>
      <c r="G67" s="27">
        <v>26</v>
      </c>
      <c r="H67" s="28">
        <v>90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1053</v>
      </c>
      <c r="U67" s="13"/>
      <c r="W67" s="25">
        <f>D67</f>
        <v>99.7</v>
      </c>
      <c r="X67" s="106">
        <f>E67</f>
        <v>30</v>
      </c>
      <c r="Y67" s="32">
        <f>H67</f>
        <v>90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금호타운1단지</v>
      </c>
      <c r="AI67" s="106">
        <f>IF(E67="","",E67)</f>
        <v>30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3197</v>
      </c>
      <c r="B68" s="16" t="s">
        <v>3196</v>
      </c>
      <c r="C68" s="28">
        <v>1170</v>
      </c>
      <c r="D68" s="25">
        <v>136.5</v>
      </c>
      <c r="E68" s="106">
        <v>41</v>
      </c>
      <c r="F68" s="25">
        <v>121.5</v>
      </c>
      <c r="G68" s="27">
        <v>37</v>
      </c>
      <c r="H68" s="28">
        <v>180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2</v>
      </c>
      <c r="S68" s="113" t="s">
        <v>64</v>
      </c>
      <c r="T68" s="8">
        <v>136</v>
      </c>
      <c r="U68" s="13"/>
      <c r="W68" s="25">
        <f>D68</f>
        <v>136.5</v>
      </c>
      <c r="X68" s="106">
        <f>E68</f>
        <v>41</v>
      </c>
      <c r="Y68" s="32">
        <f>H68</f>
        <v>180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4/2</v>
      </c>
      <c r="AH68" s="36" t="str">
        <f>IF(A68="","",A68)</f>
        <v>금호타운1단지</v>
      </c>
      <c r="AI68" s="106">
        <f>IF(E68="","",E68)</f>
        <v>41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3197</v>
      </c>
      <c r="B69" s="16" t="s">
        <v>3196</v>
      </c>
      <c r="C69" s="28">
        <v>1170</v>
      </c>
      <c r="D69" s="25">
        <v>163.30000000000001</v>
      </c>
      <c r="E69" s="106">
        <v>49</v>
      </c>
      <c r="F69" s="25">
        <v>147</v>
      </c>
      <c r="G69" s="27">
        <v>44</v>
      </c>
      <c r="H69" s="28">
        <v>180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5</v>
      </c>
      <c r="R69" s="15">
        <v>2</v>
      </c>
      <c r="S69" s="113" t="s">
        <v>3198</v>
      </c>
      <c r="T69" s="8">
        <v>163</v>
      </c>
      <c r="U69" s="13"/>
      <c r="W69" s="25">
        <f>D69</f>
        <v>163.30000000000001</v>
      </c>
      <c r="X69" s="106">
        <f>E69</f>
        <v>49</v>
      </c>
      <c r="Y69" s="32">
        <f>H69</f>
        <v>180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5/2</v>
      </c>
      <c r="AH69" s="36" t="str">
        <f>IF(A69="","",A69)</f>
        <v>금호타운1단지</v>
      </c>
      <c r="AI69" s="106">
        <f>IF(E69="","",E69)</f>
        <v>49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9"/>
      <c r="B70" s="113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70"/>
      <c r="U70" s="13"/>
      <c r="W70" s="107" t="str">
        <f>$A$4&amp;" "&amp;A71&amp;"("&amp;B71&amp;","&amp;C71&amp;"^)"</f>
        <v>용현동 인천SK스카이뷰('16.06.,3971^)</v>
      </c>
      <c r="X70" s="108"/>
      <c r="Y70" s="108"/>
      <c r="Z70" s="108"/>
      <c r="AA70" s="108"/>
      <c r="AB70" s="108"/>
      <c r="AC70" s="108"/>
      <c r="AD70" s="108"/>
      <c r="AE70" s="108"/>
      <c r="AF70" s="109"/>
      <c r="AH70" s="36" t="str">
        <f>IF(A70="","",A70)</f>
        <v/>
      </c>
      <c r="AI70" s="37" t="str">
        <f>IF(E70="","",E70)</f>
        <v/>
      </c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</row>
    <row r="71" spans="1:48" x14ac:dyDescent="0.3">
      <c r="A71" s="5" t="s">
        <v>3199</v>
      </c>
      <c r="B71" s="16" t="s">
        <v>3200</v>
      </c>
      <c r="C71" s="28">
        <v>3971</v>
      </c>
      <c r="D71" s="25">
        <v>83.8</v>
      </c>
      <c r="E71" s="106">
        <v>25</v>
      </c>
      <c r="F71" s="25">
        <v>60</v>
      </c>
      <c r="G71" s="27">
        <v>18</v>
      </c>
      <c r="H71" s="28">
        <v>191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 t="s">
        <v>990</v>
      </c>
      <c r="U71" s="13"/>
      <c r="W71" s="25">
        <f>D71</f>
        <v>83.8</v>
      </c>
      <c r="X71" s="106">
        <f>E71</f>
        <v>25</v>
      </c>
      <c r="Y71" s="32">
        <f>H71</f>
        <v>191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인천SK스카이뷰</v>
      </c>
      <c r="AI71" s="106">
        <f>IF(E71="","",E71)</f>
        <v>25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3199</v>
      </c>
      <c r="B72" s="16" t="s">
        <v>3200</v>
      </c>
      <c r="C72" s="28">
        <v>3971</v>
      </c>
      <c r="D72" s="25">
        <v>84.7</v>
      </c>
      <c r="E72" s="106">
        <v>26</v>
      </c>
      <c r="F72" s="25">
        <v>60</v>
      </c>
      <c r="G72" s="27">
        <v>18</v>
      </c>
      <c r="H72" s="28">
        <v>144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64</v>
      </c>
      <c r="T72" s="8" t="s">
        <v>383</v>
      </c>
      <c r="U72" s="13"/>
      <c r="W72" s="25">
        <f>D72</f>
        <v>84.7</v>
      </c>
      <c r="X72" s="106">
        <f>E72</f>
        <v>26</v>
      </c>
      <c r="Y72" s="32">
        <f>H72</f>
        <v>144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인천SK스카이뷰</v>
      </c>
      <c r="AI72" s="106">
        <f>IF(E72="","",E72)</f>
        <v>26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3199</v>
      </c>
      <c r="B73" s="16" t="s">
        <v>3200</v>
      </c>
      <c r="C73" s="28">
        <v>3971</v>
      </c>
      <c r="D73" s="25">
        <v>85.3</v>
      </c>
      <c r="E73" s="106">
        <v>26</v>
      </c>
      <c r="F73" s="25">
        <v>60</v>
      </c>
      <c r="G73" s="27">
        <v>18</v>
      </c>
      <c r="H73" s="28">
        <v>349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 t="s">
        <v>1656</v>
      </c>
      <c r="U73" s="13"/>
      <c r="W73" s="25">
        <f>D73</f>
        <v>85.3</v>
      </c>
      <c r="X73" s="106">
        <f>E73</f>
        <v>26</v>
      </c>
      <c r="Y73" s="32">
        <f>H73</f>
        <v>349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인천SK스카이뷰</v>
      </c>
      <c r="AI73" s="106">
        <f>IF(E73="","",E73)</f>
        <v>26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3201</v>
      </c>
      <c r="B74" s="16" t="s">
        <v>3200</v>
      </c>
      <c r="C74" s="28">
        <v>3971</v>
      </c>
      <c r="D74" s="25">
        <v>85.3</v>
      </c>
      <c r="E74" s="106">
        <v>26</v>
      </c>
      <c r="F74" s="25">
        <v>60</v>
      </c>
      <c r="G74" s="27">
        <v>18</v>
      </c>
      <c r="H74" s="28">
        <v>116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64</v>
      </c>
      <c r="T74" s="8" t="s">
        <v>1615</v>
      </c>
      <c r="U74" s="13"/>
      <c r="W74" s="25">
        <f>D74</f>
        <v>85.3</v>
      </c>
      <c r="X74" s="106">
        <f>E74</f>
        <v>26</v>
      </c>
      <c r="Y74" s="32">
        <f>H74</f>
        <v>116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인천SK스카이뷰</v>
      </c>
      <c r="AI74" s="106">
        <f>IF(E74="","",E74)</f>
        <v>26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3202</v>
      </c>
      <c r="B75" s="16" t="s">
        <v>3203</v>
      </c>
      <c r="C75" s="28">
        <v>3971</v>
      </c>
      <c r="D75" s="25">
        <v>117.7</v>
      </c>
      <c r="E75" s="106">
        <v>36</v>
      </c>
      <c r="F75" s="25">
        <v>85</v>
      </c>
      <c r="G75" s="27">
        <v>26</v>
      </c>
      <c r="H75" s="28">
        <v>355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3174</v>
      </c>
      <c r="T75" s="8" t="s">
        <v>1657</v>
      </c>
      <c r="U75" s="13"/>
      <c r="W75" s="25">
        <f>D75</f>
        <v>117.7</v>
      </c>
      <c r="X75" s="106">
        <f>E75</f>
        <v>36</v>
      </c>
      <c r="Y75" s="32">
        <f>H75</f>
        <v>355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인천SK스카이뷰</v>
      </c>
      <c r="AI75" s="106">
        <f>IF(E75="","",E75)</f>
        <v>36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3202</v>
      </c>
      <c r="B76" s="16" t="s">
        <v>3203</v>
      </c>
      <c r="C76" s="28">
        <v>3971</v>
      </c>
      <c r="D76" s="25">
        <v>118.2</v>
      </c>
      <c r="E76" s="106">
        <v>36</v>
      </c>
      <c r="F76" s="25">
        <v>85</v>
      </c>
      <c r="G76" s="27">
        <v>26</v>
      </c>
      <c r="H76" s="28">
        <v>1510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3174</v>
      </c>
      <c r="T76" s="8" t="s">
        <v>1658</v>
      </c>
      <c r="U76" s="13"/>
      <c r="W76" s="25">
        <f>D76</f>
        <v>118.2</v>
      </c>
      <c r="X76" s="106">
        <f>E76</f>
        <v>36</v>
      </c>
      <c r="Y76" s="32">
        <f>H76</f>
        <v>1510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인천SK스카이뷰</v>
      </c>
      <c r="AI76" s="106">
        <f>IF(E76="","",E76)</f>
        <v>36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3202</v>
      </c>
      <c r="B77" s="16" t="s">
        <v>3203</v>
      </c>
      <c r="C77" s="28">
        <v>3971</v>
      </c>
      <c r="D77" s="25">
        <v>118.1</v>
      </c>
      <c r="E77" s="106">
        <v>36</v>
      </c>
      <c r="F77" s="25">
        <v>85</v>
      </c>
      <c r="G77" s="27">
        <v>26</v>
      </c>
      <c r="H77" s="28">
        <v>417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3174</v>
      </c>
      <c r="T77" s="8" t="s">
        <v>1659</v>
      </c>
      <c r="U77" s="13"/>
      <c r="W77" s="25">
        <f>D77</f>
        <v>118.1</v>
      </c>
      <c r="X77" s="106">
        <f>E77</f>
        <v>36</v>
      </c>
      <c r="Y77" s="32">
        <f>H77</f>
        <v>417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인천SK스카이뷰</v>
      </c>
      <c r="AI77" s="106">
        <f>IF(E77="","",E77)</f>
        <v>36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3199</v>
      </c>
      <c r="B78" s="16" t="s">
        <v>3200</v>
      </c>
      <c r="C78" s="28">
        <v>3971</v>
      </c>
      <c r="D78" s="25">
        <v>132.19999999999999</v>
      </c>
      <c r="E78" s="106">
        <v>40</v>
      </c>
      <c r="F78" s="25">
        <v>95.5</v>
      </c>
      <c r="G78" s="27">
        <v>29</v>
      </c>
      <c r="H78" s="28">
        <v>295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64</v>
      </c>
      <c r="T78" s="8">
        <v>132</v>
      </c>
      <c r="U78" s="13"/>
      <c r="W78" s="25">
        <f>D78</f>
        <v>132.19999999999999</v>
      </c>
      <c r="X78" s="106">
        <f>E78</f>
        <v>40</v>
      </c>
      <c r="Y78" s="32">
        <f>H78</f>
        <v>295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인천SK스카이뷰</v>
      </c>
      <c r="AI78" s="106">
        <f>IF(E78="","",E78)</f>
        <v>40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3204</v>
      </c>
      <c r="B79" s="16" t="s">
        <v>3205</v>
      </c>
      <c r="C79" s="28">
        <v>3971</v>
      </c>
      <c r="D79" s="25">
        <v>138.6</v>
      </c>
      <c r="E79" s="106">
        <v>42</v>
      </c>
      <c r="F79" s="25">
        <v>100.3</v>
      </c>
      <c r="G79" s="27">
        <v>30</v>
      </c>
      <c r="H79" s="28">
        <v>239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3206</v>
      </c>
      <c r="T79" s="8">
        <v>138</v>
      </c>
      <c r="U79" s="13"/>
      <c r="W79" s="25">
        <f>D79</f>
        <v>138.6</v>
      </c>
      <c r="X79" s="106">
        <f>E79</f>
        <v>42</v>
      </c>
      <c r="Y79" s="32">
        <f>H79</f>
        <v>239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인천SK스카이뷰</v>
      </c>
      <c r="AI79" s="106">
        <f>IF(E79="","",E79)</f>
        <v>42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3204</v>
      </c>
      <c r="B80" s="16" t="s">
        <v>3205</v>
      </c>
      <c r="C80" s="28">
        <v>3971</v>
      </c>
      <c r="D80" s="25">
        <v>151.19999999999999</v>
      </c>
      <c r="E80" s="106">
        <v>46</v>
      </c>
      <c r="F80" s="25">
        <v>109.2</v>
      </c>
      <c r="G80" s="27">
        <v>33</v>
      </c>
      <c r="H80" s="28">
        <v>156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4</v>
      </c>
      <c r="R80" s="15">
        <v>2</v>
      </c>
      <c r="S80" s="113" t="s">
        <v>3206</v>
      </c>
      <c r="T80" s="8">
        <v>151</v>
      </c>
      <c r="U80" s="13"/>
      <c r="W80" s="25">
        <f>D80</f>
        <v>151.19999999999999</v>
      </c>
      <c r="X80" s="106">
        <f>E80</f>
        <v>46</v>
      </c>
      <c r="Y80" s="32">
        <f>H80</f>
        <v>156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4/2</v>
      </c>
      <c r="AH80" s="36" t="str">
        <f>IF(A80="","",A80)</f>
        <v>인천SK스카이뷰</v>
      </c>
      <c r="AI80" s="106">
        <f>IF(E80="","",E80)</f>
        <v>46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3204</v>
      </c>
      <c r="B81" s="16" t="s">
        <v>3200</v>
      </c>
      <c r="C81" s="28">
        <v>3971</v>
      </c>
      <c r="D81" s="25">
        <v>158.6</v>
      </c>
      <c r="E81" s="106">
        <v>48</v>
      </c>
      <c r="F81" s="25">
        <v>115.3</v>
      </c>
      <c r="G81" s="27">
        <v>35</v>
      </c>
      <c r="H81" s="28">
        <v>138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64</v>
      </c>
      <c r="T81" s="8">
        <v>158</v>
      </c>
      <c r="U81" s="13"/>
      <c r="W81" s="25">
        <f>D81</f>
        <v>158.6</v>
      </c>
      <c r="X81" s="106">
        <f>E81</f>
        <v>48</v>
      </c>
      <c r="Y81" s="32">
        <f>H81</f>
        <v>138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4/2</v>
      </c>
      <c r="AH81" s="36" t="str">
        <f>IF(A81="","",A81)</f>
        <v>인천SK스카이뷰</v>
      </c>
      <c r="AI81" s="106">
        <f>IF(E81="","",E81)</f>
        <v>48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3204</v>
      </c>
      <c r="B82" s="16" t="s">
        <v>3200</v>
      </c>
      <c r="C82" s="28">
        <v>3971</v>
      </c>
      <c r="D82" s="25">
        <v>174.5</v>
      </c>
      <c r="E82" s="106">
        <v>53</v>
      </c>
      <c r="F82" s="25">
        <v>127.7</v>
      </c>
      <c r="G82" s="27">
        <v>39</v>
      </c>
      <c r="H82" s="28">
        <v>30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3206</v>
      </c>
      <c r="T82" s="8" t="s">
        <v>1660</v>
      </c>
      <c r="U82" s="13"/>
      <c r="W82" s="25">
        <f>D82</f>
        <v>174.5</v>
      </c>
      <c r="X82" s="106">
        <f>E82</f>
        <v>53</v>
      </c>
      <c r="Y82" s="32">
        <f>H82</f>
        <v>30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인천SK스카이뷰</v>
      </c>
      <c r="AI82" s="106">
        <f>IF(E82="","",E82)</f>
        <v>53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3199</v>
      </c>
      <c r="B83" s="16" t="s">
        <v>3200</v>
      </c>
      <c r="C83" s="28">
        <v>3971</v>
      </c>
      <c r="D83" s="25">
        <v>174.3</v>
      </c>
      <c r="E83" s="106">
        <v>53</v>
      </c>
      <c r="F83" s="25">
        <v>126.7</v>
      </c>
      <c r="G83" s="27">
        <v>38</v>
      </c>
      <c r="H83" s="28">
        <v>22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64</v>
      </c>
      <c r="T83" s="8">
        <v>174</v>
      </c>
      <c r="U83" s="13"/>
      <c r="W83" s="25">
        <f>D83</f>
        <v>174.3</v>
      </c>
      <c r="X83" s="106">
        <f>E83</f>
        <v>53</v>
      </c>
      <c r="Y83" s="32">
        <f>H83</f>
        <v>22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인천SK스카이뷰</v>
      </c>
      <c r="AI83" s="106">
        <f>IF(E83="","",E83)</f>
        <v>53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3204</v>
      </c>
      <c r="B84" s="16" t="s">
        <v>3205</v>
      </c>
      <c r="C84" s="28">
        <v>3971</v>
      </c>
      <c r="D84" s="25">
        <v>175.9</v>
      </c>
      <c r="E84" s="106">
        <v>53</v>
      </c>
      <c r="F84" s="25">
        <v>127.9</v>
      </c>
      <c r="G84" s="27">
        <v>39</v>
      </c>
      <c r="H84" s="28">
        <v>9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3</v>
      </c>
      <c r="S84" s="113" t="s">
        <v>64</v>
      </c>
      <c r="T84" s="8" t="s">
        <v>1661</v>
      </c>
      <c r="U84" s="13"/>
      <c r="W84" s="25">
        <f>D84</f>
        <v>175.9</v>
      </c>
      <c r="X84" s="106">
        <f>E84</f>
        <v>53</v>
      </c>
      <c r="Y84" s="32">
        <f>H84</f>
        <v>9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4/3</v>
      </c>
      <c r="AH84" s="36" t="str">
        <f>IF(A84="","",A84)</f>
        <v>인천SK스카이뷰</v>
      </c>
      <c r="AI84" s="106">
        <f>IF(E84="","",E84)</f>
        <v>53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용현동 LH미추홀퍼스트('18.12.,870^)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3207</v>
      </c>
      <c r="B86" s="16" t="s">
        <v>3208</v>
      </c>
      <c r="C86" s="28">
        <v>870</v>
      </c>
      <c r="D86" s="25">
        <v>84.6</v>
      </c>
      <c r="E86" s="106">
        <v>26</v>
      </c>
      <c r="F86" s="25">
        <v>60</v>
      </c>
      <c r="G86" s="27">
        <v>18</v>
      </c>
      <c r="H86" s="28">
        <v>104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3206</v>
      </c>
      <c r="T86" s="8" t="s">
        <v>383</v>
      </c>
      <c r="U86" s="13"/>
      <c r="W86" s="25">
        <f>D86</f>
        <v>84.6</v>
      </c>
      <c r="X86" s="106">
        <f>E86</f>
        <v>26</v>
      </c>
      <c r="Y86" s="32">
        <f>H86</f>
        <v>104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LH미추홀퍼스트</v>
      </c>
      <c r="AI86" s="106">
        <f>IF(E86="","",E86)</f>
        <v>26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3207</v>
      </c>
      <c r="B87" s="16" t="s">
        <v>3208</v>
      </c>
      <c r="C87" s="28">
        <v>870</v>
      </c>
      <c r="D87" s="25">
        <v>93.9</v>
      </c>
      <c r="E87" s="106">
        <v>28</v>
      </c>
      <c r="F87" s="25">
        <v>67</v>
      </c>
      <c r="G87" s="27">
        <v>20</v>
      </c>
      <c r="H87" s="28">
        <v>78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64</v>
      </c>
      <c r="T87" s="8" t="s">
        <v>385</v>
      </c>
      <c r="U87" s="13"/>
      <c r="W87" s="25">
        <f>D87</f>
        <v>93.9</v>
      </c>
      <c r="X87" s="106">
        <f>E87</f>
        <v>28</v>
      </c>
      <c r="Y87" s="32">
        <f>H87</f>
        <v>78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LH미추홀퍼스트</v>
      </c>
      <c r="AI87" s="106">
        <f>IF(E87="","",E87)</f>
        <v>28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3209</v>
      </c>
      <c r="B88" s="16" t="s">
        <v>3208</v>
      </c>
      <c r="C88" s="28">
        <v>870</v>
      </c>
      <c r="D88" s="25">
        <v>93.8</v>
      </c>
      <c r="E88" s="106">
        <v>28</v>
      </c>
      <c r="F88" s="25">
        <v>67</v>
      </c>
      <c r="G88" s="27">
        <v>20</v>
      </c>
      <c r="H88" s="28">
        <v>25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64</v>
      </c>
      <c r="T88" s="8" t="s">
        <v>834</v>
      </c>
      <c r="U88" s="13"/>
      <c r="W88" s="25">
        <f>D88</f>
        <v>93.8</v>
      </c>
      <c r="X88" s="106">
        <f>E88</f>
        <v>28</v>
      </c>
      <c r="Y88" s="32">
        <f>H88</f>
        <v>25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LH미추홀퍼스트</v>
      </c>
      <c r="AI88" s="106">
        <f>IF(E88="","",E88)</f>
        <v>28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3209</v>
      </c>
      <c r="B89" s="16" t="s">
        <v>3208</v>
      </c>
      <c r="C89" s="28">
        <v>870</v>
      </c>
      <c r="D89" s="25">
        <v>100</v>
      </c>
      <c r="E89" s="106">
        <v>30</v>
      </c>
      <c r="F89" s="25">
        <v>74.900000000000006</v>
      </c>
      <c r="G89" s="27">
        <v>23</v>
      </c>
      <c r="H89" s="28">
        <v>48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64</v>
      </c>
      <c r="T89" s="8" t="s">
        <v>1053</v>
      </c>
      <c r="U89" s="13"/>
      <c r="W89" s="25">
        <f>D89</f>
        <v>100</v>
      </c>
      <c r="X89" s="106">
        <f>E89</f>
        <v>30</v>
      </c>
      <c r="Y89" s="32">
        <f>H89</f>
        <v>48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LH미추홀퍼스트</v>
      </c>
      <c r="AI89" s="106">
        <f>IF(E89="","",E89)</f>
        <v>30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3209</v>
      </c>
      <c r="B90" s="16" t="s">
        <v>3208</v>
      </c>
      <c r="C90" s="28">
        <v>870</v>
      </c>
      <c r="D90" s="25">
        <v>100.1</v>
      </c>
      <c r="E90" s="106">
        <v>30</v>
      </c>
      <c r="F90" s="25">
        <v>74.900000000000006</v>
      </c>
      <c r="G90" s="27">
        <v>23</v>
      </c>
      <c r="H90" s="28">
        <v>195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 t="s">
        <v>601</v>
      </c>
      <c r="U90" s="13"/>
      <c r="W90" s="25">
        <f>D90</f>
        <v>100.1</v>
      </c>
      <c r="X90" s="106">
        <f>E90</f>
        <v>30</v>
      </c>
      <c r="Y90" s="32">
        <f>H90</f>
        <v>195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LH미추홀퍼스트</v>
      </c>
      <c r="AI90" s="106">
        <f>IF(E90="","",E90)</f>
        <v>30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3209</v>
      </c>
      <c r="B91" s="16" t="s">
        <v>3208</v>
      </c>
      <c r="C91" s="28">
        <v>870</v>
      </c>
      <c r="D91" s="25">
        <v>111</v>
      </c>
      <c r="E91" s="106">
        <v>34</v>
      </c>
      <c r="F91" s="25">
        <v>84.7</v>
      </c>
      <c r="G91" s="27">
        <v>26</v>
      </c>
      <c r="H91" s="28">
        <v>212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820</v>
      </c>
      <c r="U91" s="13"/>
      <c r="W91" s="25">
        <f>D91</f>
        <v>111</v>
      </c>
      <c r="X91" s="106">
        <f>E91</f>
        <v>34</v>
      </c>
      <c r="Y91" s="32">
        <f>H91</f>
        <v>212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LH미추홀퍼스트</v>
      </c>
      <c r="AI91" s="106">
        <f>IF(E91="","",E91)</f>
        <v>34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9"/>
      <c r="B92" s="113"/>
      <c r="C92" s="10"/>
      <c r="D92" s="13"/>
      <c r="E92" s="20"/>
      <c r="F92" s="26"/>
      <c r="G92" s="13"/>
      <c r="H92" s="13"/>
      <c r="I92" s="13"/>
      <c r="J92" s="13"/>
      <c r="K92" s="13"/>
      <c r="L92" s="13"/>
      <c r="M92" s="13"/>
      <c r="N92" s="13"/>
      <c r="O92" s="29"/>
      <c r="P92" s="29"/>
      <c r="Q92" s="23"/>
      <c r="R92" s="23"/>
      <c r="S92" s="13"/>
      <c r="T92" s="70"/>
      <c r="U92" s="13"/>
      <c r="W92" s="107" t="str">
        <f>$A$4&amp;" "&amp;A93&amp;"("&amp;B93&amp;","&amp;C93&amp;"^)"</f>
        <v>용현동 인천용현경남아너스빌(주)('23.03.,303^)</v>
      </c>
      <c r="X92" s="108"/>
      <c r="Y92" s="108"/>
      <c r="Z92" s="108"/>
      <c r="AA92" s="108"/>
      <c r="AB92" s="108"/>
      <c r="AC92" s="108"/>
      <c r="AD92" s="108"/>
      <c r="AE92" s="108"/>
      <c r="AF92" s="109"/>
      <c r="AH92" s="36" t="str">
        <f>IF(A92="","",A92)</f>
        <v/>
      </c>
      <c r="AI92" s="37" t="str">
        <f>IF(E92="","",E92)</f>
        <v/>
      </c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</row>
    <row r="93" spans="1:48" x14ac:dyDescent="0.3">
      <c r="A93" s="5" t="s">
        <v>3210</v>
      </c>
      <c r="B93" s="16" t="s">
        <v>3211</v>
      </c>
      <c r="C93" s="28">
        <v>303</v>
      </c>
      <c r="D93" s="25">
        <v>83.3</v>
      </c>
      <c r="E93" s="106">
        <v>25</v>
      </c>
      <c r="F93" s="25">
        <v>59.8</v>
      </c>
      <c r="G93" s="27">
        <v>18</v>
      </c>
      <c r="H93" s="28">
        <v>232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>
        <v>83</v>
      </c>
      <c r="U93" s="13"/>
      <c r="W93" s="25">
        <f>D93</f>
        <v>83.3</v>
      </c>
      <c r="X93" s="106">
        <f>E93</f>
        <v>25</v>
      </c>
      <c r="Y93" s="32">
        <f>H93</f>
        <v>232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인천용현경남아너스빌(주)</v>
      </c>
      <c r="AI93" s="106">
        <f>IF(E93="","",E93)</f>
        <v>25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3212</v>
      </c>
      <c r="B94" s="16" t="s">
        <v>3211</v>
      </c>
      <c r="C94" s="28">
        <v>303</v>
      </c>
      <c r="D94" s="25">
        <v>97.8</v>
      </c>
      <c r="E94" s="106">
        <v>30</v>
      </c>
      <c r="F94" s="25">
        <v>75</v>
      </c>
      <c r="G94" s="27">
        <v>23</v>
      </c>
      <c r="H94" s="28">
        <v>71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64</v>
      </c>
      <c r="T94" s="8">
        <v>97</v>
      </c>
      <c r="U94" s="13"/>
      <c r="W94" s="25">
        <f>D94</f>
        <v>97.8</v>
      </c>
      <c r="X94" s="106">
        <f>E94</f>
        <v>30</v>
      </c>
      <c r="Y94" s="32">
        <f>H94</f>
        <v>71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인천용현경남아너스빌(주)</v>
      </c>
      <c r="AI94" s="106">
        <f>IF(E94="","",E94)</f>
        <v>30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9"/>
      <c r="B95" s="113"/>
      <c r="C95" s="10"/>
      <c r="D95" s="13"/>
      <c r="E95" s="20"/>
      <c r="F95" s="26"/>
      <c r="G95" s="13"/>
      <c r="H95" s="13"/>
      <c r="I95" s="13"/>
      <c r="J95" s="13"/>
      <c r="K95" s="13"/>
      <c r="L95" s="13"/>
      <c r="M95" s="13"/>
      <c r="N95" s="13"/>
      <c r="O95" s="29"/>
      <c r="P95" s="29"/>
      <c r="Q95" s="23"/>
      <c r="R95" s="23"/>
      <c r="S95" s="13"/>
      <c r="T95" s="70"/>
      <c r="U95" s="13"/>
      <c r="W95" s="107" t="str">
        <f>$A$4&amp;" "&amp;A96&amp;"("&amp;B96&amp;","&amp;C96&amp;"^)"</f>
        <v>용현동 한국('96.12.,298^)</v>
      </c>
      <c r="X95" s="108"/>
      <c r="Y95" s="108"/>
      <c r="Z95" s="108"/>
      <c r="AA95" s="108"/>
      <c r="AB95" s="108"/>
      <c r="AC95" s="108"/>
      <c r="AD95" s="108"/>
      <c r="AE95" s="108"/>
      <c r="AF95" s="109"/>
      <c r="AH95" s="36" t="str">
        <f>IF(A95="","",A95)</f>
        <v/>
      </c>
      <c r="AI95" s="37" t="str">
        <f>IF(E95="","",E95)</f>
        <v/>
      </c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</row>
    <row r="96" spans="1:48" x14ac:dyDescent="0.3">
      <c r="A96" s="5" t="s">
        <v>3213</v>
      </c>
      <c r="B96" s="16" t="s">
        <v>3214</v>
      </c>
      <c r="C96" s="28">
        <v>298</v>
      </c>
      <c r="D96" s="25">
        <v>80.7</v>
      </c>
      <c r="E96" s="106">
        <v>24</v>
      </c>
      <c r="F96" s="25">
        <v>59.3</v>
      </c>
      <c r="G96" s="27">
        <v>18</v>
      </c>
      <c r="H96" s="28">
        <v>154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1</v>
      </c>
      <c r="S96" s="113" t="s">
        <v>64</v>
      </c>
      <c r="T96" s="8">
        <v>80</v>
      </c>
      <c r="U96" s="13"/>
      <c r="W96" s="25">
        <f>D96</f>
        <v>80.7</v>
      </c>
      <c r="X96" s="106">
        <f>E96</f>
        <v>24</v>
      </c>
      <c r="Y96" s="32">
        <f>H96</f>
        <v>154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3/1</v>
      </c>
      <c r="AH96" s="36" t="str">
        <f>IF(A96="","",A96)</f>
        <v>한국</v>
      </c>
      <c r="AI96" s="106">
        <f>IF(E96="","",E96)</f>
        <v>24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X</v>
      </c>
      <c r="AV96" s="113" t="str">
        <f>IF(AO96="","",IF(AND(AO96="O",AP96="O",AR96="O",AT96="O",AU96="O"),"후보","X"))</f>
        <v/>
      </c>
    </row>
    <row r="97" spans="1:48" x14ac:dyDescent="0.3">
      <c r="A97" s="5" t="s">
        <v>3213</v>
      </c>
      <c r="B97" s="16" t="s">
        <v>3214</v>
      </c>
      <c r="C97" s="28">
        <v>298</v>
      </c>
      <c r="D97" s="25">
        <v>107.5</v>
      </c>
      <c r="E97" s="106">
        <v>33</v>
      </c>
      <c r="F97" s="25">
        <v>84.6</v>
      </c>
      <c r="G97" s="27">
        <v>26</v>
      </c>
      <c r="H97" s="28">
        <v>120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>
        <v>107</v>
      </c>
      <c r="U97" s="13"/>
      <c r="W97" s="25">
        <f>D97</f>
        <v>107.5</v>
      </c>
      <c r="X97" s="106">
        <f>E97</f>
        <v>33</v>
      </c>
      <c r="Y97" s="32">
        <f>H97</f>
        <v>120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한국</v>
      </c>
      <c r="AI97" s="106">
        <f>IF(E97="","",E97)</f>
        <v>33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X</v>
      </c>
      <c r="AV97" s="113" t="str">
        <f>IF(AO97="","",IF(AND(AO97="O",AP97="O",AR97="O",AT97="O",AU97="O"),"후보","X"))</f>
        <v/>
      </c>
    </row>
    <row r="98" spans="1:48" x14ac:dyDescent="0.3">
      <c r="A98" s="5" t="s">
        <v>3213</v>
      </c>
      <c r="B98" s="16" t="s">
        <v>3214</v>
      </c>
      <c r="C98" s="28">
        <v>298</v>
      </c>
      <c r="D98" s="25">
        <v>126.8</v>
      </c>
      <c r="E98" s="106">
        <v>38</v>
      </c>
      <c r="F98" s="25">
        <v>102.2</v>
      </c>
      <c r="G98" s="27">
        <v>31</v>
      </c>
      <c r="H98" s="28">
        <v>24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>
        <v>126</v>
      </c>
      <c r="U98" s="13"/>
      <c r="W98" s="25">
        <f>D98</f>
        <v>126.8</v>
      </c>
      <c r="X98" s="106">
        <f>E98</f>
        <v>38</v>
      </c>
      <c r="Y98" s="32">
        <f>H98</f>
        <v>24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한국</v>
      </c>
      <c r="AI98" s="106">
        <f>IF(E98="","",E98)</f>
        <v>38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X</v>
      </c>
      <c r="AV98" s="113" t="str">
        <f>IF(AO98="","",IF(AND(AO98="O",AP98="O",AR98="O",AT98="O",AU98="O"),"후보","X"))</f>
        <v/>
      </c>
    </row>
    <row r="99" spans="1:48" x14ac:dyDescent="0.3">
      <c r="A99" s="9"/>
      <c r="B99" s="113"/>
      <c r="C99" s="10"/>
      <c r="D99" s="13"/>
      <c r="E99" s="20"/>
      <c r="F99" s="26"/>
      <c r="G99" s="13"/>
      <c r="H99" s="13"/>
      <c r="I99" s="13"/>
      <c r="J99" s="13"/>
      <c r="K99" s="13"/>
      <c r="L99" s="13"/>
      <c r="M99" s="13"/>
      <c r="N99" s="13"/>
      <c r="O99" s="29"/>
      <c r="P99" s="29"/>
      <c r="Q99" s="23"/>
      <c r="R99" s="23"/>
      <c r="S99" s="13"/>
      <c r="T99" s="70"/>
      <c r="U99" s="13"/>
      <c r="W99" s="107" t="str">
        <f>$A$4&amp;" "&amp;A100&amp;"("&amp;B100&amp;","&amp;C100&amp;"^)"</f>
        <v>용현동 용현성원상떼빌('09.03.,550^)</v>
      </c>
      <c r="X99" s="108"/>
      <c r="Y99" s="108"/>
      <c r="Z99" s="108"/>
      <c r="AA99" s="108"/>
      <c r="AB99" s="108"/>
      <c r="AC99" s="108"/>
      <c r="AD99" s="108"/>
      <c r="AE99" s="108"/>
      <c r="AF99" s="109"/>
      <c r="AH99" s="36" t="str">
        <f>IF(A99="","",A99)</f>
        <v/>
      </c>
      <c r="AI99" s="37" t="str">
        <f>IF(E99="","",E99)</f>
        <v/>
      </c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</row>
    <row r="100" spans="1:48" x14ac:dyDescent="0.3">
      <c r="A100" s="5" t="s">
        <v>3215</v>
      </c>
      <c r="B100" s="16" t="s">
        <v>3216</v>
      </c>
      <c r="C100" s="28">
        <v>550</v>
      </c>
      <c r="D100" s="25">
        <v>106.7</v>
      </c>
      <c r="E100" s="106">
        <v>32</v>
      </c>
      <c r="F100" s="25">
        <v>84.9</v>
      </c>
      <c r="G100" s="27">
        <v>26</v>
      </c>
      <c r="H100" s="28">
        <v>550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>
        <v>106</v>
      </c>
      <c r="U100" s="13"/>
      <c r="W100" s="25">
        <f>D100</f>
        <v>106.7</v>
      </c>
      <c r="X100" s="106">
        <f>E100</f>
        <v>32</v>
      </c>
      <c r="Y100" s="32">
        <f>H100</f>
        <v>550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용현성원상떼빌</v>
      </c>
      <c r="AI100" s="106">
        <f>IF(E100="","",E100)</f>
        <v>32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9"/>
      <c r="B101" s="113"/>
      <c r="C101" s="10"/>
      <c r="D101" s="13"/>
      <c r="E101" s="20"/>
      <c r="F101" s="26"/>
      <c r="G101" s="13"/>
      <c r="H101" s="13"/>
      <c r="I101" s="13"/>
      <c r="J101" s="13"/>
      <c r="K101" s="13"/>
      <c r="L101" s="13"/>
      <c r="M101" s="13"/>
      <c r="N101" s="13"/>
      <c r="O101" s="29"/>
      <c r="P101" s="29"/>
      <c r="Q101" s="23"/>
      <c r="R101" s="23"/>
      <c r="S101" s="13"/>
      <c r="T101" s="70"/>
      <c r="U101" s="13"/>
      <c r="W101" s="107" t="str">
        <f>$A$4&amp;" "&amp;A102&amp;"("&amp;B102&amp;","&amp;C102&amp;"^)"</f>
        <v>용현동 대림('90.10.,598^)</v>
      </c>
      <c r="X101" s="108"/>
      <c r="Y101" s="108"/>
      <c r="Z101" s="108"/>
      <c r="AA101" s="108"/>
      <c r="AB101" s="108"/>
      <c r="AC101" s="108"/>
      <c r="AD101" s="108"/>
      <c r="AE101" s="108"/>
      <c r="AF101" s="109"/>
      <c r="AH101" s="36" t="str">
        <f>IF(A101="","",A101)</f>
        <v/>
      </c>
      <c r="AI101" s="37" t="str">
        <f>IF(E101="","",E101)</f>
        <v/>
      </c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</row>
    <row r="102" spans="1:48" x14ac:dyDescent="0.3">
      <c r="A102" s="5" t="s">
        <v>3217</v>
      </c>
      <c r="B102" s="16" t="s">
        <v>3218</v>
      </c>
      <c r="C102" s="28">
        <v>598</v>
      </c>
      <c r="D102" s="25">
        <v>102.5</v>
      </c>
      <c r="E102" s="106">
        <v>31</v>
      </c>
      <c r="F102" s="25">
        <v>84.9</v>
      </c>
      <c r="G102" s="27">
        <v>26</v>
      </c>
      <c r="H102" s="28">
        <v>442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64</v>
      </c>
      <c r="T102" s="8">
        <v>102</v>
      </c>
      <c r="U102" s="13"/>
      <c r="W102" s="25">
        <f>D102</f>
        <v>102.5</v>
      </c>
      <c r="X102" s="106">
        <f>E102</f>
        <v>31</v>
      </c>
      <c r="Y102" s="32">
        <f>H102</f>
        <v>442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대림</v>
      </c>
      <c r="AI102" s="106">
        <f>IF(E102="","",E102)</f>
        <v>31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3217</v>
      </c>
      <c r="B103" s="16" t="s">
        <v>3219</v>
      </c>
      <c r="C103" s="28">
        <v>598</v>
      </c>
      <c r="D103" s="25">
        <v>149.19999999999999</v>
      </c>
      <c r="E103" s="106">
        <v>45</v>
      </c>
      <c r="F103" s="25">
        <v>128.19999999999999</v>
      </c>
      <c r="G103" s="27">
        <v>39</v>
      </c>
      <c r="H103" s="28">
        <v>156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4</v>
      </c>
      <c r="R103" s="15">
        <v>2</v>
      </c>
      <c r="S103" s="113" t="s">
        <v>64</v>
      </c>
      <c r="T103" s="8">
        <v>149</v>
      </c>
      <c r="U103" s="13"/>
      <c r="W103" s="25">
        <f>D103</f>
        <v>149.19999999999999</v>
      </c>
      <c r="X103" s="106">
        <f>E103</f>
        <v>45</v>
      </c>
      <c r="Y103" s="32">
        <f>H103</f>
        <v>156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4/2</v>
      </c>
      <c r="AH103" s="36" t="str">
        <f>IF(A103="","",A103)</f>
        <v>대림</v>
      </c>
      <c r="AI103" s="106">
        <f>IF(E103="","",E103)</f>
        <v>45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9"/>
      <c r="B104" s="113"/>
      <c r="C104" s="10"/>
      <c r="D104" s="13"/>
      <c r="E104" s="20"/>
      <c r="F104" s="26"/>
      <c r="G104" s="13"/>
      <c r="H104" s="13"/>
      <c r="I104" s="13"/>
      <c r="J104" s="13"/>
      <c r="K104" s="13"/>
      <c r="L104" s="13"/>
      <c r="M104" s="13"/>
      <c r="N104" s="13"/>
      <c r="O104" s="29"/>
      <c r="P104" s="29"/>
      <c r="Q104" s="23"/>
      <c r="R104" s="23"/>
      <c r="S104" s="13"/>
      <c r="T104" s="70"/>
      <c r="U104" s="13"/>
      <c r="W104" s="107" t="str">
        <f>$A$4&amp;" "&amp;A105&amp;"("&amp;B105&amp;","&amp;C105&amp;"^)"</f>
        <v>용현동 동아(저층)('89.08.,492^)</v>
      </c>
      <c r="X104" s="108"/>
      <c r="Y104" s="108"/>
      <c r="Z104" s="108"/>
      <c r="AA104" s="108"/>
      <c r="AB104" s="108"/>
      <c r="AC104" s="108"/>
      <c r="AD104" s="108"/>
      <c r="AE104" s="108"/>
      <c r="AF104" s="109"/>
      <c r="AH104" s="36" t="str">
        <f>IF(A104="","",A104)</f>
        <v/>
      </c>
      <c r="AI104" s="37" t="str">
        <f>IF(E104="","",E104)</f>
        <v/>
      </c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</row>
    <row r="105" spans="1:48" x14ac:dyDescent="0.3">
      <c r="A105" s="5" t="s">
        <v>3220</v>
      </c>
      <c r="B105" s="16" t="s">
        <v>3221</v>
      </c>
      <c r="C105" s="28">
        <v>492</v>
      </c>
      <c r="D105" s="25">
        <v>60.8</v>
      </c>
      <c r="E105" s="106">
        <v>18</v>
      </c>
      <c r="F105" s="25">
        <v>47.3</v>
      </c>
      <c r="G105" s="27">
        <v>14</v>
      </c>
      <c r="H105" s="28">
        <v>24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2</v>
      </c>
      <c r="R105" s="15">
        <v>1</v>
      </c>
      <c r="S105" s="113" t="s">
        <v>3206</v>
      </c>
      <c r="T105" s="8">
        <v>60</v>
      </c>
      <c r="U105" s="13"/>
      <c r="W105" s="25">
        <f>D105</f>
        <v>60.8</v>
      </c>
      <c r="X105" s="106">
        <f>E105</f>
        <v>18</v>
      </c>
      <c r="Y105" s="32">
        <f>H105</f>
        <v>24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2/1</v>
      </c>
      <c r="AH105" s="36" t="str">
        <f>IF(A105="","",A105)</f>
        <v>동아(저층)</v>
      </c>
      <c r="AI105" s="106">
        <f>IF(E105="","",E105)</f>
        <v>18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3220</v>
      </c>
      <c r="B106" s="16" t="s">
        <v>3222</v>
      </c>
      <c r="C106" s="28">
        <v>492</v>
      </c>
      <c r="D106" s="25">
        <v>62.7</v>
      </c>
      <c r="E106" s="106">
        <v>19</v>
      </c>
      <c r="F106" s="25">
        <v>48.9</v>
      </c>
      <c r="G106" s="27">
        <v>15</v>
      </c>
      <c r="H106" s="28">
        <v>108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1</v>
      </c>
      <c r="S106" s="113" t="s">
        <v>3206</v>
      </c>
      <c r="T106" s="8">
        <v>62</v>
      </c>
      <c r="U106" s="13"/>
      <c r="W106" s="25">
        <f>D106</f>
        <v>62.7</v>
      </c>
      <c r="X106" s="106">
        <f>E106</f>
        <v>19</v>
      </c>
      <c r="Y106" s="32">
        <f>H106</f>
        <v>108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3/1</v>
      </c>
      <c r="AH106" s="36" t="str">
        <f>IF(A106="","",A106)</f>
        <v>동아(저층)</v>
      </c>
      <c r="AI106" s="106">
        <f>IF(E106="","",E106)</f>
        <v>19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3223</v>
      </c>
      <c r="B107" s="16" t="s">
        <v>3221</v>
      </c>
      <c r="C107" s="28">
        <v>492</v>
      </c>
      <c r="D107" s="25">
        <v>66.2</v>
      </c>
      <c r="E107" s="106">
        <v>20</v>
      </c>
      <c r="F107" s="25">
        <v>51.9</v>
      </c>
      <c r="G107" s="27">
        <v>16</v>
      </c>
      <c r="H107" s="28">
        <v>120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1</v>
      </c>
      <c r="S107" s="113" t="s">
        <v>3206</v>
      </c>
      <c r="T107" s="8">
        <v>66</v>
      </c>
      <c r="U107" s="13"/>
      <c r="W107" s="25">
        <f>D107</f>
        <v>66.2</v>
      </c>
      <c r="X107" s="106">
        <f>E107</f>
        <v>20</v>
      </c>
      <c r="Y107" s="32">
        <f>H107</f>
        <v>120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3/1</v>
      </c>
      <c r="AH107" s="36" t="str">
        <f>IF(A107="","",A107)</f>
        <v>동아(저층)</v>
      </c>
      <c r="AI107" s="106">
        <f>IF(E107="","",E107)</f>
        <v>20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3220</v>
      </c>
      <c r="B108" s="16" t="s">
        <v>3221</v>
      </c>
      <c r="C108" s="28">
        <v>492</v>
      </c>
      <c r="D108" s="25">
        <v>69.7</v>
      </c>
      <c r="E108" s="106">
        <v>21</v>
      </c>
      <c r="F108" s="25">
        <v>54.9</v>
      </c>
      <c r="G108" s="27">
        <v>17</v>
      </c>
      <c r="H108" s="28">
        <v>168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1</v>
      </c>
      <c r="S108" s="113" t="s">
        <v>64</v>
      </c>
      <c r="T108" s="8">
        <v>69</v>
      </c>
      <c r="U108" s="13"/>
      <c r="W108" s="25">
        <f>D108</f>
        <v>69.7</v>
      </c>
      <c r="X108" s="106">
        <f>E108</f>
        <v>21</v>
      </c>
      <c r="Y108" s="32">
        <f>H108</f>
        <v>168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3/1</v>
      </c>
      <c r="AH108" s="36" t="str">
        <f>IF(A108="","",A108)</f>
        <v>동아(저층)</v>
      </c>
      <c r="AI108" s="106">
        <f>IF(E108="","",E108)</f>
        <v>21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3220</v>
      </c>
      <c r="B109" s="16" t="s">
        <v>3221</v>
      </c>
      <c r="C109" s="28">
        <v>492</v>
      </c>
      <c r="D109" s="25">
        <v>75.599999999999994</v>
      </c>
      <c r="E109" s="106">
        <v>23</v>
      </c>
      <c r="F109" s="25">
        <v>59.9</v>
      </c>
      <c r="G109" s="27">
        <v>18</v>
      </c>
      <c r="H109" s="28">
        <v>72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1</v>
      </c>
      <c r="S109" s="113" t="s">
        <v>3206</v>
      </c>
      <c r="T109" s="8">
        <v>75</v>
      </c>
      <c r="U109" s="13"/>
      <c r="W109" s="25">
        <f>D109</f>
        <v>75.599999999999994</v>
      </c>
      <c r="X109" s="106">
        <f>E109</f>
        <v>23</v>
      </c>
      <c r="Y109" s="32">
        <f>H109</f>
        <v>72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3/1</v>
      </c>
      <c r="AH109" s="36" t="str">
        <f>IF(A109="","",A109)</f>
        <v>동아(저층)</v>
      </c>
      <c r="AI109" s="106">
        <f>IF(E109="","",E109)</f>
        <v>23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9"/>
      <c r="B110" s="113"/>
      <c r="C110" s="10"/>
      <c r="D110" s="13"/>
      <c r="E110" s="20"/>
      <c r="F110" s="26"/>
      <c r="G110" s="13"/>
      <c r="H110" s="13"/>
      <c r="I110" s="13"/>
      <c r="J110" s="13"/>
      <c r="K110" s="13"/>
      <c r="L110" s="13"/>
      <c r="M110" s="13"/>
      <c r="N110" s="13"/>
      <c r="O110" s="29"/>
      <c r="P110" s="29"/>
      <c r="Q110" s="23"/>
      <c r="R110" s="23"/>
      <c r="S110" s="13"/>
      <c r="T110" s="70"/>
      <c r="U110" s="13"/>
      <c r="W110" s="107" t="str">
        <f>$A$4&amp;" "&amp;A111&amp;"("&amp;B111&amp;","&amp;C111&amp;"^)"</f>
        <v>용현동 용현대우('01.06.,616^)</v>
      </c>
      <c r="X110" s="108"/>
      <c r="Y110" s="108"/>
      <c r="Z110" s="108"/>
      <c r="AA110" s="108"/>
      <c r="AB110" s="108"/>
      <c r="AC110" s="108"/>
      <c r="AD110" s="108"/>
      <c r="AE110" s="108"/>
      <c r="AF110" s="109"/>
      <c r="AH110" s="36" t="str">
        <f>IF(A110="","",A110)</f>
        <v/>
      </c>
      <c r="AI110" s="37" t="str">
        <f>IF(E110="","",E110)</f>
        <v/>
      </c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</row>
    <row r="111" spans="1:48" x14ac:dyDescent="0.3">
      <c r="A111" s="5" t="s">
        <v>3224</v>
      </c>
      <c r="B111" s="16" t="s">
        <v>3225</v>
      </c>
      <c r="C111" s="28">
        <v>616</v>
      </c>
      <c r="D111" s="25">
        <v>97.8</v>
      </c>
      <c r="E111" s="106">
        <v>30</v>
      </c>
      <c r="F111" s="25">
        <v>75.400000000000006</v>
      </c>
      <c r="G111" s="27">
        <v>23</v>
      </c>
      <c r="H111" s="28">
        <v>132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3206</v>
      </c>
      <c r="T111" s="8">
        <v>97</v>
      </c>
      <c r="U111" s="13"/>
      <c r="W111" s="25">
        <f>D111</f>
        <v>97.8</v>
      </c>
      <c r="X111" s="106">
        <f>E111</f>
        <v>30</v>
      </c>
      <c r="Y111" s="32">
        <f>H111</f>
        <v>132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용현대우</v>
      </c>
      <c r="AI111" s="106">
        <f>IF(E111="","",E111)</f>
        <v>30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3224</v>
      </c>
      <c r="B112" s="16" t="s">
        <v>3225</v>
      </c>
      <c r="C112" s="28">
        <v>616</v>
      </c>
      <c r="D112" s="25">
        <v>108.3</v>
      </c>
      <c r="E112" s="106">
        <v>33</v>
      </c>
      <c r="F112" s="25">
        <v>85</v>
      </c>
      <c r="G112" s="27">
        <v>26</v>
      </c>
      <c r="H112" s="28">
        <v>352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3206</v>
      </c>
      <c r="T112" s="8">
        <v>108</v>
      </c>
      <c r="U112" s="13"/>
      <c r="W112" s="25">
        <f>D112</f>
        <v>108.3</v>
      </c>
      <c r="X112" s="106">
        <f>E112</f>
        <v>33</v>
      </c>
      <c r="Y112" s="32">
        <f>H112</f>
        <v>352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용현대우</v>
      </c>
      <c r="AI112" s="106">
        <f>IF(E112="","",E112)</f>
        <v>33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3226</v>
      </c>
      <c r="B113" s="16" t="s">
        <v>3227</v>
      </c>
      <c r="C113" s="28">
        <v>616</v>
      </c>
      <c r="D113" s="25">
        <v>110.9</v>
      </c>
      <c r="E113" s="106">
        <v>34</v>
      </c>
      <c r="F113" s="25">
        <v>85</v>
      </c>
      <c r="G113" s="27">
        <v>26</v>
      </c>
      <c r="H113" s="28">
        <v>132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3206</v>
      </c>
      <c r="T113" s="8">
        <v>110</v>
      </c>
      <c r="U113" s="13"/>
      <c r="W113" s="25">
        <f>D113</f>
        <v>110.9</v>
      </c>
      <c r="X113" s="106">
        <f>E113</f>
        <v>34</v>
      </c>
      <c r="Y113" s="32">
        <f>H113</f>
        <v>132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용현대우</v>
      </c>
      <c r="AI113" s="106">
        <f>IF(E113="","",E113)</f>
        <v>34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9"/>
      <c r="B114" s="113"/>
      <c r="C114" s="10"/>
      <c r="D114" s="13"/>
      <c r="E114" s="20"/>
      <c r="F114" s="26"/>
      <c r="G114" s="13"/>
      <c r="H114" s="13"/>
      <c r="I114" s="13"/>
      <c r="J114" s="13"/>
      <c r="K114" s="13"/>
      <c r="L114" s="13"/>
      <c r="M114" s="13"/>
      <c r="N114" s="13"/>
      <c r="O114" s="29"/>
      <c r="P114" s="29"/>
      <c r="Q114" s="23"/>
      <c r="R114" s="23"/>
      <c r="S114" s="13"/>
      <c r="T114" s="70"/>
      <c r="U114" s="13"/>
      <c r="W114" s="107" t="str">
        <f>$A$4&amp;" "&amp;A115&amp;"("&amp;B115&amp;","&amp;C115&amp;"^)"</f>
        <v>용현동 우성('96.08.,408^)</v>
      </c>
      <c r="X114" s="108"/>
      <c r="Y114" s="108"/>
      <c r="Z114" s="108"/>
      <c r="AA114" s="108"/>
      <c r="AB114" s="108"/>
      <c r="AC114" s="108"/>
      <c r="AD114" s="108"/>
      <c r="AE114" s="108"/>
      <c r="AF114" s="109"/>
      <c r="AH114" s="36" t="str">
        <f>IF(A114="","",A114)</f>
        <v/>
      </c>
      <c r="AI114" s="37" t="str">
        <f>IF(E114="","",E114)</f>
        <v/>
      </c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</row>
    <row r="115" spans="1:48" x14ac:dyDescent="0.3">
      <c r="A115" s="5" t="s">
        <v>3228</v>
      </c>
      <c r="B115" s="16" t="s">
        <v>3229</v>
      </c>
      <c r="C115" s="28">
        <v>408</v>
      </c>
      <c r="D115" s="25">
        <v>82.3</v>
      </c>
      <c r="E115" s="106">
        <v>25</v>
      </c>
      <c r="F115" s="25">
        <v>59.5</v>
      </c>
      <c r="G115" s="27">
        <v>18</v>
      </c>
      <c r="H115" s="28">
        <v>187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1</v>
      </c>
      <c r="S115" s="113" t="s">
        <v>3230</v>
      </c>
      <c r="T115" s="8">
        <v>82</v>
      </c>
      <c r="U115" s="13"/>
      <c r="W115" s="25">
        <f>D115</f>
        <v>82.3</v>
      </c>
      <c r="X115" s="106">
        <f>E115</f>
        <v>25</v>
      </c>
      <c r="Y115" s="32">
        <f>H115</f>
        <v>187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복</v>
      </c>
      <c r="AF115" s="15" t="str">
        <f>Q115&amp;"/"&amp;R115</f>
        <v>3/1</v>
      </c>
      <c r="AH115" s="36" t="str">
        <f>IF(A115="","",A115)</f>
        <v>우성</v>
      </c>
      <c r="AI115" s="106">
        <f>IF(E115="","",E115)</f>
        <v>25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3231</v>
      </c>
      <c r="B116" s="16" t="s">
        <v>3229</v>
      </c>
      <c r="C116" s="28">
        <v>408</v>
      </c>
      <c r="D116" s="25">
        <v>110.3</v>
      </c>
      <c r="E116" s="106">
        <v>33</v>
      </c>
      <c r="F116" s="25">
        <v>84.8</v>
      </c>
      <c r="G116" s="27">
        <v>26</v>
      </c>
      <c r="H116" s="28">
        <v>221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>
        <v>110</v>
      </c>
      <c r="U116" s="13"/>
      <c r="W116" s="25">
        <f>D116</f>
        <v>110.3</v>
      </c>
      <c r="X116" s="106">
        <f>E116</f>
        <v>33</v>
      </c>
      <c r="Y116" s="32">
        <f>H116</f>
        <v>221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우성</v>
      </c>
      <c r="AI116" s="106">
        <f>IF(E116="","",E116)</f>
        <v>33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9"/>
      <c r="B117" s="113"/>
      <c r="C117" s="10"/>
      <c r="D117" s="13"/>
      <c r="E117" s="20"/>
      <c r="F117" s="26"/>
      <c r="G117" s="13"/>
      <c r="H117" s="13"/>
      <c r="I117" s="13"/>
      <c r="J117" s="13"/>
      <c r="K117" s="13"/>
      <c r="L117" s="13"/>
      <c r="M117" s="13"/>
      <c r="N117" s="13"/>
      <c r="O117" s="29"/>
      <c r="P117" s="29"/>
      <c r="Q117" s="23"/>
      <c r="R117" s="23"/>
      <c r="S117" s="13"/>
      <c r="T117" s="70"/>
      <c r="U117" s="13"/>
      <c r="W117" s="107" t="str">
        <f>$A$4&amp;" "&amp;A118&amp;"("&amp;B118&amp;","&amp;C118&amp;"^)"</f>
        <v>용현동 신창미션힐('04.04.,821^)</v>
      </c>
      <c r="X117" s="108"/>
      <c r="Y117" s="108"/>
      <c r="Z117" s="108"/>
      <c r="AA117" s="108"/>
      <c r="AB117" s="108"/>
      <c r="AC117" s="108"/>
      <c r="AD117" s="108"/>
      <c r="AE117" s="108"/>
      <c r="AF117" s="109"/>
      <c r="AH117" s="36" t="str">
        <f>IF(A117="","",A117)</f>
        <v/>
      </c>
      <c r="AI117" s="37" t="str">
        <f>IF(E117="","",E117)</f>
        <v/>
      </c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</row>
    <row r="118" spans="1:48" x14ac:dyDescent="0.3">
      <c r="A118" s="5" t="s">
        <v>3232</v>
      </c>
      <c r="B118" s="16" t="s">
        <v>3233</v>
      </c>
      <c r="C118" s="28">
        <v>821</v>
      </c>
      <c r="D118" s="25">
        <v>83.1</v>
      </c>
      <c r="E118" s="106">
        <v>25</v>
      </c>
      <c r="F118" s="25">
        <v>59.9</v>
      </c>
      <c r="G118" s="27">
        <v>18</v>
      </c>
      <c r="H118" s="28">
        <v>433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3206</v>
      </c>
      <c r="T118" s="8">
        <v>83</v>
      </c>
      <c r="U118" s="13"/>
      <c r="W118" s="25">
        <f>D118</f>
        <v>83.1</v>
      </c>
      <c r="X118" s="106">
        <f>E118</f>
        <v>25</v>
      </c>
      <c r="Y118" s="32">
        <f>H118</f>
        <v>433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신창미션힐</v>
      </c>
      <c r="AI118" s="106">
        <f>IF(E118="","",E118)</f>
        <v>25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3234</v>
      </c>
      <c r="B119" s="16" t="s">
        <v>3233</v>
      </c>
      <c r="C119" s="28">
        <v>821</v>
      </c>
      <c r="D119" s="25">
        <v>106.4</v>
      </c>
      <c r="E119" s="106">
        <v>32</v>
      </c>
      <c r="F119" s="25">
        <v>84.6</v>
      </c>
      <c r="G119" s="27">
        <v>26</v>
      </c>
      <c r="H119" s="28">
        <v>388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3206</v>
      </c>
      <c r="T119" s="8">
        <v>106</v>
      </c>
      <c r="U119" s="13"/>
      <c r="W119" s="25">
        <f>D119</f>
        <v>106.4</v>
      </c>
      <c r="X119" s="106">
        <f>E119</f>
        <v>32</v>
      </c>
      <c r="Y119" s="32">
        <f>H119</f>
        <v>388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신창미션힐</v>
      </c>
      <c r="AI119" s="106">
        <f>IF(E119="","",E119)</f>
        <v>32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9"/>
      <c r="B120" s="113"/>
      <c r="C120" s="10"/>
      <c r="D120" s="13"/>
      <c r="E120" s="20"/>
      <c r="F120" s="26"/>
      <c r="G120" s="13"/>
      <c r="H120" s="13"/>
      <c r="I120" s="13"/>
      <c r="J120" s="13"/>
      <c r="K120" s="13"/>
      <c r="L120" s="13"/>
      <c r="M120" s="13"/>
      <c r="N120" s="13"/>
      <c r="O120" s="29"/>
      <c r="P120" s="29"/>
      <c r="Q120" s="23"/>
      <c r="R120" s="23"/>
      <c r="S120" s="13"/>
      <c r="T120" s="70"/>
      <c r="U120" s="13"/>
      <c r="W120" s="107" t="str">
        <f>$A$4&amp;" "&amp;A121&amp;"("&amp;B121&amp;","&amp;C121&amp;"^)"</f>
        <v>용현동 서해('94.03.,299^)</v>
      </c>
      <c r="X120" s="108"/>
      <c r="Y120" s="108"/>
      <c r="Z120" s="108"/>
      <c r="AA120" s="108"/>
      <c r="AB120" s="108"/>
      <c r="AC120" s="108"/>
      <c r="AD120" s="108"/>
      <c r="AE120" s="108"/>
      <c r="AF120" s="109"/>
      <c r="AH120" s="36" t="str">
        <f>IF(A120="","",A120)</f>
        <v/>
      </c>
      <c r="AI120" s="37" t="str">
        <f>IF(E120="","",E120)</f>
        <v/>
      </c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</row>
    <row r="121" spans="1:48" x14ac:dyDescent="0.3">
      <c r="A121" s="5" t="s">
        <v>3235</v>
      </c>
      <c r="B121" s="16" t="s">
        <v>3236</v>
      </c>
      <c r="C121" s="28">
        <v>299</v>
      </c>
      <c r="D121" s="25">
        <v>81.099999999999994</v>
      </c>
      <c r="E121" s="106">
        <v>25</v>
      </c>
      <c r="F121" s="25">
        <v>60</v>
      </c>
      <c r="G121" s="27">
        <v>18</v>
      </c>
      <c r="H121" s="28">
        <v>120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1</v>
      </c>
      <c r="S121" s="113" t="s">
        <v>3230</v>
      </c>
      <c r="T121" s="8">
        <v>81</v>
      </c>
      <c r="U121" s="13"/>
      <c r="W121" s="25">
        <f>D121</f>
        <v>81.099999999999994</v>
      </c>
      <c r="X121" s="106">
        <f>E121</f>
        <v>25</v>
      </c>
      <c r="Y121" s="32">
        <f>H121</f>
        <v>120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복</v>
      </c>
      <c r="AF121" s="15" t="str">
        <f>Q121&amp;"/"&amp;R121</f>
        <v>3/1</v>
      </c>
      <c r="AH121" s="36" t="str">
        <f>IF(A121="","",A121)</f>
        <v>서해</v>
      </c>
      <c r="AI121" s="106">
        <f>IF(E121="","",E121)</f>
        <v>25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X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3235</v>
      </c>
      <c r="B122" s="16" t="s">
        <v>3236</v>
      </c>
      <c r="C122" s="28">
        <v>299</v>
      </c>
      <c r="D122" s="25">
        <v>104.7</v>
      </c>
      <c r="E122" s="106">
        <v>32</v>
      </c>
      <c r="F122" s="25">
        <v>84.9</v>
      </c>
      <c r="G122" s="27">
        <v>26</v>
      </c>
      <c r="H122" s="28">
        <v>96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3" t="s">
        <v>64</v>
      </c>
      <c r="T122" s="8" t="s">
        <v>1495</v>
      </c>
      <c r="U122" s="13"/>
      <c r="W122" s="25">
        <f>D122</f>
        <v>104.7</v>
      </c>
      <c r="X122" s="106">
        <f>E122</f>
        <v>32</v>
      </c>
      <c r="Y122" s="32">
        <f>H122</f>
        <v>96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3/2</v>
      </c>
      <c r="AH122" s="36" t="str">
        <f>IF(A122="","",A122)</f>
        <v>서해</v>
      </c>
      <c r="AI122" s="106">
        <f>IF(E122="","",E122)</f>
        <v>32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X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3237</v>
      </c>
      <c r="B123" s="16" t="s">
        <v>3238</v>
      </c>
      <c r="C123" s="28">
        <v>299</v>
      </c>
      <c r="D123" s="25">
        <v>105.5</v>
      </c>
      <c r="E123" s="106">
        <v>32</v>
      </c>
      <c r="F123" s="25">
        <v>85</v>
      </c>
      <c r="G123" s="27">
        <v>26</v>
      </c>
      <c r="H123" s="28">
        <v>14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3" t="s">
        <v>64</v>
      </c>
      <c r="T123" s="8" t="s">
        <v>1798</v>
      </c>
      <c r="U123" s="13"/>
      <c r="W123" s="25">
        <f>D123</f>
        <v>105.5</v>
      </c>
      <c r="X123" s="106">
        <f>E123</f>
        <v>32</v>
      </c>
      <c r="Y123" s="32">
        <f>H123</f>
        <v>14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3/2</v>
      </c>
      <c r="AH123" s="36" t="str">
        <f>IF(A123="","",A123)</f>
        <v>서해</v>
      </c>
      <c r="AI123" s="106">
        <f>IF(E123="","",E123)</f>
        <v>32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X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3235</v>
      </c>
      <c r="B124" s="16" t="s">
        <v>3236</v>
      </c>
      <c r="C124" s="28">
        <v>299</v>
      </c>
      <c r="D124" s="25">
        <v>105.6</v>
      </c>
      <c r="E124" s="106">
        <v>32</v>
      </c>
      <c r="F124" s="25">
        <v>85</v>
      </c>
      <c r="G124" s="27">
        <v>26</v>
      </c>
      <c r="H124" s="28">
        <v>13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64</v>
      </c>
      <c r="T124" s="8" t="s">
        <v>1799</v>
      </c>
      <c r="U124" s="13"/>
      <c r="W124" s="25">
        <f>D124</f>
        <v>105.6</v>
      </c>
      <c r="X124" s="106">
        <f>E124</f>
        <v>32</v>
      </c>
      <c r="Y124" s="32">
        <f>H124</f>
        <v>13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서해</v>
      </c>
      <c r="AI124" s="106">
        <f>IF(E124="","",E124)</f>
        <v>32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X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3235</v>
      </c>
      <c r="B125" s="16" t="s">
        <v>3236</v>
      </c>
      <c r="C125" s="28">
        <v>299</v>
      </c>
      <c r="D125" s="25">
        <v>106</v>
      </c>
      <c r="E125" s="106">
        <v>32</v>
      </c>
      <c r="F125" s="25">
        <v>84.9</v>
      </c>
      <c r="G125" s="27">
        <v>26</v>
      </c>
      <c r="H125" s="28">
        <v>56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64</v>
      </c>
      <c r="T125" s="8" t="s">
        <v>552</v>
      </c>
      <c r="U125" s="13"/>
      <c r="W125" s="25">
        <f>D125</f>
        <v>106</v>
      </c>
      <c r="X125" s="106">
        <f>E125</f>
        <v>32</v>
      </c>
      <c r="Y125" s="32">
        <f>H125</f>
        <v>56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서해</v>
      </c>
      <c r="AI125" s="106">
        <f>IF(E125="","",E125)</f>
        <v>32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X</v>
      </c>
      <c r="AV125" s="113" t="str">
        <f>IF(AO125="","",IF(AND(AO125="O",AP125="O",AR125="O",AT125="O",AU125="O"),"후보","X"))</f>
        <v/>
      </c>
    </row>
  </sheetData>
  <mergeCells count="1">
    <mergeCell ref="AJ1:AN1"/>
  </mergeCells>
  <phoneticPr fontId="2" type="noConversion"/>
  <conditionalFormatting sqref="AV4:AV6">
    <cfRule type="expression" dxfId="6061" priority="1987">
      <formula>AV4="X"</formula>
    </cfRule>
    <cfRule type="expression" dxfId="6060" priority="1988">
      <formula>AV4="후보"</formula>
    </cfRule>
  </conditionalFormatting>
  <conditionalFormatting sqref="Z2:Z6">
    <cfRule type="colorScale" priority="19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6059" priority="1984" operator="greaterThan">
      <formula>0.9</formula>
    </cfRule>
    <cfRule type="cellIs" dxfId="6058" priority="1985" operator="greaterThan">
      <formula>0.85</formula>
    </cfRule>
  </conditionalFormatting>
  <conditionalFormatting sqref="N1:N2">
    <cfRule type="cellIs" dxfId="6057" priority="1982" operator="greaterThan">
      <formula>0.9</formula>
    </cfRule>
    <cfRule type="cellIs" dxfId="6056" priority="1983" operator="greaterThan">
      <formula>0.85</formula>
    </cfRule>
  </conditionalFormatting>
  <conditionalFormatting sqref="N6">
    <cfRule type="cellIs" dxfId="6055" priority="1980" operator="greaterThan">
      <formula>0.9</formula>
    </cfRule>
    <cfRule type="cellIs" dxfId="6054" priority="1981" operator="greaterThan">
      <formula>0.85</formula>
    </cfRule>
  </conditionalFormatting>
  <conditionalFormatting sqref="E6">
    <cfRule type="expression" dxfId="6053" priority="1976">
      <formula>AND(IF(OR($Q6=1,$Q6=2),1,0),IF($X6&lt;=20,1,0))</formula>
    </cfRule>
    <cfRule type="expression" dxfId="6052" priority="1977">
      <formula>AND(IF($Q6=2,1,0),IF($X6&lt;30,1,0))</formula>
    </cfRule>
    <cfRule type="expression" dxfId="6051" priority="1978">
      <formula>AND(IF($Q6=3,1,0),IF($X6&lt;30,1,0))</formula>
    </cfRule>
    <cfRule type="expression" dxfId="6050" priority="1979">
      <formula>AND(IF($Q6=3,1,IF($Q6=4,1,0)),IF($F6&lt;=85,1,0))</formula>
    </cfRule>
  </conditionalFormatting>
  <conditionalFormatting sqref="X6">
    <cfRule type="expression" dxfId="6049" priority="1972">
      <formula>AND(IF(OR($Q6=1,$Q6=2),1,0),IF($X6&lt;=20,1,0))</formula>
    </cfRule>
    <cfRule type="expression" dxfId="6048" priority="1973">
      <formula>AND(IF($Q6=2,1,0),IF($X6&lt;30,1,0))</formula>
    </cfRule>
    <cfRule type="expression" dxfId="6047" priority="1974">
      <formula>AND(IF($Q6=3,1,0),IF($X6&lt;30,1,0))</formula>
    </cfRule>
    <cfRule type="expression" dxfId="6046" priority="1975">
      <formula>AND(IF($Q6=3,1,IF($Q6=4,1,0)),IF($F6&lt;=85,1,0))</formula>
    </cfRule>
  </conditionalFormatting>
  <conditionalFormatting sqref="AI6">
    <cfRule type="expression" dxfId="6045" priority="1968">
      <formula>AND(IF(OR($Q6=1,$Q6=2),1,0),IF($X6&lt;=20,1,0))</formula>
    </cfRule>
    <cfRule type="expression" dxfId="6044" priority="1969">
      <formula>AND(IF($Q6=2,1,0),IF($X6&lt;30,1,0))</formula>
    </cfRule>
    <cfRule type="expression" dxfId="6043" priority="1970">
      <formula>AND(IF($Q6=3,1,0),IF($X6&lt;30,1,0))</formula>
    </cfRule>
    <cfRule type="expression" dxfId="6042" priority="1971">
      <formula>AND(IF($Q6=3,1,IF($Q6=4,1,0)),IF($F6&lt;=85,1,0))</formula>
    </cfRule>
  </conditionalFormatting>
  <conditionalFormatting sqref="AV7">
    <cfRule type="expression" dxfId="6041" priority="1966">
      <formula>AV7="X"</formula>
    </cfRule>
    <cfRule type="expression" dxfId="6040" priority="1967">
      <formula>AV7="후보"</formula>
    </cfRule>
  </conditionalFormatting>
  <conditionalFormatting sqref="Z7">
    <cfRule type="colorScale" priority="1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6039" priority="1963" operator="greaterThan">
      <formula>0.9</formula>
    </cfRule>
    <cfRule type="cellIs" dxfId="6038" priority="1964" operator="greaterThan">
      <formula>0.85</formula>
    </cfRule>
  </conditionalFormatting>
  <conditionalFormatting sqref="N7">
    <cfRule type="cellIs" dxfId="6037" priority="1961" operator="greaterThan">
      <formula>0.9</formula>
    </cfRule>
    <cfRule type="cellIs" dxfId="6036" priority="1962" operator="greaterThan">
      <formula>0.85</formula>
    </cfRule>
  </conditionalFormatting>
  <conditionalFormatting sqref="E7">
    <cfRule type="expression" dxfId="6035" priority="1957">
      <formula>AND(IF(OR($Q7=1,$Q7=2),1,0),IF($X7&lt;=20,1,0))</formula>
    </cfRule>
    <cfRule type="expression" dxfId="6034" priority="1958">
      <formula>AND(IF($Q7=2,1,0),IF($X7&lt;30,1,0))</formula>
    </cfRule>
    <cfRule type="expression" dxfId="6033" priority="1959">
      <formula>AND(IF($Q7=3,1,0),IF($X7&lt;30,1,0))</formula>
    </cfRule>
    <cfRule type="expression" dxfId="6032" priority="1960">
      <formula>AND(IF($Q7=3,1,IF($Q7=4,1,0)),IF($F7&lt;=85,1,0))</formula>
    </cfRule>
  </conditionalFormatting>
  <conditionalFormatting sqref="X7">
    <cfRule type="expression" dxfId="6031" priority="1953">
      <formula>AND(IF(OR($Q7=1,$Q7=2),1,0),IF($X7&lt;=20,1,0))</formula>
    </cfRule>
    <cfRule type="expression" dxfId="6030" priority="1954">
      <formula>AND(IF($Q7=2,1,0),IF($X7&lt;30,1,0))</formula>
    </cfRule>
    <cfRule type="expression" dxfId="6029" priority="1955">
      <formula>AND(IF($Q7=3,1,0),IF($X7&lt;30,1,0))</formula>
    </cfRule>
    <cfRule type="expression" dxfId="6028" priority="1956">
      <formula>AND(IF($Q7=3,1,IF($Q7=4,1,0)),IF($F7&lt;=85,1,0))</formula>
    </cfRule>
  </conditionalFormatting>
  <conditionalFormatting sqref="AI7">
    <cfRule type="expression" dxfId="6027" priority="1949">
      <formula>AND(IF(OR($Q7=1,$Q7=2),1,0),IF($X7&lt;=20,1,0))</formula>
    </cfRule>
    <cfRule type="expression" dxfId="6026" priority="1950">
      <formula>AND(IF($Q7=2,1,0),IF($X7&lt;30,1,0))</formula>
    </cfRule>
    <cfRule type="expression" dxfId="6025" priority="1951">
      <formula>AND(IF($Q7=3,1,0),IF($X7&lt;30,1,0))</formula>
    </cfRule>
    <cfRule type="expression" dxfId="6024" priority="1952">
      <formula>AND(IF($Q7=3,1,IF($Q7=4,1,0)),IF($F7&lt;=85,1,0))</formula>
    </cfRule>
  </conditionalFormatting>
  <conditionalFormatting sqref="AV8">
    <cfRule type="expression" dxfId="6023" priority="1947">
      <formula>AV8="X"</formula>
    </cfRule>
    <cfRule type="expression" dxfId="6022" priority="1948">
      <formula>AV8="후보"</formula>
    </cfRule>
  </conditionalFormatting>
  <conditionalFormatting sqref="Z8">
    <cfRule type="colorScale" priority="1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6021" priority="1944" operator="greaterThan">
      <formula>0.9</formula>
    </cfRule>
    <cfRule type="cellIs" dxfId="6020" priority="1945" operator="greaterThan">
      <formula>0.85</formula>
    </cfRule>
  </conditionalFormatting>
  <conditionalFormatting sqref="N8">
    <cfRule type="cellIs" dxfId="6019" priority="1942" operator="greaterThan">
      <formula>0.9</formula>
    </cfRule>
    <cfRule type="cellIs" dxfId="6018" priority="1943" operator="greaterThan">
      <formula>0.85</formula>
    </cfRule>
  </conditionalFormatting>
  <conditionalFormatting sqref="E8">
    <cfRule type="expression" dxfId="6017" priority="1938">
      <formula>AND(IF(OR($Q8=1,$Q8=2),1,0),IF($X8&lt;=20,1,0))</formula>
    </cfRule>
    <cfRule type="expression" dxfId="6016" priority="1939">
      <formula>AND(IF($Q8=2,1,0),IF($X8&lt;30,1,0))</formula>
    </cfRule>
    <cfRule type="expression" dxfId="6015" priority="1940">
      <formula>AND(IF($Q8=3,1,0),IF($X8&lt;30,1,0))</formula>
    </cfRule>
    <cfRule type="expression" dxfId="6014" priority="1941">
      <formula>AND(IF($Q8=3,1,IF($Q8=4,1,0)),IF($F8&lt;=85,1,0))</formula>
    </cfRule>
  </conditionalFormatting>
  <conditionalFormatting sqref="X8">
    <cfRule type="expression" dxfId="6013" priority="1934">
      <formula>AND(IF(OR($Q8=1,$Q8=2),1,0),IF($X8&lt;=20,1,0))</formula>
    </cfRule>
    <cfRule type="expression" dxfId="6012" priority="1935">
      <formula>AND(IF($Q8=2,1,0),IF($X8&lt;30,1,0))</formula>
    </cfRule>
    <cfRule type="expression" dxfId="6011" priority="1936">
      <formula>AND(IF($Q8=3,1,0),IF($X8&lt;30,1,0))</formula>
    </cfRule>
    <cfRule type="expression" dxfId="6010" priority="1937">
      <formula>AND(IF($Q8=3,1,IF($Q8=4,1,0)),IF($F8&lt;=85,1,0))</formula>
    </cfRule>
  </conditionalFormatting>
  <conditionalFormatting sqref="AI8">
    <cfRule type="expression" dxfId="6009" priority="1930">
      <formula>AND(IF(OR($Q8=1,$Q8=2),1,0),IF($X8&lt;=20,1,0))</formula>
    </cfRule>
    <cfRule type="expression" dxfId="6008" priority="1931">
      <formula>AND(IF($Q8=2,1,0),IF($X8&lt;30,1,0))</formula>
    </cfRule>
    <cfRule type="expression" dxfId="6007" priority="1932">
      <formula>AND(IF($Q8=3,1,0),IF($X8&lt;30,1,0))</formula>
    </cfRule>
    <cfRule type="expression" dxfId="6006" priority="1933">
      <formula>AND(IF($Q8=3,1,IF($Q8=4,1,0)),IF($F8&lt;=85,1,0))</formula>
    </cfRule>
  </conditionalFormatting>
  <conditionalFormatting sqref="AV9">
    <cfRule type="expression" dxfId="6005" priority="1928">
      <formula>AV9="X"</formula>
    </cfRule>
    <cfRule type="expression" dxfId="6004" priority="1929">
      <formula>AV9="후보"</formula>
    </cfRule>
  </conditionalFormatting>
  <conditionalFormatting sqref="Z9">
    <cfRule type="colorScale" priority="1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6003" priority="1925" operator="greaterThan">
      <formula>0.9</formula>
    </cfRule>
    <cfRule type="cellIs" dxfId="6002" priority="1926" operator="greaterThan">
      <formula>0.85</formula>
    </cfRule>
  </conditionalFormatting>
  <conditionalFormatting sqref="AV10">
    <cfRule type="expression" dxfId="6001" priority="1923">
      <formula>AV10="X"</formula>
    </cfRule>
    <cfRule type="expression" dxfId="6000" priority="1924">
      <formula>AV10="후보"</formula>
    </cfRule>
  </conditionalFormatting>
  <conditionalFormatting sqref="Z10">
    <cfRule type="colorScale" priority="1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999" priority="1920" operator="greaterThan">
      <formula>0.9</formula>
    </cfRule>
    <cfRule type="cellIs" dxfId="5998" priority="1921" operator="greaterThan">
      <formula>0.85</formula>
    </cfRule>
  </conditionalFormatting>
  <conditionalFormatting sqref="N10">
    <cfRule type="cellIs" dxfId="5997" priority="1918" operator="greaterThan">
      <formula>0.9</formula>
    </cfRule>
    <cfRule type="cellIs" dxfId="5996" priority="1919" operator="greaterThan">
      <formula>0.85</formula>
    </cfRule>
  </conditionalFormatting>
  <conditionalFormatting sqref="E10">
    <cfRule type="expression" dxfId="5995" priority="1914">
      <formula>AND(IF(OR($Q10=1,$Q10=2),1,0),IF($X10&lt;=20,1,0))</formula>
    </cfRule>
    <cfRule type="expression" dxfId="5994" priority="1915">
      <formula>AND(IF($Q10=2,1,0),IF($X10&lt;30,1,0))</formula>
    </cfRule>
    <cfRule type="expression" dxfId="5993" priority="1916">
      <formula>AND(IF($Q10=3,1,0),IF($X10&lt;30,1,0))</formula>
    </cfRule>
    <cfRule type="expression" dxfId="5992" priority="1917">
      <formula>AND(IF($Q10=3,1,IF($Q10=4,1,0)),IF($F10&lt;=85,1,0))</formula>
    </cfRule>
  </conditionalFormatting>
  <conditionalFormatting sqref="X10">
    <cfRule type="expression" dxfId="5991" priority="1910">
      <formula>AND(IF(OR($Q10=1,$Q10=2),1,0),IF($X10&lt;=20,1,0))</formula>
    </cfRule>
    <cfRule type="expression" dxfId="5990" priority="1911">
      <formula>AND(IF($Q10=2,1,0),IF($X10&lt;30,1,0))</formula>
    </cfRule>
    <cfRule type="expression" dxfId="5989" priority="1912">
      <formula>AND(IF($Q10=3,1,0),IF($X10&lt;30,1,0))</formula>
    </cfRule>
    <cfRule type="expression" dxfId="5988" priority="1913">
      <formula>AND(IF($Q10=3,1,IF($Q10=4,1,0)),IF($F10&lt;=85,1,0))</formula>
    </cfRule>
  </conditionalFormatting>
  <conditionalFormatting sqref="AI10">
    <cfRule type="expression" dxfId="5987" priority="1906">
      <formula>AND(IF(OR($Q10=1,$Q10=2),1,0),IF($X10&lt;=20,1,0))</formula>
    </cfRule>
    <cfRule type="expression" dxfId="5986" priority="1907">
      <formula>AND(IF($Q10=2,1,0),IF($X10&lt;30,1,0))</formula>
    </cfRule>
    <cfRule type="expression" dxfId="5985" priority="1908">
      <formula>AND(IF($Q10=3,1,0),IF($X10&lt;30,1,0))</formula>
    </cfRule>
    <cfRule type="expression" dxfId="5984" priority="1909">
      <formula>AND(IF($Q10=3,1,IF($Q10=4,1,0)),IF($F10&lt;=85,1,0))</formula>
    </cfRule>
  </conditionalFormatting>
  <conditionalFormatting sqref="AV11">
    <cfRule type="expression" dxfId="5983" priority="1904">
      <formula>AV11="X"</formula>
    </cfRule>
    <cfRule type="expression" dxfId="5982" priority="1905">
      <formula>AV11="후보"</formula>
    </cfRule>
  </conditionalFormatting>
  <conditionalFormatting sqref="Z11">
    <cfRule type="colorScale" priority="1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981" priority="1901" operator="greaterThan">
      <formula>0.9</formula>
    </cfRule>
    <cfRule type="cellIs" dxfId="5980" priority="1902" operator="greaterThan">
      <formula>0.85</formula>
    </cfRule>
  </conditionalFormatting>
  <conditionalFormatting sqref="N11">
    <cfRule type="cellIs" dxfId="5979" priority="1899" operator="greaterThan">
      <formula>0.9</formula>
    </cfRule>
    <cfRule type="cellIs" dxfId="5978" priority="1900" operator="greaterThan">
      <formula>0.85</formula>
    </cfRule>
  </conditionalFormatting>
  <conditionalFormatting sqref="E11">
    <cfRule type="expression" dxfId="5977" priority="1895">
      <formula>AND(IF(OR($Q11=1,$Q11=2),1,0),IF($X11&lt;=20,1,0))</formula>
    </cfRule>
    <cfRule type="expression" dxfId="5976" priority="1896">
      <formula>AND(IF($Q11=2,1,0),IF($X11&lt;30,1,0))</formula>
    </cfRule>
    <cfRule type="expression" dxfId="5975" priority="1897">
      <formula>AND(IF($Q11=3,1,0),IF($X11&lt;30,1,0))</formula>
    </cfRule>
    <cfRule type="expression" dxfId="5974" priority="1898">
      <formula>AND(IF($Q11=3,1,IF($Q11=4,1,0)),IF($F11&lt;=85,1,0))</formula>
    </cfRule>
  </conditionalFormatting>
  <conditionalFormatting sqref="X11">
    <cfRule type="expression" dxfId="5973" priority="1891">
      <formula>AND(IF(OR($Q11=1,$Q11=2),1,0),IF($X11&lt;=20,1,0))</formula>
    </cfRule>
    <cfRule type="expression" dxfId="5972" priority="1892">
      <formula>AND(IF($Q11=2,1,0),IF($X11&lt;30,1,0))</formula>
    </cfRule>
    <cfRule type="expression" dxfId="5971" priority="1893">
      <formula>AND(IF($Q11=3,1,0),IF($X11&lt;30,1,0))</formula>
    </cfRule>
    <cfRule type="expression" dxfId="5970" priority="1894">
      <formula>AND(IF($Q11=3,1,IF($Q11=4,1,0)),IF($F11&lt;=85,1,0))</formula>
    </cfRule>
  </conditionalFormatting>
  <conditionalFormatting sqref="AI11">
    <cfRule type="expression" dxfId="5969" priority="1887">
      <formula>AND(IF(OR($Q11=1,$Q11=2),1,0),IF($X11&lt;=20,1,0))</formula>
    </cfRule>
    <cfRule type="expression" dxfId="5968" priority="1888">
      <formula>AND(IF($Q11=2,1,0),IF($X11&lt;30,1,0))</formula>
    </cfRule>
    <cfRule type="expression" dxfId="5967" priority="1889">
      <formula>AND(IF($Q11=3,1,0),IF($X11&lt;30,1,0))</formula>
    </cfRule>
    <cfRule type="expression" dxfId="5966" priority="1890">
      <formula>AND(IF($Q11=3,1,IF($Q11=4,1,0)),IF($F11&lt;=85,1,0))</formula>
    </cfRule>
  </conditionalFormatting>
  <conditionalFormatting sqref="AV12">
    <cfRule type="expression" dxfId="5965" priority="1885">
      <formula>AV12="X"</formula>
    </cfRule>
    <cfRule type="expression" dxfId="5964" priority="1886">
      <formula>AV12="후보"</formula>
    </cfRule>
  </conditionalFormatting>
  <conditionalFormatting sqref="Z12">
    <cfRule type="colorScale" priority="1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5963" priority="1882" operator="greaterThan">
      <formula>0.9</formula>
    </cfRule>
    <cfRule type="cellIs" dxfId="5962" priority="1883" operator="greaterThan">
      <formula>0.85</formula>
    </cfRule>
  </conditionalFormatting>
  <conditionalFormatting sqref="N12">
    <cfRule type="cellIs" dxfId="5961" priority="1880" operator="greaterThan">
      <formula>0.9</formula>
    </cfRule>
    <cfRule type="cellIs" dxfId="5960" priority="1881" operator="greaterThan">
      <formula>0.85</formula>
    </cfRule>
  </conditionalFormatting>
  <conditionalFormatting sqref="E12">
    <cfRule type="expression" dxfId="5959" priority="1876">
      <formula>AND(IF(OR($Q12=1,$Q12=2),1,0),IF($X12&lt;=20,1,0))</formula>
    </cfRule>
    <cfRule type="expression" dxfId="5958" priority="1877">
      <formula>AND(IF($Q12=2,1,0),IF($X12&lt;30,1,0))</formula>
    </cfRule>
    <cfRule type="expression" dxfId="5957" priority="1878">
      <formula>AND(IF($Q12=3,1,0),IF($X12&lt;30,1,0))</formula>
    </cfRule>
    <cfRule type="expression" dxfId="5956" priority="1879">
      <formula>AND(IF($Q12=3,1,IF($Q12=4,1,0)),IF($F12&lt;=85,1,0))</formula>
    </cfRule>
  </conditionalFormatting>
  <conditionalFormatting sqref="X12">
    <cfRule type="expression" dxfId="5955" priority="1872">
      <formula>AND(IF(OR($Q12=1,$Q12=2),1,0),IF($X12&lt;=20,1,0))</formula>
    </cfRule>
    <cfRule type="expression" dxfId="5954" priority="1873">
      <formula>AND(IF($Q12=2,1,0),IF($X12&lt;30,1,0))</formula>
    </cfRule>
    <cfRule type="expression" dxfId="5953" priority="1874">
      <formula>AND(IF($Q12=3,1,0),IF($X12&lt;30,1,0))</formula>
    </cfRule>
    <cfRule type="expression" dxfId="5952" priority="1875">
      <formula>AND(IF($Q12=3,1,IF($Q12=4,1,0)),IF($F12&lt;=85,1,0))</formula>
    </cfRule>
  </conditionalFormatting>
  <conditionalFormatting sqref="AI12">
    <cfRule type="expression" dxfId="5951" priority="1868">
      <formula>AND(IF(OR($Q12=1,$Q12=2),1,0),IF($X12&lt;=20,1,0))</formula>
    </cfRule>
    <cfRule type="expression" dxfId="5950" priority="1869">
      <formula>AND(IF($Q12=2,1,0),IF($X12&lt;30,1,0))</formula>
    </cfRule>
    <cfRule type="expression" dxfId="5949" priority="1870">
      <formula>AND(IF($Q12=3,1,0),IF($X12&lt;30,1,0))</formula>
    </cfRule>
    <cfRule type="expression" dxfId="5948" priority="1871">
      <formula>AND(IF($Q12=3,1,IF($Q12=4,1,0)),IF($F12&lt;=85,1,0))</formula>
    </cfRule>
  </conditionalFormatting>
  <conditionalFormatting sqref="AV13">
    <cfRule type="expression" dxfId="5947" priority="1866">
      <formula>AV13="X"</formula>
    </cfRule>
    <cfRule type="expression" dxfId="5946" priority="1867">
      <formula>AV13="후보"</formula>
    </cfRule>
  </conditionalFormatting>
  <conditionalFormatting sqref="Z13">
    <cfRule type="colorScale" priority="1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5945" priority="1863" operator="greaterThan">
      <formula>0.9</formula>
    </cfRule>
    <cfRule type="cellIs" dxfId="5944" priority="1864" operator="greaterThan">
      <formula>0.85</formula>
    </cfRule>
  </conditionalFormatting>
  <conditionalFormatting sqref="N13">
    <cfRule type="cellIs" dxfId="5943" priority="1861" operator="greaterThan">
      <formula>0.9</formula>
    </cfRule>
    <cfRule type="cellIs" dxfId="5942" priority="1862" operator="greaterThan">
      <formula>0.85</formula>
    </cfRule>
  </conditionalFormatting>
  <conditionalFormatting sqref="E13">
    <cfRule type="expression" dxfId="5941" priority="1857">
      <formula>AND(IF(OR($Q13=1,$Q13=2),1,0),IF($X13&lt;=20,1,0))</formula>
    </cfRule>
    <cfRule type="expression" dxfId="5940" priority="1858">
      <formula>AND(IF($Q13=2,1,0),IF($X13&lt;30,1,0))</formula>
    </cfRule>
    <cfRule type="expression" dxfId="5939" priority="1859">
      <formula>AND(IF($Q13=3,1,0),IF($X13&lt;30,1,0))</formula>
    </cfRule>
    <cfRule type="expression" dxfId="5938" priority="1860">
      <formula>AND(IF($Q13=3,1,IF($Q13=4,1,0)),IF($F13&lt;=85,1,0))</formula>
    </cfRule>
  </conditionalFormatting>
  <conditionalFormatting sqref="X13">
    <cfRule type="expression" dxfId="5937" priority="1853">
      <formula>AND(IF(OR($Q13=1,$Q13=2),1,0),IF($X13&lt;=20,1,0))</formula>
    </cfRule>
    <cfRule type="expression" dxfId="5936" priority="1854">
      <formula>AND(IF($Q13=2,1,0),IF($X13&lt;30,1,0))</formula>
    </cfRule>
    <cfRule type="expression" dxfId="5935" priority="1855">
      <formula>AND(IF($Q13=3,1,0),IF($X13&lt;30,1,0))</formula>
    </cfRule>
    <cfRule type="expression" dxfId="5934" priority="1856">
      <formula>AND(IF($Q13=3,1,IF($Q13=4,1,0)),IF($F13&lt;=85,1,0))</formula>
    </cfRule>
  </conditionalFormatting>
  <conditionalFormatting sqref="AI13">
    <cfRule type="expression" dxfId="5933" priority="1849">
      <formula>AND(IF(OR($Q13=1,$Q13=2),1,0),IF($X13&lt;=20,1,0))</formula>
    </cfRule>
    <cfRule type="expression" dxfId="5932" priority="1850">
      <formula>AND(IF($Q13=2,1,0),IF($X13&lt;30,1,0))</formula>
    </cfRule>
    <cfRule type="expression" dxfId="5931" priority="1851">
      <formula>AND(IF($Q13=3,1,0),IF($X13&lt;30,1,0))</formula>
    </cfRule>
    <cfRule type="expression" dxfId="5930" priority="1852">
      <formula>AND(IF($Q13=3,1,IF($Q13=4,1,0)),IF($F13&lt;=85,1,0))</formula>
    </cfRule>
  </conditionalFormatting>
  <conditionalFormatting sqref="AV14">
    <cfRule type="expression" dxfId="5929" priority="1847">
      <formula>AV14="X"</formula>
    </cfRule>
    <cfRule type="expression" dxfId="5928" priority="1848">
      <formula>AV14="후보"</formula>
    </cfRule>
  </conditionalFormatting>
  <conditionalFormatting sqref="Z14">
    <cfRule type="colorScale" priority="1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5927" priority="1844" operator="greaterThan">
      <formula>0.9</formula>
    </cfRule>
    <cfRule type="cellIs" dxfId="5926" priority="1845" operator="greaterThan">
      <formula>0.85</formula>
    </cfRule>
  </conditionalFormatting>
  <conditionalFormatting sqref="N14">
    <cfRule type="cellIs" dxfId="5925" priority="1842" operator="greaterThan">
      <formula>0.9</formula>
    </cfRule>
    <cfRule type="cellIs" dxfId="5924" priority="1843" operator="greaterThan">
      <formula>0.85</formula>
    </cfRule>
  </conditionalFormatting>
  <conditionalFormatting sqref="E14">
    <cfRule type="expression" dxfId="5923" priority="1838">
      <formula>AND(IF(OR($Q14=1,$Q14=2),1,0),IF($X14&lt;=20,1,0))</formula>
    </cfRule>
    <cfRule type="expression" dxfId="5922" priority="1839">
      <formula>AND(IF($Q14=2,1,0),IF($X14&lt;30,1,0))</formula>
    </cfRule>
    <cfRule type="expression" dxfId="5921" priority="1840">
      <formula>AND(IF($Q14=3,1,0),IF($X14&lt;30,1,0))</formula>
    </cfRule>
    <cfRule type="expression" dxfId="5920" priority="1841">
      <formula>AND(IF($Q14=3,1,IF($Q14=4,1,0)),IF($F14&lt;=85,1,0))</formula>
    </cfRule>
  </conditionalFormatting>
  <conditionalFormatting sqref="X14">
    <cfRule type="expression" dxfId="5919" priority="1834">
      <formula>AND(IF(OR($Q14=1,$Q14=2),1,0),IF($X14&lt;=20,1,0))</formula>
    </cfRule>
    <cfRule type="expression" dxfId="5918" priority="1835">
      <formula>AND(IF($Q14=2,1,0),IF($X14&lt;30,1,0))</formula>
    </cfRule>
    <cfRule type="expression" dxfId="5917" priority="1836">
      <formula>AND(IF($Q14=3,1,0),IF($X14&lt;30,1,0))</formula>
    </cfRule>
    <cfRule type="expression" dxfId="5916" priority="1837">
      <formula>AND(IF($Q14=3,1,IF($Q14=4,1,0)),IF($F14&lt;=85,1,0))</formula>
    </cfRule>
  </conditionalFormatting>
  <conditionalFormatting sqref="AI14">
    <cfRule type="expression" dxfId="5915" priority="1830">
      <formula>AND(IF(OR($Q14=1,$Q14=2),1,0),IF($X14&lt;=20,1,0))</formula>
    </cfRule>
    <cfRule type="expression" dxfId="5914" priority="1831">
      <formula>AND(IF($Q14=2,1,0),IF($X14&lt;30,1,0))</formula>
    </cfRule>
    <cfRule type="expression" dxfId="5913" priority="1832">
      <formula>AND(IF($Q14=3,1,0),IF($X14&lt;30,1,0))</formula>
    </cfRule>
    <cfRule type="expression" dxfId="5912" priority="1833">
      <formula>AND(IF($Q14=3,1,IF($Q14=4,1,0)),IF($F14&lt;=85,1,0))</formula>
    </cfRule>
  </conditionalFormatting>
  <conditionalFormatting sqref="AV15">
    <cfRule type="expression" dxfId="5911" priority="1828">
      <formula>AV15="X"</formula>
    </cfRule>
    <cfRule type="expression" dxfId="5910" priority="1829">
      <formula>AV15="후보"</formula>
    </cfRule>
  </conditionalFormatting>
  <conditionalFormatting sqref="Z15">
    <cfRule type="colorScale" priority="1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5909" priority="1825" operator="greaterThan">
      <formula>0.9</formula>
    </cfRule>
    <cfRule type="cellIs" dxfId="5908" priority="1826" operator="greaterThan">
      <formula>0.85</formula>
    </cfRule>
  </conditionalFormatting>
  <conditionalFormatting sqref="N15">
    <cfRule type="cellIs" dxfId="5907" priority="1823" operator="greaterThan">
      <formula>0.9</formula>
    </cfRule>
    <cfRule type="cellIs" dxfId="5906" priority="1824" operator="greaterThan">
      <formula>0.85</formula>
    </cfRule>
  </conditionalFormatting>
  <conditionalFormatting sqref="E15">
    <cfRule type="expression" dxfId="5905" priority="1819">
      <formula>AND(IF(OR($Q15=1,$Q15=2),1,0),IF($X15&lt;=20,1,0))</formula>
    </cfRule>
    <cfRule type="expression" dxfId="5904" priority="1820">
      <formula>AND(IF($Q15=2,1,0),IF($X15&lt;30,1,0))</formula>
    </cfRule>
    <cfRule type="expression" dxfId="5903" priority="1821">
      <formula>AND(IF($Q15=3,1,0),IF($X15&lt;30,1,0))</formula>
    </cfRule>
    <cfRule type="expression" dxfId="5902" priority="1822">
      <formula>AND(IF($Q15=3,1,IF($Q15=4,1,0)),IF($F15&lt;=85,1,0))</formula>
    </cfRule>
  </conditionalFormatting>
  <conditionalFormatting sqref="X15">
    <cfRule type="expression" dxfId="5901" priority="1815">
      <formula>AND(IF(OR($Q15=1,$Q15=2),1,0),IF($X15&lt;=20,1,0))</formula>
    </cfRule>
    <cfRule type="expression" dxfId="5900" priority="1816">
      <formula>AND(IF($Q15=2,1,0),IF($X15&lt;30,1,0))</formula>
    </cfRule>
    <cfRule type="expression" dxfId="5899" priority="1817">
      <formula>AND(IF($Q15=3,1,0),IF($X15&lt;30,1,0))</formula>
    </cfRule>
    <cfRule type="expression" dxfId="5898" priority="1818">
      <formula>AND(IF($Q15=3,1,IF($Q15=4,1,0)),IF($F15&lt;=85,1,0))</formula>
    </cfRule>
  </conditionalFormatting>
  <conditionalFormatting sqref="AI15">
    <cfRule type="expression" dxfId="5897" priority="1811">
      <formula>AND(IF(OR($Q15=1,$Q15=2),1,0),IF($X15&lt;=20,1,0))</formula>
    </cfRule>
    <cfRule type="expression" dxfId="5896" priority="1812">
      <formula>AND(IF($Q15=2,1,0),IF($X15&lt;30,1,0))</formula>
    </cfRule>
    <cfRule type="expression" dxfId="5895" priority="1813">
      <formula>AND(IF($Q15=3,1,0),IF($X15&lt;30,1,0))</formula>
    </cfRule>
    <cfRule type="expression" dxfId="5894" priority="1814">
      <formula>AND(IF($Q15=3,1,IF($Q15=4,1,0)),IF($F15&lt;=85,1,0))</formula>
    </cfRule>
  </conditionalFormatting>
  <conditionalFormatting sqref="AV16">
    <cfRule type="expression" dxfId="5893" priority="1809">
      <formula>AV16="X"</formula>
    </cfRule>
    <cfRule type="expression" dxfId="5892" priority="1810">
      <formula>AV16="후보"</formula>
    </cfRule>
  </conditionalFormatting>
  <conditionalFormatting sqref="Z16">
    <cfRule type="colorScale" priority="1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5891" priority="1806" operator="greaterThan">
      <formula>0.9</formula>
    </cfRule>
    <cfRule type="cellIs" dxfId="5890" priority="1807" operator="greaterThan">
      <formula>0.85</formula>
    </cfRule>
  </conditionalFormatting>
  <conditionalFormatting sqref="N16">
    <cfRule type="cellIs" dxfId="5889" priority="1804" operator="greaterThan">
      <formula>0.9</formula>
    </cfRule>
    <cfRule type="cellIs" dxfId="5888" priority="1805" operator="greaterThan">
      <formula>0.85</formula>
    </cfRule>
  </conditionalFormatting>
  <conditionalFormatting sqref="E16">
    <cfRule type="expression" dxfId="5887" priority="1800">
      <formula>AND(IF(OR($Q16=1,$Q16=2),1,0),IF($X16&lt;=20,1,0))</formula>
    </cfRule>
    <cfRule type="expression" dxfId="5886" priority="1801">
      <formula>AND(IF($Q16=2,1,0),IF($X16&lt;30,1,0))</formula>
    </cfRule>
    <cfRule type="expression" dxfId="5885" priority="1802">
      <formula>AND(IF($Q16=3,1,0),IF($X16&lt;30,1,0))</formula>
    </cfRule>
    <cfRule type="expression" dxfId="5884" priority="1803">
      <formula>AND(IF($Q16=3,1,IF($Q16=4,1,0)),IF($F16&lt;=85,1,0))</formula>
    </cfRule>
  </conditionalFormatting>
  <conditionalFormatting sqref="X16">
    <cfRule type="expression" dxfId="5883" priority="1796">
      <formula>AND(IF(OR($Q16=1,$Q16=2),1,0),IF($X16&lt;=20,1,0))</formula>
    </cfRule>
    <cfRule type="expression" dxfId="5882" priority="1797">
      <formula>AND(IF($Q16=2,1,0),IF($X16&lt;30,1,0))</formula>
    </cfRule>
    <cfRule type="expression" dxfId="5881" priority="1798">
      <formula>AND(IF($Q16=3,1,0),IF($X16&lt;30,1,0))</formula>
    </cfRule>
    <cfRule type="expression" dxfId="5880" priority="1799">
      <formula>AND(IF($Q16=3,1,IF($Q16=4,1,0)),IF($F16&lt;=85,1,0))</formula>
    </cfRule>
  </conditionalFormatting>
  <conditionalFormatting sqref="AI16">
    <cfRule type="expression" dxfId="5879" priority="1792">
      <formula>AND(IF(OR($Q16=1,$Q16=2),1,0),IF($X16&lt;=20,1,0))</formula>
    </cfRule>
    <cfRule type="expression" dxfId="5878" priority="1793">
      <formula>AND(IF($Q16=2,1,0),IF($X16&lt;30,1,0))</formula>
    </cfRule>
    <cfRule type="expression" dxfId="5877" priority="1794">
      <formula>AND(IF($Q16=3,1,0),IF($X16&lt;30,1,0))</formula>
    </cfRule>
    <cfRule type="expression" dxfId="5876" priority="1795">
      <formula>AND(IF($Q16=3,1,IF($Q16=4,1,0)),IF($F16&lt;=85,1,0))</formula>
    </cfRule>
  </conditionalFormatting>
  <conditionalFormatting sqref="AV17">
    <cfRule type="expression" dxfId="5875" priority="1790">
      <formula>AV17="X"</formula>
    </cfRule>
    <cfRule type="expression" dxfId="5874" priority="1791">
      <formula>AV17="후보"</formula>
    </cfRule>
  </conditionalFormatting>
  <conditionalFormatting sqref="Z17">
    <cfRule type="colorScale" priority="1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5873" priority="1787" operator="greaterThan">
      <formula>0.9</formula>
    </cfRule>
    <cfRule type="cellIs" dxfId="5872" priority="1788" operator="greaterThan">
      <formula>0.85</formula>
    </cfRule>
  </conditionalFormatting>
  <conditionalFormatting sqref="N17">
    <cfRule type="cellIs" dxfId="5871" priority="1785" operator="greaterThan">
      <formula>0.9</formula>
    </cfRule>
    <cfRule type="cellIs" dxfId="5870" priority="1786" operator="greaterThan">
      <formula>0.85</formula>
    </cfRule>
  </conditionalFormatting>
  <conditionalFormatting sqref="E17">
    <cfRule type="expression" dxfId="5869" priority="1781">
      <formula>AND(IF(OR($Q17=1,$Q17=2),1,0),IF($X17&lt;=20,1,0))</formula>
    </cfRule>
    <cfRule type="expression" dxfId="5868" priority="1782">
      <formula>AND(IF($Q17=2,1,0),IF($X17&lt;30,1,0))</formula>
    </cfRule>
    <cfRule type="expression" dxfId="5867" priority="1783">
      <formula>AND(IF($Q17=3,1,0),IF($X17&lt;30,1,0))</formula>
    </cfRule>
    <cfRule type="expression" dxfId="5866" priority="1784">
      <formula>AND(IF($Q17=3,1,IF($Q17=4,1,0)),IF($F17&lt;=85,1,0))</formula>
    </cfRule>
  </conditionalFormatting>
  <conditionalFormatting sqref="X17">
    <cfRule type="expression" dxfId="5865" priority="1777">
      <formula>AND(IF(OR($Q17=1,$Q17=2),1,0),IF($X17&lt;=20,1,0))</formula>
    </cfRule>
    <cfRule type="expression" dxfId="5864" priority="1778">
      <formula>AND(IF($Q17=2,1,0),IF($X17&lt;30,1,0))</formula>
    </cfRule>
    <cfRule type="expression" dxfId="5863" priority="1779">
      <formula>AND(IF($Q17=3,1,0),IF($X17&lt;30,1,0))</formula>
    </cfRule>
    <cfRule type="expression" dxfId="5862" priority="1780">
      <formula>AND(IF($Q17=3,1,IF($Q17=4,1,0)),IF($F17&lt;=85,1,0))</formula>
    </cfRule>
  </conditionalFormatting>
  <conditionalFormatting sqref="AI17">
    <cfRule type="expression" dxfId="5861" priority="1773">
      <formula>AND(IF(OR($Q17=1,$Q17=2),1,0),IF($X17&lt;=20,1,0))</formula>
    </cfRule>
    <cfRule type="expression" dxfId="5860" priority="1774">
      <formula>AND(IF($Q17=2,1,0),IF($X17&lt;30,1,0))</formula>
    </cfRule>
    <cfRule type="expression" dxfId="5859" priority="1775">
      <formula>AND(IF($Q17=3,1,0),IF($X17&lt;30,1,0))</formula>
    </cfRule>
    <cfRule type="expression" dxfId="5858" priority="1776">
      <formula>AND(IF($Q17=3,1,IF($Q17=4,1,0)),IF($F17&lt;=85,1,0))</formula>
    </cfRule>
  </conditionalFormatting>
  <conditionalFormatting sqref="AV18">
    <cfRule type="expression" dxfId="5857" priority="1771">
      <formula>AV18="X"</formula>
    </cfRule>
    <cfRule type="expression" dxfId="5856" priority="1772">
      <formula>AV18="후보"</formula>
    </cfRule>
  </conditionalFormatting>
  <conditionalFormatting sqref="Z18">
    <cfRule type="colorScale" priority="1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5855" priority="1768" operator="greaterThan">
      <formula>0.9</formula>
    </cfRule>
    <cfRule type="cellIs" dxfId="5854" priority="1769" operator="greaterThan">
      <formula>0.85</formula>
    </cfRule>
  </conditionalFormatting>
  <conditionalFormatting sqref="N18">
    <cfRule type="cellIs" dxfId="5853" priority="1766" operator="greaterThan">
      <formula>0.9</formula>
    </cfRule>
    <cfRule type="cellIs" dxfId="5852" priority="1767" operator="greaterThan">
      <formula>0.85</formula>
    </cfRule>
  </conditionalFormatting>
  <conditionalFormatting sqref="E18">
    <cfRule type="expression" dxfId="5851" priority="1762">
      <formula>AND(IF(OR($Q18=1,$Q18=2),1,0),IF($X18&lt;=20,1,0))</formula>
    </cfRule>
    <cfRule type="expression" dxfId="5850" priority="1763">
      <formula>AND(IF($Q18=2,1,0),IF($X18&lt;30,1,0))</formula>
    </cfRule>
    <cfRule type="expression" dxfId="5849" priority="1764">
      <formula>AND(IF($Q18=3,1,0),IF($X18&lt;30,1,0))</formula>
    </cfRule>
    <cfRule type="expression" dxfId="5848" priority="1765">
      <formula>AND(IF($Q18=3,1,IF($Q18=4,1,0)),IF($F18&lt;=85,1,0))</formula>
    </cfRule>
  </conditionalFormatting>
  <conditionalFormatting sqref="X18">
    <cfRule type="expression" dxfId="5847" priority="1758">
      <formula>AND(IF(OR($Q18=1,$Q18=2),1,0),IF($X18&lt;=20,1,0))</formula>
    </cfRule>
    <cfRule type="expression" dxfId="5846" priority="1759">
      <formula>AND(IF($Q18=2,1,0),IF($X18&lt;30,1,0))</formula>
    </cfRule>
    <cfRule type="expression" dxfId="5845" priority="1760">
      <formula>AND(IF($Q18=3,1,0),IF($X18&lt;30,1,0))</formula>
    </cfRule>
    <cfRule type="expression" dxfId="5844" priority="1761">
      <formula>AND(IF($Q18=3,1,IF($Q18=4,1,0)),IF($F18&lt;=85,1,0))</formula>
    </cfRule>
  </conditionalFormatting>
  <conditionalFormatting sqref="AI18">
    <cfRule type="expression" dxfId="5843" priority="1754">
      <formula>AND(IF(OR($Q18=1,$Q18=2),1,0),IF($X18&lt;=20,1,0))</formula>
    </cfRule>
    <cfRule type="expression" dxfId="5842" priority="1755">
      <formula>AND(IF($Q18=2,1,0),IF($X18&lt;30,1,0))</formula>
    </cfRule>
    <cfRule type="expression" dxfId="5841" priority="1756">
      <formula>AND(IF($Q18=3,1,0),IF($X18&lt;30,1,0))</formula>
    </cfRule>
    <cfRule type="expression" dxfId="5840" priority="1757">
      <formula>AND(IF($Q18=3,1,IF($Q18=4,1,0)),IF($F18&lt;=85,1,0))</formula>
    </cfRule>
  </conditionalFormatting>
  <conditionalFormatting sqref="AV19">
    <cfRule type="expression" dxfId="5839" priority="1752">
      <formula>AV19="X"</formula>
    </cfRule>
    <cfRule type="expression" dxfId="5838" priority="1753">
      <formula>AV19="후보"</formula>
    </cfRule>
  </conditionalFormatting>
  <conditionalFormatting sqref="Z19">
    <cfRule type="colorScale" priority="1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837" priority="1749" operator="greaterThan">
      <formula>0.9</formula>
    </cfRule>
    <cfRule type="cellIs" dxfId="5836" priority="1750" operator="greaterThan">
      <formula>0.85</formula>
    </cfRule>
  </conditionalFormatting>
  <conditionalFormatting sqref="N19">
    <cfRule type="cellIs" dxfId="5835" priority="1747" operator="greaterThan">
      <formula>0.9</formula>
    </cfRule>
    <cfRule type="cellIs" dxfId="5834" priority="1748" operator="greaterThan">
      <formula>0.85</formula>
    </cfRule>
  </conditionalFormatting>
  <conditionalFormatting sqref="E19">
    <cfRule type="expression" dxfId="5833" priority="1743">
      <formula>AND(IF(OR($Q19=1,$Q19=2),1,0),IF($X19&lt;=20,1,0))</formula>
    </cfRule>
    <cfRule type="expression" dxfId="5832" priority="1744">
      <formula>AND(IF($Q19=2,1,0),IF($X19&lt;30,1,0))</formula>
    </cfRule>
    <cfRule type="expression" dxfId="5831" priority="1745">
      <formula>AND(IF($Q19=3,1,0),IF($X19&lt;30,1,0))</formula>
    </cfRule>
    <cfRule type="expression" dxfId="5830" priority="1746">
      <formula>AND(IF($Q19=3,1,IF($Q19=4,1,0)),IF($F19&lt;=85,1,0))</formula>
    </cfRule>
  </conditionalFormatting>
  <conditionalFormatting sqref="X19">
    <cfRule type="expression" dxfId="5829" priority="1739">
      <formula>AND(IF(OR($Q19=1,$Q19=2),1,0),IF($X19&lt;=20,1,0))</formula>
    </cfRule>
    <cfRule type="expression" dxfId="5828" priority="1740">
      <formula>AND(IF($Q19=2,1,0),IF($X19&lt;30,1,0))</formula>
    </cfRule>
    <cfRule type="expression" dxfId="5827" priority="1741">
      <formula>AND(IF($Q19=3,1,0),IF($X19&lt;30,1,0))</formula>
    </cfRule>
    <cfRule type="expression" dxfId="5826" priority="1742">
      <formula>AND(IF($Q19=3,1,IF($Q19=4,1,0)),IF($F19&lt;=85,1,0))</formula>
    </cfRule>
  </conditionalFormatting>
  <conditionalFormatting sqref="AI19">
    <cfRule type="expression" dxfId="5825" priority="1735">
      <formula>AND(IF(OR($Q19=1,$Q19=2),1,0),IF($X19&lt;=20,1,0))</formula>
    </cfRule>
    <cfRule type="expression" dxfId="5824" priority="1736">
      <formula>AND(IF($Q19=2,1,0),IF($X19&lt;30,1,0))</formula>
    </cfRule>
    <cfRule type="expression" dxfId="5823" priority="1737">
      <formula>AND(IF($Q19=3,1,0),IF($X19&lt;30,1,0))</formula>
    </cfRule>
    <cfRule type="expression" dxfId="5822" priority="1738">
      <formula>AND(IF($Q19=3,1,IF($Q19=4,1,0)),IF($F19&lt;=85,1,0))</formula>
    </cfRule>
  </conditionalFormatting>
  <conditionalFormatting sqref="AV20">
    <cfRule type="expression" dxfId="5821" priority="1733">
      <formula>AV20="X"</formula>
    </cfRule>
    <cfRule type="expression" dxfId="5820" priority="1734">
      <formula>AV20="후보"</formula>
    </cfRule>
  </conditionalFormatting>
  <conditionalFormatting sqref="Z20">
    <cfRule type="colorScale" priority="1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5819" priority="1730" operator="greaterThan">
      <formula>0.9</formula>
    </cfRule>
    <cfRule type="cellIs" dxfId="5818" priority="1731" operator="greaterThan">
      <formula>0.85</formula>
    </cfRule>
  </conditionalFormatting>
  <conditionalFormatting sqref="AV21">
    <cfRule type="expression" dxfId="5817" priority="1728">
      <formula>AV21="X"</formula>
    </cfRule>
    <cfRule type="expression" dxfId="5816" priority="1729">
      <formula>AV21="후보"</formula>
    </cfRule>
  </conditionalFormatting>
  <conditionalFormatting sqref="Z21">
    <cfRule type="colorScale" priority="1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815" priority="1725" operator="greaterThan">
      <formula>0.9</formula>
    </cfRule>
    <cfRule type="cellIs" dxfId="5814" priority="1726" operator="greaterThan">
      <formula>0.85</formula>
    </cfRule>
  </conditionalFormatting>
  <conditionalFormatting sqref="N21">
    <cfRule type="cellIs" dxfId="5813" priority="1723" operator="greaterThan">
      <formula>0.9</formula>
    </cfRule>
    <cfRule type="cellIs" dxfId="5812" priority="1724" operator="greaterThan">
      <formula>0.85</formula>
    </cfRule>
  </conditionalFormatting>
  <conditionalFormatting sqref="E21">
    <cfRule type="expression" dxfId="5811" priority="1719">
      <formula>AND(IF(OR($Q21=1,$Q21=2),1,0),IF($X21&lt;=20,1,0))</formula>
    </cfRule>
    <cfRule type="expression" dxfId="5810" priority="1720">
      <formula>AND(IF($Q21=2,1,0),IF($X21&lt;30,1,0))</formula>
    </cfRule>
    <cfRule type="expression" dxfId="5809" priority="1721">
      <formula>AND(IF($Q21=3,1,0),IF($X21&lt;30,1,0))</formula>
    </cfRule>
    <cfRule type="expression" dxfId="5808" priority="1722">
      <formula>AND(IF($Q21=3,1,IF($Q21=4,1,0)),IF($F21&lt;=85,1,0))</formula>
    </cfRule>
  </conditionalFormatting>
  <conditionalFormatting sqref="X21">
    <cfRule type="expression" dxfId="5807" priority="1715">
      <formula>AND(IF(OR($Q21=1,$Q21=2),1,0),IF($X21&lt;=20,1,0))</formula>
    </cfRule>
    <cfRule type="expression" dxfId="5806" priority="1716">
      <formula>AND(IF($Q21=2,1,0),IF($X21&lt;30,1,0))</formula>
    </cfRule>
    <cfRule type="expression" dxfId="5805" priority="1717">
      <formula>AND(IF($Q21=3,1,0),IF($X21&lt;30,1,0))</formula>
    </cfRule>
    <cfRule type="expression" dxfId="5804" priority="1718">
      <formula>AND(IF($Q21=3,1,IF($Q21=4,1,0)),IF($F21&lt;=85,1,0))</formula>
    </cfRule>
  </conditionalFormatting>
  <conditionalFormatting sqref="AI21">
    <cfRule type="expression" dxfId="5803" priority="1711">
      <formula>AND(IF(OR($Q21=1,$Q21=2),1,0),IF($X21&lt;=20,1,0))</formula>
    </cfRule>
    <cfRule type="expression" dxfId="5802" priority="1712">
      <formula>AND(IF($Q21=2,1,0),IF($X21&lt;30,1,0))</formula>
    </cfRule>
    <cfRule type="expression" dxfId="5801" priority="1713">
      <formula>AND(IF($Q21=3,1,0),IF($X21&lt;30,1,0))</formula>
    </cfRule>
    <cfRule type="expression" dxfId="5800" priority="1714">
      <formula>AND(IF($Q21=3,1,IF($Q21=4,1,0)),IF($F21&lt;=85,1,0))</formula>
    </cfRule>
  </conditionalFormatting>
  <conditionalFormatting sqref="AV22">
    <cfRule type="expression" dxfId="5799" priority="1709">
      <formula>AV22="X"</formula>
    </cfRule>
    <cfRule type="expression" dxfId="5798" priority="1710">
      <formula>AV22="후보"</formula>
    </cfRule>
  </conditionalFormatting>
  <conditionalFormatting sqref="Z22">
    <cfRule type="colorScale" priority="1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5797" priority="1706" operator="greaterThan">
      <formula>0.9</formula>
    </cfRule>
    <cfRule type="cellIs" dxfId="5796" priority="1707" operator="greaterThan">
      <formula>0.85</formula>
    </cfRule>
  </conditionalFormatting>
  <conditionalFormatting sqref="N22">
    <cfRule type="cellIs" dxfId="5795" priority="1704" operator="greaterThan">
      <formula>0.9</formula>
    </cfRule>
    <cfRule type="cellIs" dxfId="5794" priority="1705" operator="greaterThan">
      <formula>0.85</formula>
    </cfRule>
  </conditionalFormatting>
  <conditionalFormatting sqref="E22">
    <cfRule type="expression" dxfId="5793" priority="1700">
      <formula>AND(IF(OR($Q22=1,$Q22=2),1,0),IF($X22&lt;=20,1,0))</formula>
    </cfRule>
    <cfRule type="expression" dxfId="5792" priority="1701">
      <formula>AND(IF($Q22=2,1,0),IF($X22&lt;30,1,0))</formula>
    </cfRule>
    <cfRule type="expression" dxfId="5791" priority="1702">
      <formula>AND(IF($Q22=3,1,0),IF($X22&lt;30,1,0))</formula>
    </cfRule>
    <cfRule type="expression" dxfId="5790" priority="1703">
      <formula>AND(IF($Q22=3,1,IF($Q22=4,1,0)),IF($F22&lt;=85,1,0))</formula>
    </cfRule>
  </conditionalFormatting>
  <conditionalFormatting sqref="X22">
    <cfRule type="expression" dxfId="5789" priority="1696">
      <formula>AND(IF(OR($Q22=1,$Q22=2),1,0),IF($X22&lt;=20,1,0))</formula>
    </cfRule>
    <cfRule type="expression" dxfId="5788" priority="1697">
      <formula>AND(IF($Q22=2,1,0),IF($X22&lt;30,1,0))</formula>
    </cfRule>
    <cfRule type="expression" dxfId="5787" priority="1698">
      <formula>AND(IF($Q22=3,1,0),IF($X22&lt;30,1,0))</formula>
    </cfRule>
    <cfRule type="expression" dxfId="5786" priority="1699">
      <formula>AND(IF($Q22=3,1,IF($Q22=4,1,0)),IF($F22&lt;=85,1,0))</formula>
    </cfRule>
  </conditionalFormatting>
  <conditionalFormatting sqref="AI22">
    <cfRule type="expression" dxfId="5785" priority="1692">
      <formula>AND(IF(OR($Q22=1,$Q22=2),1,0),IF($X22&lt;=20,1,0))</formula>
    </cfRule>
    <cfRule type="expression" dxfId="5784" priority="1693">
      <formula>AND(IF($Q22=2,1,0),IF($X22&lt;30,1,0))</formula>
    </cfRule>
    <cfRule type="expression" dxfId="5783" priority="1694">
      <formula>AND(IF($Q22=3,1,0),IF($X22&lt;30,1,0))</formula>
    </cfRule>
    <cfRule type="expression" dxfId="5782" priority="1695">
      <formula>AND(IF($Q22=3,1,IF($Q22=4,1,0)),IF($F22&lt;=85,1,0))</formula>
    </cfRule>
  </conditionalFormatting>
  <conditionalFormatting sqref="AV23">
    <cfRule type="expression" dxfId="5781" priority="1690">
      <formula>AV23="X"</formula>
    </cfRule>
    <cfRule type="expression" dxfId="5780" priority="1691">
      <formula>AV23="후보"</formula>
    </cfRule>
  </conditionalFormatting>
  <conditionalFormatting sqref="Z23">
    <cfRule type="colorScale" priority="1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5779" priority="1687" operator="greaterThan">
      <formula>0.9</formula>
    </cfRule>
    <cfRule type="cellIs" dxfId="5778" priority="1688" operator="greaterThan">
      <formula>0.85</formula>
    </cfRule>
  </conditionalFormatting>
  <conditionalFormatting sqref="N23">
    <cfRule type="cellIs" dxfId="5777" priority="1685" operator="greaterThan">
      <formula>0.9</formula>
    </cfRule>
    <cfRule type="cellIs" dxfId="5776" priority="1686" operator="greaterThan">
      <formula>0.85</formula>
    </cfRule>
  </conditionalFormatting>
  <conditionalFormatting sqref="E23">
    <cfRule type="expression" dxfId="5775" priority="1681">
      <formula>AND(IF(OR($Q23=1,$Q23=2),1,0),IF($X23&lt;=20,1,0))</formula>
    </cfRule>
    <cfRule type="expression" dxfId="5774" priority="1682">
      <formula>AND(IF($Q23=2,1,0),IF($X23&lt;30,1,0))</formula>
    </cfRule>
    <cfRule type="expression" dxfId="5773" priority="1683">
      <formula>AND(IF($Q23=3,1,0),IF($X23&lt;30,1,0))</formula>
    </cfRule>
    <cfRule type="expression" dxfId="5772" priority="1684">
      <formula>AND(IF($Q23=3,1,IF($Q23=4,1,0)),IF($F23&lt;=85,1,0))</formula>
    </cfRule>
  </conditionalFormatting>
  <conditionalFormatting sqref="X23">
    <cfRule type="expression" dxfId="5771" priority="1677">
      <formula>AND(IF(OR($Q23=1,$Q23=2),1,0),IF($X23&lt;=20,1,0))</formula>
    </cfRule>
    <cfRule type="expression" dxfId="5770" priority="1678">
      <formula>AND(IF($Q23=2,1,0),IF($X23&lt;30,1,0))</formula>
    </cfRule>
    <cfRule type="expression" dxfId="5769" priority="1679">
      <formula>AND(IF($Q23=3,1,0),IF($X23&lt;30,1,0))</formula>
    </cfRule>
    <cfRule type="expression" dxfId="5768" priority="1680">
      <formula>AND(IF($Q23=3,1,IF($Q23=4,1,0)),IF($F23&lt;=85,1,0))</formula>
    </cfRule>
  </conditionalFormatting>
  <conditionalFormatting sqref="AI23">
    <cfRule type="expression" dxfId="5767" priority="1673">
      <formula>AND(IF(OR($Q23=1,$Q23=2),1,0),IF($X23&lt;=20,1,0))</formula>
    </cfRule>
    <cfRule type="expression" dxfId="5766" priority="1674">
      <formula>AND(IF($Q23=2,1,0),IF($X23&lt;30,1,0))</formula>
    </cfRule>
    <cfRule type="expression" dxfId="5765" priority="1675">
      <formula>AND(IF($Q23=3,1,0),IF($X23&lt;30,1,0))</formula>
    </cfRule>
    <cfRule type="expression" dxfId="5764" priority="1676">
      <formula>AND(IF($Q23=3,1,IF($Q23=4,1,0)),IF($F23&lt;=85,1,0))</formula>
    </cfRule>
  </conditionalFormatting>
  <conditionalFormatting sqref="AV24">
    <cfRule type="expression" dxfId="5763" priority="1671">
      <formula>AV24="X"</formula>
    </cfRule>
    <cfRule type="expression" dxfId="5762" priority="1672">
      <formula>AV24="후보"</formula>
    </cfRule>
  </conditionalFormatting>
  <conditionalFormatting sqref="Z24">
    <cfRule type="colorScale" priority="1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5761" priority="1668" operator="greaterThan">
      <formula>0.9</formula>
    </cfRule>
    <cfRule type="cellIs" dxfId="5760" priority="1669" operator="greaterThan">
      <formula>0.85</formula>
    </cfRule>
  </conditionalFormatting>
  <conditionalFormatting sqref="N24">
    <cfRule type="cellIs" dxfId="5759" priority="1666" operator="greaterThan">
      <formula>0.9</formula>
    </cfRule>
    <cfRule type="cellIs" dxfId="5758" priority="1667" operator="greaterThan">
      <formula>0.85</formula>
    </cfRule>
  </conditionalFormatting>
  <conditionalFormatting sqref="E24">
    <cfRule type="expression" dxfId="5757" priority="1662">
      <formula>AND(IF(OR($Q24=1,$Q24=2),1,0),IF($X24&lt;=20,1,0))</formula>
    </cfRule>
    <cfRule type="expression" dxfId="5756" priority="1663">
      <formula>AND(IF($Q24=2,1,0),IF($X24&lt;30,1,0))</formula>
    </cfRule>
    <cfRule type="expression" dxfId="5755" priority="1664">
      <formula>AND(IF($Q24=3,1,0),IF($X24&lt;30,1,0))</formula>
    </cfRule>
    <cfRule type="expression" dxfId="5754" priority="1665">
      <formula>AND(IF($Q24=3,1,IF($Q24=4,1,0)),IF($F24&lt;=85,1,0))</formula>
    </cfRule>
  </conditionalFormatting>
  <conditionalFormatting sqref="X24">
    <cfRule type="expression" dxfId="5753" priority="1658">
      <formula>AND(IF(OR($Q24=1,$Q24=2),1,0),IF($X24&lt;=20,1,0))</formula>
    </cfRule>
    <cfRule type="expression" dxfId="5752" priority="1659">
      <formula>AND(IF($Q24=2,1,0),IF($X24&lt;30,1,0))</formula>
    </cfRule>
    <cfRule type="expression" dxfId="5751" priority="1660">
      <formula>AND(IF($Q24=3,1,0),IF($X24&lt;30,1,0))</formula>
    </cfRule>
    <cfRule type="expression" dxfId="5750" priority="1661">
      <formula>AND(IF($Q24=3,1,IF($Q24=4,1,0)),IF($F24&lt;=85,1,0))</formula>
    </cfRule>
  </conditionalFormatting>
  <conditionalFormatting sqref="AI24">
    <cfRule type="expression" dxfId="5749" priority="1654">
      <formula>AND(IF(OR($Q24=1,$Q24=2),1,0),IF($X24&lt;=20,1,0))</formula>
    </cfRule>
    <cfRule type="expression" dxfId="5748" priority="1655">
      <formula>AND(IF($Q24=2,1,0),IF($X24&lt;30,1,0))</formula>
    </cfRule>
    <cfRule type="expression" dxfId="5747" priority="1656">
      <formula>AND(IF($Q24=3,1,0),IF($X24&lt;30,1,0))</formula>
    </cfRule>
    <cfRule type="expression" dxfId="5746" priority="1657">
      <formula>AND(IF($Q24=3,1,IF($Q24=4,1,0)),IF($F24&lt;=85,1,0))</formula>
    </cfRule>
  </conditionalFormatting>
  <conditionalFormatting sqref="AV25">
    <cfRule type="expression" dxfId="5745" priority="1652">
      <formula>AV25="X"</formula>
    </cfRule>
    <cfRule type="expression" dxfId="5744" priority="1653">
      <formula>AV25="후보"</formula>
    </cfRule>
  </conditionalFormatting>
  <conditionalFormatting sqref="Z25">
    <cfRule type="colorScale" priority="1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743" priority="1649" operator="greaterThan">
      <formula>0.9</formula>
    </cfRule>
    <cfRule type="cellIs" dxfId="5742" priority="1650" operator="greaterThan">
      <formula>0.85</formula>
    </cfRule>
  </conditionalFormatting>
  <conditionalFormatting sqref="N25">
    <cfRule type="cellIs" dxfId="5741" priority="1647" operator="greaterThan">
      <formula>0.9</formula>
    </cfRule>
    <cfRule type="cellIs" dxfId="5740" priority="1648" operator="greaterThan">
      <formula>0.85</formula>
    </cfRule>
  </conditionalFormatting>
  <conditionalFormatting sqref="E25">
    <cfRule type="expression" dxfId="5739" priority="1643">
      <formula>AND(IF(OR($Q25=1,$Q25=2),1,0),IF($X25&lt;=20,1,0))</formula>
    </cfRule>
    <cfRule type="expression" dxfId="5738" priority="1644">
      <formula>AND(IF($Q25=2,1,0),IF($X25&lt;30,1,0))</formula>
    </cfRule>
    <cfRule type="expression" dxfId="5737" priority="1645">
      <formula>AND(IF($Q25=3,1,0),IF($X25&lt;30,1,0))</formula>
    </cfRule>
    <cfRule type="expression" dxfId="5736" priority="1646">
      <formula>AND(IF($Q25=3,1,IF($Q25=4,1,0)),IF($F25&lt;=85,1,0))</formula>
    </cfRule>
  </conditionalFormatting>
  <conditionalFormatting sqref="X25">
    <cfRule type="expression" dxfId="5735" priority="1639">
      <formula>AND(IF(OR($Q25=1,$Q25=2),1,0),IF($X25&lt;=20,1,0))</formula>
    </cfRule>
    <cfRule type="expression" dxfId="5734" priority="1640">
      <formula>AND(IF($Q25=2,1,0),IF($X25&lt;30,1,0))</formula>
    </cfRule>
    <cfRule type="expression" dxfId="5733" priority="1641">
      <formula>AND(IF($Q25=3,1,0),IF($X25&lt;30,1,0))</formula>
    </cfRule>
    <cfRule type="expression" dxfId="5732" priority="1642">
      <formula>AND(IF($Q25=3,1,IF($Q25=4,1,0)),IF($F25&lt;=85,1,0))</formula>
    </cfRule>
  </conditionalFormatting>
  <conditionalFormatting sqref="AI25">
    <cfRule type="expression" dxfId="5731" priority="1635">
      <formula>AND(IF(OR($Q25=1,$Q25=2),1,0),IF($X25&lt;=20,1,0))</formula>
    </cfRule>
    <cfRule type="expression" dxfId="5730" priority="1636">
      <formula>AND(IF($Q25=2,1,0),IF($X25&lt;30,1,0))</formula>
    </cfRule>
    <cfRule type="expression" dxfId="5729" priority="1637">
      <formula>AND(IF($Q25=3,1,0),IF($X25&lt;30,1,0))</formula>
    </cfRule>
    <cfRule type="expression" dxfId="5728" priority="1638">
      <formula>AND(IF($Q25=3,1,IF($Q25=4,1,0)),IF($F25&lt;=85,1,0))</formula>
    </cfRule>
  </conditionalFormatting>
  <conditionalFormatting sqref="AV26">
    <cfRule type="expression" dxfId="5727" priority="1633">
      <formula>AV26="X"</formula>
    </cfRule>
    <cfRule type="expression" dxfId="5726" priority="1634">
      <formula>AV26="후보"</formula>
    </cfRule>
  </conditionalFormatting>
  <conditionalFormatting sqref="Z26">
    <cfRule type="colorScale" priority="1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5725" priority="1630" operator="greaterThan">
      <formula>0.9</formula>
    </cfRule>
    <cfRule type="cellIs" dxfId="5724" priority="1631" operator="greaterThan">
      <formula>0.85</formula>
    </cfRule>
  </conditionalFormatting>
  <conditionalFormatting sqref="N26">
    <cfRule type="cellIs" dxfId="5723" priority="1628" operator="greaterThan">
      <formula>0.9</formula>
    </cfRule>
    <cfRule type="cellIs" dxfId="5722" priority="1629" operator="greaterThan">
      <formula>0.85</formula>
    </cfRule>
  </conditionalFormatting>
  <conditionalFormatting sqref="E26">
    <cfRule type="expression" dxfId="5721" priority="1624">
      <formula>AND(IF(OR($Q26=1,$Q26=2),1,0),IF($X26&lt;=20,1,0))</formula>
    </cfRule>
    <cfRule type="expression" dxfId="5720" priority="1625">
      <formula>AND(IF($Q26=2,1,0),IF($X26&lt;30,1,0))</formula>
    </cfRule>
    <cfRule type="expression" dxfId="5719" priority="1626">
      <formula>AND(IF($Q26=3,1,0),IF($X26&lt;30,1,0))</formula>
    </cfRule>
    <cfRule type="expression" dxfId="5718" priority="1627">
      <formula>AND(IF($Q26=3,1,IF($Q26=4,1,0)),IF($F26&lt;=85,1,0))</formula>
    </cfRule>
  </conditionalFormatting>
  <conditionalFormatting sqref="X26">
    <cfRule type="expression" dxfId="5717" priority="1620">
      <formula>AND(IF(OR($Q26=1,$Q26=2),1,0),IF($X26&lt;=20,1,0))</formula>
    </cfRule>
    <cfRule type="expression" dxfId="5716" priority="1621">
      <formula>AND(IF($Q26=2,1,0),IF($X26&lt;30,1,0))</formula>
    </cfRule>
    <cfRule type="expression" dxfId="5715" priority="1622">
      <formula>AND(IF($Q26=3,1,0),IF($X26&lt;30,1,0))</formula>
    </cfRule>
    <cfRule type="expression" dxfId="5714" priority="1623">
      <formula>AND(IF($Q26=3,1,IF($Q26=4,1,0)),IF($F26&lt;=85,1,0))</formula>
    </cfRule>
  </conditionalFormatting>
  <conditionalFormatting sqref="AI26">
    <cfRule type="expression" dxfId="5713" priority="1616">
      <formula>AND(IF(OR($Q26=1,$Q26=2),1,0),IF($X26&lt;=20,1,0))</formula>
    </cfRule>
    <cfRule type="expression" dxfId="5712" priority="1617">
      <formula>AND(IF($Q26=2,1,0),IF($X26&lt;30,1,0))</formula>
    </cfRule>
    <cfRule type="expression" dxfId="5711" priority="1618">
      <formula>AND(IF($Q26=3,1,0),IF($X26&lt;30,1,0))</formula>
    </cfRule>
    <cfRule type="expression" dxfId="5710" priority="1619">
      <formula>AND(IF($Q26=3,1,IF($Q26=4,1,0)),IF($F26&lt;=85,1,0))</formula>
    </cfRule>
  </conditionalFormatting>
  <conditionalFormatting sqref="AV27">
    <cfRule type="expression" dxfId="5709" priority="1614">
      <formula>AV27="X"</formula>
    </cfRule>
    <cfRule type="expression" dxfId="5708" priority="1615">
      <formula>AV27="후보"</formula>
    </cfRule>
  </conditionalFormatting>
  <conditionalFormatting sqref="Z27">
    <cfRule type="colorScale" priority="1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5707" priority="1611" operator="greaterThan">
      <formula>0.9</formula>
    </cfRule>
    <cfRule type="cellIs" dxfId="5706" priority="1612" operator="greaterThan">
      <formula>0.85</formula>
    </cfRule>
  </conditionalFormatting>
  <conditionalFormatting sqref="N27">
    <cfRule type="cellIs" dxfId="5705" priority="1609" operator="greaterThan">
      <formula>0.9</formula>
    </cfRule>
    <cfRule type="cellIs" dxfId="5704" priority="1610" operator="greaterThan">
      <formula>0.85</formula>
    </cfRule>
  </conditionalFormatting>
  <conditionalFormatting sqref="E27">
    <cfRule type="expression" dxfId="5703" priority="1605">
      <formula>AND(IF(OR($Q27=1,$Q27=2),1,0),IF($X27&lt;=20,1,0))</formula>
    </cfRule>
    <cfRule type="expression" dxfId="5702" priority="1606">
      <formula>AND(IF($Q27=2,1,0),IF($X27&lt;30,1,0))</formula>
    </cfRule>
    <cfRule type="expression" dxfId="5701" priority="1607">
      <formula>AND(IF($Q27=3,1,0),IF($X27&lt;30,1,0))</formula>
    </cfRule>
    <cfRule type="expression" dxfId="5700" priority="1608">
      <formula>AND(IF($Q27=3,1,IF($Q27=4,1,0)),IF($F27&lt;=85,1,0))</formula>
    </cfRule>
  </conditionalFormatting>
  <conditionalFormatting sqref="X27">
    <cfRule type="expression" dxfId="5699" priority="1601">
      <formula>AND(IF(OR($Q27=1,$Q27=2),1,0),IF($X27&lt;=20,1,0))</formula>
    </cfRule>
    <cfRule type="expression" dxfId="5698" priority="1602">
      <formula>AND(IF($Q27=2,1,0),IF($X27&lt;30,1,0))</formula>
    </cfRule>
    <cfRule type="expression" dxfId="5697" priority="1603">
      <formula>AND(IF($Q27=3,1,0),IF($X27&lt;30,1,0))</formula>
    </cfRule>
    <cfRule type="expression" dxfId="5696" priority="1604">
      <formula>AND(IF($Q27=3,1,IF($Q27=4,1,0)),IF($F27&lt;=85,1,0))</formula>
    </cfRule>
  </conditionalFormatting>
  <conditionalFormatting sqref="AI27">
    <cfRule type="expression" dxfId="5695" priority="1597">
      <formula>AND(IF(OR($Q27=1,$Q27=2),1,0),IF($X27&lt;=20,1,0))</formula>
    </cfRule>
    <cfRule type="expression" dxfId="5694" priority="1598">
      <formula>AND(IF($Q27=2,1,0),IF($X27&lt;30,1,0))</formula>
    </cfRule>
    <cfRule type="expression" dxfId="5693" priority="1599">
      <formula>AND(IF($Q27=3,1,0),IF($X27&lt;30,1,0))</formula>
    </cfRule>
    <cfRule type="expression" dxfId="5692" priority="1600">
      <formula>AND(IF($Q27=3,1,IF($Q27=4,1,0)),IF($F27&lt;=85,1,0))</formula>
    </cfRule>
  </conditionalFormatting>
  <conditionalFormatting sqref="AV28">
    <cfRule type="expression" dxfId="5691" priority="1595">
      <formula>AV28="X"</formula>
    </cfRule>
    <cfRule type="expression" dxfId="5690" priority="1596">
      <formula>AV28="후보"</formula>
    </cfRule>
  </conditionalFormatting>
  <conditionalFormatting sqref="Z28">
    <cfRule type="colorScale" priority="1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5689" priority="1592" operator="greaterThan">
      <formula>0.9</formula>
    </cfRule>
    <cfRule type="cellIs" dxfId="5688" priority="1593" operator="greaterThan">
      <formula>0.85</formula>
    </cfRule>
  </conditionalFormatting>
  <conditionalFormatting sqref="N28">
    <cfRule type="cellIs" dxfId="5687" priority="1590" operator="greaterThan">
      <formula>0.9</formula>
    </cfRule>
    <cfRule type="cellIs" dxfId="5686" priority="1591" operator="greaterThan">
      <formula>0.85</formula>
    </cfRule>
  </conditionalFormatting>
  <conditionalFormatting sqref="E28">
    <cfRule type="expression" dxfId="5685" priority="1586">
      <formula>AND(IF(OR($Q28=1,$Q28=2),1,0),IF($X28&lt;=20,1,0))</formula>
    </cfRule>
    <cfRule type="expression" dxfId="5684" priority="1587">
      <formula>AND(IF($Q28=2,1,0),IF($X28&lt;30,1,0))</formula>
    </cfRule>
    <cfRule type="expression" dxfId="5683" priority="1588">
      <formula>AND(IF($Q28=3,1,0),IF($X28&lt;30,1,0))</formula>
    </cfRule>
    <cfRule type="expression" dxfId="5682" priority="1589">
      <formula>AND(IF($Q28=3,1,IF($Q28=4,1,0)),IF($F28&lt;=85,1,0))</formula>
    </cfRule>
  </conditionalFormatting>
  <conditionalFormatting sqref="X28">
    <cfRule type="expression" dxfId="5681" priority="1582">
      <formula>AND(IF(OR($Q28=1,$Q28=2),1,0),IF($X28&lt;=20,1,0))</formula>
    </cfRule>
    <cfRule type="expression" dxfId="5680" priority="1583">
      <formula>AND(IF($Q28=2,1,0),IF($X28&lt;30,1,0))</formula>
    </cfRule>
    <cfRule type="expression" dxfId="5679" priority="1584">
      <formula>AND(IF($Q28=3,1,0),IF($X28&lt;30,1,0))</formula>
    </cfRule>
    <cfRule type="expression" dxfId="5678" priority="1585">
      <formula>AND(IF($Q28=3,1,IF($Q28=4,1,0)),IF($F28&lt;=85,1,0))</formula>
    </cfRule>
  </conditionalFormatting>
  <conditionalFormatting sqref="AI28">
    <cfRule type="expression" dxfId="5677" priority="1578">
      <formula>AND(IF(OR($Q28=1,$Q28=2),1,0),IF($X28&lt;=20,1,0))</formula>
    </cfRule>
    <cfRule type="expression" dxfId="5676" priority="1579">
      <formula>AND(IF($Q28=2,1,0),IF($X28&lt;30,1,0))</formula>
    </cfRule>
    <cfRule type="expression" dxfId="5675" priority="1580">
      <formula>AND(IF($Q28=3,1,0),IF($X28&lt;30,1,0))</formula>
    </cfRule>
    <cfRule type="expression" dxfId="5674" priority="1581">
      <formula>AND(IF($Q28=3,1,IF($Q28=4,1,0)),IF($F28&lt;=85,1,0))</formula>
    </cfRule>
  </conditionalFormatting>
  <conditionalFormatting sqref="AV29">
    <cfRule type="expression" dxfId="5673" priority="1576">
      <formula>AV29="X"</formula>
    </cfRule>
    <cfRule type="expression" dxfId="5672" priority="1577">
      <formula>AV29="후보"</formula>
    </cfRule>
  </conditionalFormatting>
  <conditionalFormatting sqref="Z29">
    <cfRule type="colorScale" priority="1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5671" priority="1573" operator="greaterThan">
      <formula>0.9</formula>
    </cfRule>
    <cfRule type="cellIs" dxfId="5670" priority="1574" operator="greaterThan">
      <formula>0.85</formula>
    </cfRule>
  </conditionalFormatting>
  <conditionalFormatting sqref="AV30">
    <cfRule type="expression" dxfId="5669" priority="1571">
      <formula>AV30="X"</formula>
    </cfRule>
    <cfRule type="expression" dxfId="5668" priority="1572">
      <formula>AV30="후보"</formula>
    </cfRule>
  </conditionalFormatting>
  <conditionalFormatting sqref="Z30">
    <cfRule type="colorScale" priority="1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5667" priority="1568" operator="greaterThan">
      <formula>0.9</formula>
    </cfRule>
    <cfRule type="cellIs" dxfId="5666" priority="1569" operator="greaterThan">
      <formula>0.85</formula>
    </cfRule>
  </conditionalFormatting>
  <conditionalFormatting sqref="N30">
    <cfRule type="cellIs" dxfId="5665" priority="1566" operator="greaterThan">
      <formula>0.9</formula>
    </cfRule>
    <cfRule type="cellIs" dxfId="5664" priority="1567" operator="greaterThan">
      <formula>0.85</formula>
    </cfRule>
  </conditionalFormatting>
  <conditionalFormatting sqref="E30">
    <cfRule type="expression" dxfId="5663" priority="1562">
      <formula>AND(IF(OR($Q30=1,$Q30=2),1,0),IF($X30&lt;=20,1,0))</formula>
    </cfRule>
    <cfRule type="expression" dxfId="5662" priority="1563">
      <formula>AND(IF($Q30=2,1,0),IF($X30&lt;30,1,0))</formula>
    </cfRule>
    <cfRule type="expression" dxfId="5661" priority="1564">
      <formula>AND(IF($Q30=3,1,0),IF($X30&lt;30,1,0))</formula>
    </cfRule>
    <cfRule type="expression" dxfId="5660" priority="1565">
      <formula>AND(IF($Q30=3,1,IF($Q30=4,1,0)),IF($F30&lt;=85,1,0))</formula>
    </cfRule>
  </conditionalFormatting>
  <conditionalFormatting sqref="X30">
    <cfRule type="expression" dxfId="5659" priority="1558">
      <formula>AND(IF(OR($Q30=1,$Q30=2),1,0),IF($X30&lt;=20,1,0))</formula>
    </cfRule>
    <cfRule type="expression" dxfId="5658" priority="1559">
      <formula>AND(IF($Q30=2,1,0),IF($X30&lt;30,1,0))</formula>
    </cfRule>
    <cfRule type="expression" dxfId="5657" priority="1560">
      <formula>AND(IF($Q30=3,1,0),IF($X30&lt;30,1,0))</formula>
    </cfRule>
    <cfRule type="expression" dxfId="5656" priority="1561">
      <formula>AND(IF($Q30=3,1,IF($Q30=4,1,0)),IF($F30&lt;=85,1,0))</formula>
    </cfRule>
  </conditionalFormatting>
  <conditionalFormatting sqref="AI30">
    <cfRule type="expression" dxfId="5655" priority="1554">
      <formula>AND(IF(OR($Q30=1,$Q30=2),1,0),IF($X30&lt;=20,1,0))</formula>
    </cfRule>
    <cfRule type="expression" dxfId="5654" priority="1555">
      <formula>AND(IF($Q30=2,1,0),IF($X30&lt;30,1,0))</formula>
    </cfRule>
    <cfRule type="expression" dxfId="5653" priority="1556">
      <formula>AND(IF($Q30=3,1,0),IF($X30&lt;30,1,0))</formula>
    </cfRule>
    <cfRule type="expression" dxfId="5652" priority="1557">
      <formula>AND(IF($Q30=3,1,IF($Q30=4,1,0)),IF($F30&lt;=85,1,0))</formula>
    </cfRule>
  </conditionalFormatting>
  <conditionalFormatting sqref="AV31">
    <cfRule type="expression" dxfId="5651" priority="1552">
      <formula>AV31="X"</formula>
    </cfRule>
    <cfRule type="expression" dxfId="5650" priority="1553">
      <formula>AV31="후보"</formula>
    </cfRule>
  </conditionalFormatting>
  <conditionalFormatting sqref="Z31">
    <cfRule type="colorScale" priority="1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5649" priority="1549" operator="greaterThan">
      <formula>0.9</formula>
    </cfRule>
    <cfRule type="cellIs" dxfId="5648" priority="1550" operator="greaterThan">
      <formula>0.85</formula>
    </cfRule>
  </conditionalFormatting>
  <conditionalFormatting sqref="N31">
    <cfRule type="cellIs" dxfId="5647" priority="1547" operator="greaterThan">
      <formula>0.9</formula>
    </cfRule>
    <cfRule type="cellIs" dxfId="5646" priority="1548" operator="greaterThan">
      <formula>0.85</formula>
    </cfRule>
  </conditionalFormatting>
  <conditionalFormatting sqref="E31">
    <cfRule type="expression" dxfId="5645" priority="1543">
      <formula>AND(IF(OR($Q31=1,$Q31=2),1,0),IF($X31&lt;=20,1,0))</formula>
    </cfRule>
    <cfRule type="expression" dxfId="5644" priority="1544">
      <formula>AND(IF($Q31=2,1,0),IF($X31&lt;30,1,0))</formula>
    </cfRule>
    <cfRule type="expression" dxfId="5643" priority="1545">
      <formula>AND(IF($Q31=3,1,0),IF($X31&lt;30,1,0))</formula>
    </cfRule>
    <cfRule type="expression" dxfId="5642" priority="1546">
      <formula>AND(IF($Q31=3,1,IF($Q31=4,1,0)),IF($F31&lt;=85,1,0))</formula>
    </cfRule>
  </conditionalFormatting>
  <conditionalFormatting sqref="X31">
    <cfRule type="expression" dxfId="5641" priority="1539">
      <formula>AND(IF(OR($Q31=1,$Q31=2),1,0),IF($X31&lt;=20,1,0))</formula>
    </cfRule>
    <cfRule type="expression" dxfId="5640" priority="1540">
      <formula>AND(IF($Q31=2,1,0),IF($X31&lt;30,1,0))</formula>
    </cfRule>
    <cfRule type="expression" dxfId="5639" priority="1541">
      <formula>AND(IF($Q31=3,1,0),IF($X31&lt;30,1,0))</formula>
    </cfRule>
    <cfRule type="expression" dxfId="5638" priority="1542">
      <formula>AND(IF($Q31=3,1,IF($Q31=4,1,0)),IF($F31&lt;=85,1,0))</formula>
    </cfRule>
  </conditionalFormatting>
  <conditionalFormatting sqref="AI31">
    <cfRule type="expression" dxfId="5637" priority="1535">
      <formula>AND(IF(OR($Q31=1,$Q31=2),1,0),IF($X31&lt;=20,1,0))</formula>
    </cfRule>
    <cfRule type="expression" dxfId="5636" priority="1536">
      <formula>AND(IF($Q31=2,1,0),IF($X31&lt;30,1,0))</formula>
    </cfRule>
    <cfRule type="expression" dxfId="5635" priority="1537">
      <formula>AND(IF($Q31=3,1,0),IF($X31&lt;30,1,0))</formula>
    </cfRule>
    <cfRule type="expression" dxfId="5634" priority="1538">
      <formula>AND(IF($Q31=3,1,IF($Q31=4,1,0)),IF($F31&lt;=85,1,0))</formula>
    </cfRule>
  </conditionalFormatting>
  <conditionalFormatting sqref="AV32">
    <cfRule type="expression" dxfId="5633" priority="1533">
      <formula>AV32="X"</formula>
    </cfRule>
    <cfRule type="expression" dxfId="5632" priority="1534">
      <formula>AV32="후보"</formula>
    </cfRule>
  </conditionalFormatting>
  <conditionalFormatting sqref="Z32">
    <cfRule type="colorScale" priority="1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5631" priority="1530" operator="greaterThan">
      <formula>0.9</formula>
    </cfRule>
    <cfRule type="cellIs" dxfId="5630" priority="1531" operator="greaterThan">
      <formula>0.85</formula>
    </cfRule>
  </conditionalFormatting>
  <conditionalFormatting sqref="N32">
    <cfRule type="cellIs" dxfId="5629" priority="1528" operator="greaterThan">
      <formula>0.9</formula>
    </cfRule>
    <cfRule type="cellIs" dxfId="5628" priority="1529" operator="greaterThan">
      <formula>0.85</formula>
    </cfRule>
  </conditionalFormatting>
  <conditionalFormatting sqref="E32">
    <cfRule type="expression" dxfId="5627" priority="1524">
      <formula>AND(IF(OR($Q32=1,$Q32=2),1,0),IF($X32&lt;=20,1,0))</formula>
    </cfRule>
    <cfRule type="expression" dxfId="5626" priority="1525">
      <formula>AND(IF($Q32=2,1,0),IF($X32&lt;30,1,0))</formula>
    </cfRule>
    <cfRule type="expression" dxfId="5625" priority="1526">
      <formula>AND(IF($Q32=3,1,0),IF($X32&lt;30,1,0))</formula>
    </cfRule>
    <cfRule type="expression" dxfId="5624" priority="1527">
      <formula>AND(IF($Q32=3,1,IF($Q32=4,1,0)),IF($F32&lt;=85,1,0))</formula>
    </cfRule>
  </conditionalFormatting>
  <conditionalFormatting sqref="X32">
    <cfRule type="expression" dxfId="5623" priority="1520">
      <formula>AND(IF(OR($Q32=1,$Q32=2),1,0),IF($X32&lt;=20,1,0))</formula>
    </cfRule>
    <cfRule type="expression" dxfId="5622" priority="1521">
      <formula>AND(IF($Q32=2,1,0),IF($X32&lt;30,1,0))</formula>
    </cfRule>
    <cfRule type="expression" dxfId="5621" priority="1522">
      <formula>AND(IF($Q32=3,1,0),IF($X32&lt;30,1,0))</formula>
    </cfRule>
    <cfRule type="expression" dxfId="5620" priority="1523">
      <formula>AND(IF($Q32=3,1,IF($Q32=4,1,0)),IF($F32&lt;=85,1,0))</formula>
    </cfRule>
  </conditionalFormatting>
  <conditionalFormatting sqref="AI32">
    <cfRule type="expression" dxfId="5619" priority="1516">
      <formula>AND(IF(OR($Q32=1,$Q32=2),1,0),IF($X32&lt;=20,1,0))</formula>
    </cfRule>
    <cfRule type="expression" dxfId="5618" priority="1517">
      <formula>AND(IF($Q32=2,1,0),IF($X32&lt;30,1,0))</formula>
    </cfRule>
    <cfRule type="expression" dxfId="5617" priority="1518">
      <formula>AND(IF($Q32=3,1,0),IF($X32&lt;30,1,0))</formula>
    </cfRule>
    <cfRule type="expression" dxfId="5616" priority="1519">
      <formula>AND(IF($Q32=3,1,IF($Q32=4,1,0)),IF($F32&lt;=85,1,0))</formula>
    </cfRule>
  </conditionalFormatting>
  <conditionalFormatting sqref="AV33">
    <cfRule type="expression" dxfId="5615" priority="1514">
      <formula>AV33="X"</formula>
    </cfRule>
    <cfRule type="expression" dxfId="5614" priority="1515">
      <formula>AV33="후보"</formula>
    </cfRule>
  </conditionalFormatting>
  <conditionalFormatting sqref="Z33">
    <cfRule type="colorScale" priority="1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5613" priority="1511" operator="greaterThan">
      <formula>0.9</formula>
    </cfRule>
    <cfRule type="cellIs" dxfId="5612" priority="1512" operator="greaterThan">
      <formula>0.85</formula>
    </cfRule>
  </conditionalFormatting>
  <conditionalFormatting sqref="N33">
    <cfRule type="cellIs" dxfId="5611" priority="1509" operator="greaterThan">
      <formula>0.9</formula>
    </cfRule>
    <cfRule type="cellIs" dxfId="5610" priority="1510" operator="greaterThan">
      <formula>0.85</formula>
    </cfRule>
  </conditionalFormatting>
  <conditionalFormatting sqref="E33">
    <cfRule type="expression" dxfId="5609" priority="1505">
      <formula>AND(IF(OR($Q33=1,$Q33=2),1,0),IF($X33&lt;=20,1,0))</formula>
    </cfRule>
    <cfRule type="expression" dxfId="5608" priority="1506">
      <formula>AND(IF($Q33=2,1,0),IF($X33&lt;30,1,0))</formula>
    </cfRule>
    <cfRule type="expression" dxfId="5607" priority="1507">
      <formula>AND(IF($Q33=3,1,0),IF($X33&lt;30,1,0))</formula>
    </cfRule>
    <cfRule type="expression" dxfId="5606" priority="1508">
      <formula>AND(IF($Q33=3,1,IF($Q33=4,1,0)),IF($F33&lt;=85,1,0))</formula>
    </cfRule>
  </conditionalFormatting>
  <conditionalFormatting sqref="X33">
    <cfRule type="expression" dxfId="5605" priority="1501">
      <formula>AND(IF(OR($Q33=1,$Q33=2),1,0),IF($X33&lt;=20,1,0))</formula>
    </cfRule>
    <cfRule type="expression" dxfId="5604" priority="1502">
      <formula>AND(IF($Q33=2,1,0),IF($X33&lt;30,1,0))</formula>
    </cfRule>
    <cfRule type="expression" dxfId="5603" priority="1503">
      <formula>AND(IF($Q33=3,1,0),IF($X33&lt;30,1,0))</formula>
    </cfRule>
    <cfRule type="expression" dxfId="5602" priority="1504">
      <formula>AND(IF($Q33=3,1,IF($Q33=4,1,0)),IF($F33&lt;=85,1,0))</formula>
    </cfRule>
  </conditionalFormatting>
  <conditionalFormatting sqref="AI33">
    <cfRule type="expression" dxfId="5601" priority="1497">
      <formula>AND(IF(OR($Q33=1,$Q33=2),1,0),IF($X33&lt;=20,1,0))</formula>
    </cfRule>
    <cfRule type="expression" dxfId="5600" priority="1498">
      <formula>AND(IF($Q33=2,1,0),IF($X33&lt;30,1,0))</formula>
    </cfRule>
    <cfRule type="expression" dxfId="5599" priority="1499">
      <formula>AND(IF($Q33=3,1,0),IF($X33&lt;30,1,0))</formula>
    </cfRule>
    <cfRule type="expression" dxfId="5598" priority="1500">
      <formula>AND(IF($Q33=3,1,IF($Q33=4,1,0)),IF($F33&lt;=85,1,0))</formula>
    </cfRule>
  </conditionalFormatting>
  <conditionalFormatting sqref="AV34">
    <cfRule type="expression" dxfId="5597" priority="1495">
      <formula>AV34="X"</formula>
    </cfRule>
    <cfRule type="expression" dxfId="5596" priority="1496">
      <formula>AV34="후보"</formula>
    </cfRule>
  </conditionalFormatting>
  <conditionalFormatting sqref="Z34">
    <cfRule type="colorScale" priority="1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5595" priority="1492" operator="greaterThan">
      <formula>0.9</formula>
    </cfRule>
    <cfRule type="cellIs" dxfId="5594" priority="1493" operator="greaterThan">
      <formula>0.85</formula>
    </cfRule>
  </conditionalFormatting>
  <conditionalFormatting sqref="N34">
    <cfRule type="cellIs" dxfId="5593" priority="1490" operator="greaterThan">
      <formula>0.9</formula>
    </cfRule>
    <cfRule type="cellIs" dxfId="5592" priority="1491" operator="greaterThan">
      <formula>0.85</formula>
    </cfRule>
  </conditionalFormatting>
  <conditionalFormatting sqref="E34">
    <cfRule type="expression" dxfId="5591" priority="1486">
      <formula>AND(IF(OR($Q34=1,$Q34=2),1,0),IF($X34&lt;=20,1,0))</formula>
    </cfRule>
    <cfRule type="expression" dxfId="5590" priority="1487">
      <formula>AND(IF($Q34=2,1,0),IF($X34&lt;30,1,0))</formula>
    </cfRule>
    <cfRule type="expression" dxfId="5589" priority="1488">
      <formula>AND(IF($Q34=3,1,0),IF($X34&lt;30,1,0))</formula>
    </cfRule>
    <cfRule type="expression" dxfId="5588" priority="1489">
      <formula>AND(IF($Q34=3,1,IF($Q34=4,1,0)),IF($F34&lt;=85,1,0))</formula>
    </cfRule>
  </conditionalFormatting>
  <conditionalFormatting sqref="X34">
    <cfRule type="expression" dxfId="5587" priority="1482">
      <formula>AND(IF(OR($Q34=1,$Q34=2),1,0),IF($X34&lt;=20,1,0))</formula>
    </cfRule>
    <cfRule type="expression" dxfId="5586" priority="1483">
      <formula>AND(IF($Q34=2,1,0),IF($X34&lt;30,1,0))</formula>
    </cfRule>
    <cfRule type="expression" dxfId="5585" priority="1484">
      <formula>AND(IF($Q34=3,1,0),IF($X34&lt;30,1,0))</formula>
    </cfRule>
    <cfRule type="expression" dxfId="5584" priority="1485">
      <formula>AND(IF($Q34=3,1,IF($Q34=4,1,0)),IF($F34&lt;=85,1,0))</formula>
    </cfRule>
  </conditionalFormatting>
  <conditionalFormatting sqref="AI34">
    <cfRule type="expression" dxfId="5583" priority="1478">
      <formula>AND(IF(OR($Q34=1,$Q34=2),1,0),IF($X34&lt;=20,1,0))</formula>
    </cfRule>
    <cfRule type="expression" dxfId="5582" priority="1479">
      <formula>AND(IF($Q34=2,1,0),IF($X34&lt;30,1,0))</formula>
    </cfRule>
    <cfRule type="expression" dxfId="5581" priority="1480">
      <formula>AND(IF($Q34=3,1,0),IF($X34&lt;30,1,0))</formula>
    </cfRule>
    <cfRule type="expression" dxfId="5580" priority="1481">
      <formula>AND(IF($Q34=3,1,IF($Q34=4,1,0)),IF($F34&lt;=85,1,0))</formula>
    </cfRule>
  </conditionalFormatting>
  <conditionalFormatting sqref="AV35">
    <cfRule type="expression" dxfId="5579" priority="1476">
      <formula>AV35="X"</formula>
    </cfRule>
    <cfRule type="expression" dxfId="5578" priority="1477">
      <formula>AV35="후보"</formula>
    </cfRule>
  </conditionalFormatting>
  <conditionalFormatting sqref="Z35">
    <cfRule type="colorScale" priority="1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5577" priority="1473" operator="greaterThan">
      <formula>0.9</formula>
    </cfRule>
    <cfRule type="cellIs" dxfId="5576" priority="1474" operator="greaterThan">
      <formula>0.85</formula>
    </cfRule>
  </conditionalFormatting>
  <conditionalFormatting sqref="N35">
    <cfRule type="cellIs" dxfId="5575" priority="1471" operator="greaterThan">
      <formula>0.9</formula>
    </cfRule>
    <cfRule type="cellIs" dxfId="5574" priority="1472" operator="greaterThan">
      <formula>0.85</formula>
    </cfRule>
  </conditionalFormatting>
  <conditionalFormatting sqref="E35">
    <cfRule type="expression" dxfId="5573" priority="1467">
      <formula>AND(IF(OR($Q35=1,$Q35=2),1,0),IF($X35&lt;=20,1,0))</formula>
    </cfRule>
    <cfRule type="expression" dxfId="5572" priority="1468">
      <formula>AND(IF($Q35=2,1,0),IF($X35&lt;30,1,0))</formula>
    </cfRule>
    <cfRule type="expression" dxfId="5571" priority="1469">
      <formula>AND(IF($Q35=3,1,0),IF($X35&lt;30,1,0))</formula>
    </cfRule>
    <cfRule type="expression" dxfId="5570" priority="1470">
      <formula>AND(IF($Q35=3,1,IF($Q35=4,1,0)),IF($F35&lt;=85,1,0))</formula>
    </cfRule>
  </conditionalFormatting>
  <conditionalFormatting sqref="X35">
    <cfRule type="expression" dxfId="5569" priority="1463">
      <formula>AND(IF(OR($Q35=1,$Q35=2),1,0),IF($X35&lt;=20,1,0))</formula>
    </cfRule>
    <cfRule type="expression" dxfId="5568" priority="1464">
      <formula>AND(IF($Q35=2,1,0),IF($X35&lt;30,1,0))</formula>
    </cfRule>
    <cfRule type="expression" dxfId="5567" priority="1465">
      <formula>AND(IF($Q35=3,1,0),IF($X35&lt;30,1,0))</formula>
    </cfRule>
    <cfRule type="expression" dxfId="5566" priority="1466">
      <formula>AND(IF($Q35=3,1,IF($Q35=4,1,0)),IF($F35&lt;=85,1,0))</formula>
    </cfRule>
  </conditionalFormatting>
  <conditionalFormatting sqref="AI35">
    <cfRule type="expression" dxfId="5565" priority="1459">
      <formula>AND(IF(OR($Q35=1,$Q35=2),1,0),IF($X35&lt;=20,1,0))</formula>
    </cfRule>
    <cfRule type="expression" dxfId="5564" priority="1460">
      <formula>AND(IF($Q35=2,1,0),IF($X35&lt;30,1,0))</formula>
    </cfRule>
    <cfRule type="expression" dxfId="5563" priority="1461">
      <formula>AND(IF($Q35=3,1,0),IF($X35&lt;30,1,0))</formula>
    </cfRule>
    <cfRule type="expression" dxfId="5562" priority="1462">
      <formula>AND(IF($Q35=3,1,IF($Q35=4,1,0)),IF($F35&lt;=85,1,0))</formula>
    </cfRule>
  </conditionalFormatting>
  <conditionalFormatting sqref="AV36">
    <cfRule type="expression" dxfId="5561" priority="1457">
      <formula>AV36="X"</formula>
    </cfRule>
    <cfRule type="expression" dxfId="5560" priority="1458">
      <formula>AV36="후보"</formula>
    </cfRule>
  </conditionalFormatting>
  <conditionalFormatting sqref="Z36">
    <cfRule type="colorScale" priority="14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5559" priority="1454" operator="greaterThan">
      <formula>0.9</formula>
    </cfRule>
    <cfRule type="cellIs" dxfId="5558" priority="1455" operator="greaterThan">
      <formula>0.85</formula>
    </cfRule>
  </conditionalFormatting>
  <conditionalFormatting sqref="AV37">
    <cfRule type="expression" dxfId="5557" priority="1452">
      <formula>AV37="X"</formula>
    </cfRule>
    <cfRule type="expression" dxfId="5556" priority="1453">
      <formula>AV37="후보"</formula>
    </cfRule>
  </conditionalFormatting>
  <conditionalFormatting sqref="Z37">
    <cfRule type="colorScale" priority="1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5555" priority="1449" operator="greaterThan">
      <formula>0.9</formula>
    </cfRule>
    <cfRule type="cellIs" dxfId="5554" priority="1450" operator="greaterThan">
      <formula>0.85</formula>
    </cfRule>
  </conditionalFormatting>
  <conditionalFormatting sqref="N37">
    <cfRule type="cellIs" dxfId="5553" priority="1447" operator="greaterThan">
      <formula>0.9</formula>
    </cfRule>
    <cfRule type="cellIs" dxfId="5552" priority="1448" operator="greaterThan">
      <formula>0.85</formula>
    </cfRule>
  </conditionalFormatting>
  <conditionalFormatting sqref="E37">
    <cfRule type="expression" dxfId="5551" priority="1443">
      <formula>AND(IF(OR($Q37=1,$Q37=2),1,0),IF($X37&lt;=20,1,0))</formula>
    </cfRule>
    <cfRule type="expression" dxfId="5550" priority="1444">
      <formula>AND(IF($Q37=2,1,0),IF($X37&lt;30,1,0))</formula>
    </cfRule>
    <cfRule type="expression" dxfId="5549" priority="1445">
      <formula>AND(IF($Q37=3,1,0),IF($X37&lt;30,1,0))</formula>
    </cfRule>
    <cfRule type="expression" dxfId="5548" priority="1446">
      <formula>AND(IF($Q37=3,1,IF($Q37=4,1,0)),IF($F37&lt;=85,1,0))</formula>
    </cfRule>
  </conditionalFormatting>
  <conditionalFormatting sqref="X37">
    <cfRule type="expression" dxfId="5547" priority="1439">
      <formula>AND(IF(OR($Q37=1,$Q37=2),1,0),IF($X37&lt;=20,1,0))</formula>
    </cfRule>
    <cfRule type="expression" dxfId="5546" priority="1440">
      <formula>AND(IF($Q37=2,1,0),IF($X37&lt;30,1,0))</formula>
    </cfRule>
    <cfRule type="expression" dxfId="5545" priority="1441">
      <formula>AND(IF($Q37=3,1,0),IF($X37&lt;30,1,0))</formula>
    </cfRule>
    <cfRule type="expression" dxfId="5544" priority="1442">
      <formula>AND(IF($Q37=3,1,IF($Q37=4,1,0)),IF($F37&lt;=85,1,0))</formula>
    </cfRule>
  </conditionalFormatting>
  <conditionalFormatting sqref="AI37">
    <cfRule type="expression" dxfId="5543" priority="1435">
      <formula>AND(IF(OR($Q37=1,$Q37=2),1,0),IF($X37&lt;=20,1,0))</formula>
    </cfRule>
    <cfRule type="expression" dxfId="5542" priority="1436">
      <formula>AND(IF($Q37=2,1,0),IF($X37&lt;30,1,0))</formula>
    </cfRule>
    <cfRule type="expression" dxfId="5541" priority="1437">
      <formula>AND(IF($Q37=3,1,0),IF($X37&lt;30,1,0))</formula>
    </cfRule>
    <cfRule type="expression" dxfId="5540" priority="1438">
      <formula>AND(IF($Q37=3,1,IF($Q37=4,1,0)),IF($F37&lt;=85,1,0))</formula>
    </cfRule>
  </conditionalFormatting>
  <conditionalFormatting sqref="AV38">
    <cfRule type="expression" dxfId="5539" priority="1433">
      <formula>AV38="X"</formula>
    </cfRule>
    <cfRule type="expression" dxfId="5538" priority="1434">
      <formula>AV38="후보"</formula>
    </cfRule>
  </conditionalFormatting>
  <conditionalFormatting sqref="Z38">
    <cfRule type="colorScale" priority="1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5537" priority="1430" operator="greaterThan">
      <formula>0.9</formula>
    </cfRule>
    <cfRule type="cellIs" dxfId="5536" priority="1431" operator="greaterThan">
      <formula>0.85</formula>
    </cfRule>
  </conditionalFormatting>
  <conditionalFormatting sqref="N38">
    <cfRule type="cellIs" dxfId="5535" priority="1428" operator="greaterThan">
      <formula>0.9</formula>
    </cfRule>
    <cfRule type="cellIs" dxfId="5534" priority="1429" operator="greaterThan">
      <formula>0.85</formula>
    </cfRule>
  </conditionalFormatting>
  <conditionalFormatting sqref="E38">
    <cfRule type="expression" dxfId="5533" priority="1424">
      <formula>AND(IF(OR($Q38=1,$Q38=2),1,0),IF($X38&lt;=20,1,0))</formula>
    </cfRule>
    <cfRule type="expression" dxfId="5532" priority="1425">
      <formula>AND(IF($Q38=2,1,0),IF($X38&lt;30,1,0))</formula>
    </cfRule>
    <cfRule type="expression" dxfId="5531" priority="1426">
      <formula>AND(IF($Q38=3,1,0),IF($X38&lt;30,1,0))</formula>
    </cfRule>
    <cfRule type="expression" dxfId="5530" priority="1427">
      <formula>AND(IF($Q38=3,1,IF($Q38=4,1,0)),IF($F38&lt;=85,1,0))</formula>
    </cfRule>
  </conditionalFormatting>
  <conditionalFormatting sqref="X38">
    <cfRule type="expression" dxfId="5529" priority="1420">
      <formula>AND(IF(OR($Q38=1,$Q38=2),1,0),IF($X38&lt;=20,1,0))</formula>
    </cfRule>
    <cfRule type="expression" dxfId="5528" priority="1421">
      <formula>AND(IF($Q38=2,1,0),IF($X38&lt;30,1,0))</formula>
    </cfRule>
    <cfRule type="expression" dxfId="5527" priority="1422">
      <formula>AND(IF($Q38=3,1,0),IF($X38&lt;30,1,0))</formula>
    </cfRule>
    <cfRule type="expression" dxfId="5526" priority="1423">
      <formula>AND(IF($Q38=3,1,IF($Q38=4,1,0)),IF($F38&lt;=85,1,0))</formula>
    </cfRule>
  </conditionalFormatting>
  <conditionalFormatting sqref="AI38">
    <cfRule type="expression" dxfId="5525" priority="1416">
      <formula>AND(IF(OR($Q38=1,$Q38=2),1,0),IF($X38&lt;=20,1,0))</formula>
    </cfRule>
    <cfRule type="expression" dxfId="5524" priority="1417">
      <formula>AND(IF($Q38=2,1,0),IF($X38&lt;30,1,0))</formula>
    </cfRule>
    <cfRule type="expression" dxfId="5523" priority="1418">
      <formula>AND(IF($Q38=3,1,0),IF($X38&lt;30,1,0))</formula>
    </cfRule>
    <cfRule type="expression" dxfId="5522" priority="1419">
      <formula>AND(IF($Q38=3,1,IF($Q38=4,1,0)),IF($F38&lt;=85,1,0))</formula>
    </cfRule>
  </conditionalFormatting>
  <conditionalFormatting sqref="AV39">
    <cfRule type="expression" dxfId="5521" priority="1414">
      <formula>AV39="X"</formula>
    </cfRule>
    <cfRule type="expression" dxfId="5520" priority="1415">
      <formula>AV39="후보"</formula>
    </cfRule>
  </conditionalFormatting>
  <conditionalFormatting sqref="Z39">
    <cfRule type="colorScale" priority="1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5519" priority="1411" operator="greaterThan">
      <formula>0.9</formula>
    </cfRule>
    <cfRule type="cellIs" dxfId="5518" priority="1412" operator="greaterThan">
      <formula>0.85</formula>
    </cfRule>
  </conditionalFormatting>
  <conditionalFormatting sqref="N39">
    <cfRule type="cellIs" dxfId="5517" priority="1409" operator="greaterThan">
      <formula>0.9</formula>
    </cfRule>
    <cfRule type="cellIs" dxfId="5516" priority="1410" operator="greaterThan">
      <formula>0.85</formula>
    </cfRule>
  </conditionalFormatting>
  <conditionalFormatting sqref="E39">
    <cfRule type="expression" dxfId="5515" priority="1405">
      <formula>AND(IF(OR($Q39=1,$Q39=2),1,0),IF($X39&lt;=20,1,0))</formula>
    </cfRule>
    <cfRule type="expression" dxfId="5514" priority="1406">
      <formula>AND(IF($Q39=2,1,0),IF($X39&lt;30,1,0))</formula>
    </cfRule>
    <cfRule type="expression" dxfId="5513" priority="1407">
      <formula>AND(IF($Q39=3,1,0),IF($X39&lt;30,1,0))</formula>
    </cfRule>
    <cfRule type="expression" dxfId="5512" priority="1408">
      <formula>AND(IF($Q39=3,1,IF($Q39=4,1,0)),IF($F39&lt;=85,1,0))</formula>
    </cfRule>
  </conditionalFormatting>
  <conditionalFormatting sqref="X39">
    <cfRule type="expression" dxfId="5511" priority="1401">
      <formula>AND(IF(OR($Q39=1,$Q39=2),1,0),IF($X39&lt;=20,1,0))</formula>
    </cfRule>
    <cfRule type="expression" dxfId="5510" priority="1402">
      <formula>AND(IF($Q39=2,1,0),IF($X39&lt;30,1,0))</formula>
    </cfRule>
    <cfRule type="expression" dxfId="5509" priority="1403">
      <formula>AND(IF($Q39=3,1,0),IF($X39&lt;30,1,0))</formula>
    </cfRule>
    <cfRule type="expression" dxfId="5508" priority="1404">
      <formula>AND(IF($Q39=3,1,IF($Q39=4,1,0)),IF($F39&lt;=85,1,0))</formula>
    </cfRule>
  </conditionalFormatting>
  <conditionalFormatting sqref="AI39">
    <cfRule type="expression" dxfId="5507" priority="1397">
      <formula>AND(IF(OR($Q39=1,$Q39=2),1,0),IF($X39&lt;=20,1,0))</formula>
    </cfRule>
    <cfRule type="expression" dxfId="5506" priority="1398">
      <formula>AND(IF($Q39=2,1,0),IF($X39&lt;30,1,0))</formula>
    </cfRule>
    <cfRule type="expression" dxfId="5505" priority="1399">
      <formula>AND(IF($Q39=3,1,0),IF($X39&lt;30,1,0))</formula>
    </cfRule>
    <cfRule type="expression" dxfId="5504" priority="1400">
      <formula>AND(IF($Q39=3,1,IF($Q39=4,1,0)),IF($F39&lt;=85,1,0))</formula>
    </cfRule>
  </conditionalFormatting>
  <conditionalFormatting sqref="AV40">
    <cfRule type="expression" dxfId="5503" priority="1395">
      <formula>AV40="X"</formula>
    </cfRule>
    <cfRule type="expression" dxfId="5502" priority="1396">
      <formula>AV40="후보"</formula>
    </cfRule>
  </conditionalFormatting>
  <conditionalFormatting sqref="Z40">
    <cfRule type="colorScale" priority="1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5501" priority="1392" operator="greaterThan">
      <formula>0.9</formula>
    </cfRule>
    <cfRule type="cellIs" dxfId="5500" priority="1393" operator="greaterThan">
      <formula>0.85</formula>
    </cfRule>
  </conditionalFormatting>
  <conditionalFormatting sqref="AV41">
    <cfRule type="expression" dxfId="5499" priority="1390">
      <formula>AV41="X"</formula>
    </cfRule>
    <cfRule type="expression" dxfId="5498" priority="1391">
      <formula>AV41="후보"</formula>
    </cfRule>
  </conditionalFormatting>
  <conditionalFormatting sqref="Z41">
    <cfRule type="colorScale" priority="1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5497" priority="1387" operator="greaterThan">
      <formula>0.9</formula>
    </cfRule>
    <cfRule type="cellIs" dxfId="5496" priority="1388" operator="greaterThan">
      <formula>0.85</formula>
    </cfRule>
  </conditionalFormatting>
  <conditionalFormatting sqref="N41">
    <cfRule type="cellIs" dxfId="5495" priority="1385" operator="greaterThan">
      <formula>0.9</formula>
    </cfRule>
    <cfRule type="cellIs" dxfId="5494" priority="1386" operator="greaterThan">
      <formula>0.85</formula>
    </cfRule>
  </conditionalFormatting>
  <conditionalFormatting sqref="E41">
    <cfRule type="expression" dxfId="5493" priority="1381">
      <formula>AND(IF(OR($Q41=1,$Q41=2),1,0),IF($X41&lt;=20,1,0))</formula>
    </cfRule>
    <cfRule type="expression" dxfId="5492" priority="1382">
      <formula>AND(IF($Q41=2,1,0),IF($X41&lt;30,1,0))</formula>
    </cfRule>
    <cfRule type="expression" dxfId="5491" priority="1383">
      <formula>AND(IF($Q41=3,1,0),IF($X41&lt;30,1,0))</formula>
    </cfRule>
    <cfRule type="expression" dxfId="5490" priority="1384">
      <formula>AND(IF($Q41=3,1,IF($Q41=4,1,0)),IF($F41&lt;=85,1,0))</formula>
    </cfRule>
  </conditionalFormatting>
  <conditionalFormatting sqref="X41">
    <cfRule type="expression" dxfId="5489" priority="1377">
      <formula>AND(IF(OR($Q41=1,$Q41=2),1,0),IF($X41&lt;=20,1,0))</formula>
    </cfRule>
    <cfRule type="expression" dxfId="5488" priority="1378">
      <formula>AND(IF($Q41=2,1,0),IF($X41&lt;30,1,0))</formula>
    </cfRule>
    <cfRule type="expression" dxfId="5487" priority="1379">
      <formula>AND(IF($Q41=3,1,0),IF($X41&lt;30,1,0))</formula>
    </cfRule>
    <cfRule type="expression" dxfId="5486" priority="1380">
      <formula>AND(IF($Q41=3,1,IF($Q41=4,1,0)),IF($F41&lt;=85,1,0))</formula>
    </cfRule>
  </conditionalFormatting>
  <conditionalFormatting sqref="AI41">
    <cfRule type="expression" dxfId="5485" priority="1373">
      <formula>AND(IF(OR($Q41=1,$Q41=2),1,0),IF($X41&lt;=20,1,0))</formula>
    </cfRule>
    <cfRule type="expression" dxfId="5484" priority="1374">
      <formula>AND(IF($Q41=2,1,0),IF($X41&lt;30,1,0))</formula>
    </cfRule>
    <cfRule type="expression" dxfId="5483" priority="1375">
      <formula>AND(IF($Q41=3,1,0),IF($X41&lt;30,1,0))</formula>
    </cfRule>
    <cfRule type="expression" dxfId="5482" priority="1376">
      <formula>AND(IF($Q41=3,1,IF($Q41=4,1,0)),IF($F41&lt;=85,1,0))</formula>
    </cfRule>
  </conditionalFormatting>
  <conditionalFormatting sqref="AV42">
    <cfRule type="expression" dxfId="5481" priority="1371">
      <formula>AV42="X"</formula>
    </cfRule>
    <cfRule type="expression" dxfId="5480" priority="1372">
      <formula>AV42="후보"</formula>
    </cfRule>
  </conditionalFormatting>
  <conditionalFormatting sqref="Z42">
    <cfRule type="colorScale" priority="1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5479" priority="1368" operator="greaterThan">
      <formula>0.9</formula>
    </cfRule>
    <cfRule type="cellIs" dxfId="5478" priority="1369" operator="greaterThan">
      <formula>0.85</formula>
    </cfRule>
  </conditionalFormatting>
  <conditionalFormatting sqref="N42">
    <cfRule type="cellIs" dxfId="5477" priority="1366" operator="greaterThan">
      <formula>0.9</formula>
    </cfRule>
    <cfRule type="cellIs" dxfId="5476" priority="1367" operator="greaterThan">
      <formula>0.85</formula>
    </cfRule>
  </conditionalFormatting>
  <conditionalFormatting sqref="E42">
    <cfRule type="expression" dxfId="5475" priority="1362">
      <formula>AND(IF(OR($Q42=1,$Q42=2),1,0),IF($X42&lt;=20,1,0))</formula>
    </cfRule>
    <cfRule type="expression" dxfId="5474" priority="1363">
      <formula>AND(IF($Q42=2,1,0),IF($X42&lt;30,1,0))</formula>
    </cfRule>
    <cfRule type="expression" dxfId="5473" priority="1364">
      <formula>AND(IF($Q42=3,1,0),IF($X42&lt;30,1,0))</formula>
    </cfRule>
    <cfRule type="expression" dxfId="5472" priority="1365">
      <formula>AND(IF($Q42=3,1,IF($Q42=4,1,0)),IF($F42&lt;=85,1,0))</formula>
    </cfRule>
  </conditionalFormatting>
  <conditionalFormatting sqref="X42">
    <cfRule type="expression" dxfId="5471" priority="1358">
      <formula>AND(IF(OR($Q42=1,$Q42=2),1,0),IF($X42&lt;=20,1,0))</formula>
    </cfRule>
    <cfRule type="expression" dxfId="5470" priority="1359">
      <formula>AND(IF($Q42=2,1,0),IF($X42&lt;30,1,0))</formula>
    </cfRule>
    <cfRule type="expression" dxfId="5469" priority="1360">
      <formula>AND(IF($Q42=3,1,0),IF($X42&lt;30,1,0))</formula>
    </cfRule>
    <cfRule type="expression" dxfId="5468" priority="1361">
      <formula>AND(IF($Q42=3,1,IF($Q42=4,1,0)),IF($F42&lt;=85,1,0))</formula>
    </cfRule>
  </conditionalFormatting>
  <conditionalFormatting sqref="AI42">
    <cfRule type="expression" dxfId="5467" priority="1354">
      <formula>AND(IF(OR($Q42=1,$Q42=2),1,0),IF($X42&lt;=20,1,0))</formula>
    </cfRule>
    <cfRule type="expression" dxfId="5466" priority="1355">
      <formula>AND(IF($Q42=2,1,0),IF($X42&lt;30,1,0))</formula>
    </cfRule>
    <cfRule type="expression" dxfId="5465" priority="1356">
      <formula>AND(IF($Q42=3,1,0),IF($X42&lt;30,1,0))</formula>
    </cfRule>
    <cfRule type="expression" dxfId="5464" priority="1357">
      <formula>AND(IF($Q42=3,1,IF($Q42=4,1,0)),IF($F42&lt;=85,1,0))</formula>
    </cfRule>
  </conditionalFormatting>
  <conditionalFormatting sqref="AV43">
    <cfRule type="expression" dxfId="5463" priority="1352">
      <formula>AV43="X"</formula>
    </cfRule>
    <cfRule type="expression" dxfId="5462" priority="1353">
      <formula>AV43="후보"</formula>
    </cfRule>
  </conditionalFormatting>
  <conditionalFormatting sqref="Z43">
    <cfRule type="colorScale" priority="1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5461" priority="1349" operator="greaterThan">
      <formula>0.9</formula>
    </cfRule>
    <cfRule type="cellIs" dxfId="5460" priority="1350" operator="greaterThan">
      <formula>0.85</formula>
    </cfRule>
  </conditionalFormatting>
  <conditionalFormatting sqref="N43">
    <cfRule type="cellIs" dxfId="5459" priority="1347" operator="greaterThan">
      <formula>0.9</formula>
    </cfRule>
    <cfRule type="cellIs" dxfId="5458" priority="1348" operator="greaterThan">
      <formula>0.85</formula>
    </cfRule>
  </conditionalFormatting>
  <conditionalFormatting sqref="E43">
    <cfRule type="expression" dxfId="5457" priority="1343">
      <formula>AND(IF(OR($Q43=1,$Q43=2),1,0),IF($X43&lt;=20,1,0))</formula>
    </cfRule>
    <cfRule type="expression" dxfId="5456" priority="1344">
      <formula>AND(IF($Q43=2,1,0),IF($X43&lt;30,1,0))</formula>
    </cfRule>
    <cfRule type="expression" dxfId="5455" priority="1345">
      <formula>AND(IF($Q43=3,1,0),IF($X43&lt;30,1,0))</formula>
    </cfRule>
    <cfRule type="expression" dxfId="5454" priority="1346">
      <formula>AND(IF($Q43=3,1,IF($Q43=4,1,0)),IF($F43&lt;=85,1,0))</formula>
    </cfRule>
  </conditionalFormatting>
  <conditionalFormatting sqref="X43">
    <cfRule type="expression" dxfId="5453" priority="1339">
      <formula>AND(IF(OR($Q43=1,$Q43=2),1,0),IF($X43&lt;=20,1,0))</formula>
    </cfRule>
    <cfRule type="expression" dxfId="5452" priority="1340">
      <formula>AND(IF($Q43=2,1,0),IF($X43&lt;30,1,0))</formula>
    </cfRule>
    <cfRule type="expression" dxfId="5451" priority="1341">
      <formula>AND(IF($Q43=3,1,0),IF($X43&lt;30,1,0))</formula>
    </cfRule>
    <cfRule type="expression" dxfId="5450" priority="1342">
      <formula>AND(IF($Q43=3,1,IF($Q43=4,1,0)),IF($F43&lt;=85,1,0))</formula>
    </cfRule>
  </conditionalFormatting>
  <conditionalFormatting sqref="AI43">
    <cfRule type="expression" dxfId="5449" priority="1335">
      <formula>AND(IF(OR($Q43=1,$Q43=2),1,0),IF($X43&lt;=20,1,0))</formula>
    </cfRule>
    <cfRule type="expression" dxfId="5448" priority="1336">
      <formula>AND(IF($Q43=2,1,0),IF($X43&lt;30,1,0))</formula>
    </cfRule>
    <cfRule type="expression" dxfId="5447" priority="1337">
      <formula>AND(IF($Q43=3,1,0),IF($X43&lt;30,1,0))</formula>
    </cfRule>
    <cfRule type="expression" dxfId="5446" priority="1338">
      <formula>AND(IF($Q43=3,1,IF($Q43=4,1,0)),IF($F43&lt;=85,1,0))</formula>
    </cfRule>
  </conditionalFormatting>
  <conditionalFormatting sqref="AV44">
    <cfRule type="expression" dxfId="5445" priority="1333">
      <formula>AV44="X"</formula>
    </cfRule>
    <cfRule type="expression" dxfId="5444" priority="1334">
      <formula>AV44="후보"</formula>
    </cfRule>
  </conditionalFormatting>
  <conditionalFormatting sqref="Z44">
    <cfRule type="colorScale" priority="1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5443" priority="1330" operator="greaterThan">
      <formula>0.9</formula>
    </cfRule>
    <cfRule type="cellIs" dxfId="5442" priority="1331" operator="greaterThan">
      <formula>0.85</formula>
    </cfRule>
  </conditionalFormatting>
  <conditionalFormatting sqref="AV45">
    <cfRule type="expression" dxfId="5441" priority="1328">
      <formula>AV45="X"</formula>
    </cfRule>
    <cfRule type="expression" dxfId="5440" priority="1329">
      <formula>AV45="후보"</formula>
    </cfRule>
  </conditionalFormatting>
  <conditionalFormatting sqref="Z45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5439" priority="1325" operator="greaterThan">
      <formula>0.9</formula>
    </cfRule>
    <cfRule type="cellIs" dxfId="5438" priority="1326" operator="greaterThan">
      <formula>0.85</formula>
    </cfRule>
  </conditionalFormatting>
  <conditionalFormatting sqref="N45">
    <cfRule type="cellIs" dxfId="5437" priority="1323" operator="greaterThan">
      <formula>0.9</formula>
    </cfRule>
    <cfRule type="cellIs" dxfId="5436" priority="1324" operator="greaterThan">
      <formula>0.85</formula>
    </cfRule>
  </conditionalFormatting>
  <conditionalFormatting sqref="E45">
    <cfRule type="expression" dxfId="5435" priority="1319">
      <formula>AND(IF(OR($Q45=1,$Q45=2),1,0),IF($X45&lt;=20,1,0))</formula>
    </cfRule>
    <cfRule type="expression" dxfId="5434" priority="1320">
      <formula>AND(IF($Q45=2,1,0),IF($X45&lt;30,1,0))</formula>
    </cfRule>
    <cfRule type="expression" dxfId="5433" priority="1321">
      <formula>AND(IF($Q45=3,1,0),IF($X45&lt;30,1,0))</formula>
    </cfRule>
    <cfRule type="expression" dxfId="5432" priority="1322">
      <formula>AND(IF($Q45=3,1,IF($Q45=4,1,0)),IF($F45&lt;=85,1,0))</formula>
    </cfRule>
  </conditionalFormatting>
  <conditionalFormatting sqref="X45">
    <cfRule type="expression" dxfId="5431" priority="1315">
      <formula>AND(IF(OR($Q45=1,$Q45=2),1,0),IF($X45&lt;=20,1,0))</formula>
    </cfRule>
    <cfRule type="expression" dxfId="5430" priority="1316">
      <formula>AND(IF($Q45=2,1,0),IF($X45&lt;30,1,0))</formula>
    </cfRule>
    <cfRule type="expression" dxfId="5429" priority="1317">
      <formula>AND(IF($Q45=3,1,0),IF($X45&lt;30,1,0))</formula>
    </cfRule>
    <cfRule type="expression" dxfId="5428" priority="1318">
      <formula>AND(IF($Q45=3,1,IF($Q45=4,1,0)),IF($F45&lt;=85,1,0))</formula>
    </cfRule>
  </conditionalFormatting>
  <conditionalFormatting sqref="AI45">
    <cfRule type="expression" dxfId="5427" priority="1311">
      <formula>AND(IF(OR($Q45=1,$Q45=2),1,0),IF($X45&lt;=20,1,0))</formula>
    </cfRule>
    <cfRule type="expression" dxfId="5426" priority="1312">
      <formula>AND(IF($Q45=2,1,0),IF($X45&lt;30,1,0))</formula>
    </cfRule>
    <cfRule type="expression" dxfId="5425" priority="1313">
      <formula>AND(IF($Q45=3,1,0),IF($X45&lt;30,1,0))</formula>
    </cfRule>
    <cfRule type="expression" dxfId="5424" priority="1314">
      <formula>AND(IF($Q45=3,1,IF($Q45=4,1,0)),IF($F45&lt;=85,1,0))</formula>
    </cfRule>
  </conditionalFormatting>
  <conditionalFormatting sqref="AV46">
    <cfRule type="expression" dxfId="5423" priority="1309">
      <formula>AV46="X"</formula>
    </cfRule>
    <cfRule type="expression" dxfId="5422" priority="1310">
      <formula>AV46="후보"</formula>
    </cfRule>
  </conditionalFormatting>
  <conditionalFormatting sqref="Z46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5421" priority="1306" operator="greaterThan">
      <formula>0.9</formula>
    </cfRule>
    <cfRule type="cellIs" dxfId="5420" priority="1307" operator="greaterThan">
      <formula>0.85</formula>
    </cfRule>
  </conditionalFormatting>
  <conditionalFormatting sqref="N46">
    <cfRule type="cellIs" dxfId="5419" priority="1304" operator="greaterThan">
      <formula>0.9</formula>
    </cfRule>
    <cfRule type="cellIs" dxfId="5418" priority="1305" operator="greaterThan">
      <formula>0.85</formula>
    </cfRule>
  </conditionalFormatting>
  <conditionalFormatting sqref="E46">
    <cfRule type="expression" dxfId="5417" priority="1300">
      <formula>AND(IF(OR($Q46=1,$Q46=2),1,0),IF($X46&lt;=20,1,0))</formula>
    </cfRule>
    <cfRule type="expression" dxfId="5416" priority="1301">
      <formula>AND(IF($Q46=2,1,0),IF($X46&lt;30,1,0))</formula>
    </cfRule>
    <cfRule type="expression" dxfId="5415" priority="1302">
      <formula>AND(IF($Q46=3,1,0),IF($X46&lt;30,1,0))</formula>
    </cfRule>
    <cfRule type="expression" dxfId="5414" priority="1303">
      <formula>AND(IF($Q46=3,1,IF($Q46=4,1,0)),IF($F46&lt;=85,1,0))</formula>
    </cfRule>
  </conditionalFormatting>
  <conditionalFormatting sqref="X46">
    <cfRule type="expression" dxfId="5413" priority="1296">
      <formula>AND(IF(OR($Q46=1,$Q46=2),1,0),IF($X46&lt;=20,1,0))</formula>
    </cfRule>
    <cfRule type="expression" dxfId="5412" priority="1297">
      <formula>AND(IF($Q46=2,1,0),IF($X46&lt;30,1,0))</formula>
    </cfRule>
    <cfRule type="expression" dxfId="5411" priority="1298">
      <formula>AND(IF($Q46=3,1,0),IF($X46&lt;30,1,0))</formula>
    </cfRule>
    <cfRule type="expression" dxfId="5410" priority="1299">
      <formula>AND(IF($Q46=3,1,IF($Q46=4,1,0)),IF($F46&lt;=85,1,0))</formula>
    </cfRule>
  </conditionalFormatting>
  <conditionalFormatting sqref="AI46">
    <cfRule type="expression" dxfId="5409" priority="1292">
      <formula>AND(IF(OR($Q46=1,$Q46=2),1,0),IF($X46&lt;=20,1,0))</formula>
    </cfRule>
    <cfRule type="expression" dxfId="5408" priority="1293">
      <formula>AND(IF($Q46=2,1,0),IF($X46&lt;30,1,0))</formula>
    </cfRule>
    <cfRule type="expression" dxfId="5407" priority="1294">
      <formula>AND(IF($Q46=3,1,0),IF($X46&lt;30,1,0))</formula>
    </cfRule>
    <cfRule type="expression" dxfId="5406" priority="1295">
      <formula>AND(IF($Q46=3,1,IF($Q46=4,1,0)),IF($F46&lt;=85,1,0))</formula>
    </cfRule>
  </conditionalFormatting>
  <conditionalFormatting sqref="AV47">
    <cfRule type="expression" dxfId="5405" priority="1290">
      <formula>AV47="X"</formula>
    </cfRule>
    <cfRule type="expression" dxfId="5404" priority="1291">
      <formula>AV47="후보"</formula>
    </cfRule>
  </conditionalFormatting>
  <conditionalFormatting sqref="Z47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5403" priority="1287" operator="greaterThan">
      <formula>0.9</formula>
    </cfRule>
    <cfRule type="cellIs" dxfId="5402" priority="1288" operator="greaterThan">
      <formula>0.85</formula>
    </cfRule>
  </conditionalFormatting>
  <conditionalFormatting sqref="N47">
    <cfRule type="cellIs" dxfId="5401" priority="1285" operator="greaterThan">
      <formula>0.9</formula>
    </cfRule>
    <cfRule type="cellIs" dxfId="5400" priority="1286" operator="greaterThan">
      <formula>0.85</formula>
    </cfRule>
  </conditionalFormatting>
  <conditionalFormatting sqref="E47">
    <cfRule type="expression" dxfId="5399" priority="1281">
      <formula>AND(IF(OR($Q47=1,$Q47=2),1,0),IF($X47&lt;=20,1,0))</formula>
    </cfRule>
    <cfRule type="expression" dxfId="5398" priority="1282">
      <formula>AND(IF($Q47=2,1,0),IF($X47&lt;30,1,0))</formula>
    </cfRule>
    <cfRule type="expression" dxfId="5397" priority="1283">
      <formula>AND(IF($Q47=3,1,0),IF($X47&lt;30,1,0))</formula>
    </cfRule>
    <cfRule type="expression" dxfId="5396" priority="1284">
      <formula>AND(IF($Q47=3,1,IF($Q47=4,1,0)),IF($F47&lt;=85,1,0))</formula>
    </cfRule>
  </conditionalFormatting>
  <conditionalFormatting sqref="X47">
    <cfRule type="expression" dxfId="5395" priority="1277">
      <formula>AND(IF(OR($Q47=1,$Q47=2),1,0),IF($X47&lt;=20,1,0))</formula>
    </cfRule>
    <cfRule type="expression" dxfId="5394" priority="1278">
      <formula>AND(IF($Q47=2,1,0),IF($X47&lt;30,1,0))</formula>
    </cfRule>
    <cfRule type="expression" dxfId="5393" priority="1279">
      <formula>AND(IF($Q47=3,1,0),IF($X47&lt;30,1,0))</formula>
    </cfRule>
    <cfRule type="expression" dxfId="5392" priority="1280">
      <formula>AND(IF($Q47=3,1,IF($Q47=4,1,0)),IF($F47&lt;=85,1,0))</formula>
    </cfRule>
  </conditionalFormatting>
  <conditionalFormatting sqref="AI47">
    <cfRule type="expression" dxfId="5391" priority="1273">
      <formula>AND(IF(OR($Q47=1,$Q47=2),1,0),IF($X47&lt;=20,1,0))</formula>
    </cfRule>
    <cfRule type="expression" dxfId="5390" priority="1274">
      <formula>AND(IF($Q47=2,1,0),IF($X47&lt;30,1,0))</formula>
    </cfRule>
    <cfRule type="expression" dxfId="5389" priority="1275">
      <formula>AND(IF($Q47=3,1,0),IF($X47&lt;30,1,0))</formula>
    </cfRule>
    <cfRule type="expression" dxfId="5388" priority="1276">
      <formula>AND(IF($Q47=3,1,IF($Q47=4,1,0)),IF($F47&lt;=85,1,0))</formula>
    </cfRule>
  </conditionalFormatting>
  <conditionalFormatting sqref="AV48">
    <cfRule type="expression" dxfId="5387" priority="1271">
      <formula>AV48="X"</formula>
    </cfRule>
    <cfRule type="expression" dxfId="5386" priority="1272">
      <formula>AV48="후보"</formula>
    </cfRule>
  </conditionalFormatting>
  <conditionalFormatting sqref="Z48">
    <cfRule type="colorScale" priority="1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5385" priority="1268" operator="greaterThan">
      <formula>0.9</formula>
    </cfRule>
    <cfRule type="cellIs" dxfId="5384" priority="1269" operator="greaterThan">
      <formula>0.85</formula>
    </cfRule>
  </conditionalFormatting>
  <conditionalFormatting sqref="N48">
    <cfRule type="cellIs" dxfId="5383" priority="1266" operator="greaterThan">
      <formula>0.9</formula>
    </cfRule>
    <cfRule type="cellIs" dxfId="5382" priority="1267" operator="greaterThan">
      <formula>0.85</formula>
    </cfRule>
  </conditionalFormatting>
  <conditionalFormatting sqref="E48">
    <cfRule type="expression" dxfId="5381" priority="1262">
      <formula>AND(IF(OR($Q48=1,$Q48=2),1,0),IF($X48&lt;=20,1,0))</formula>
    </cfRule>
    <cfRule type="expression" dxfId="5380" priority="1263">
      <formula>AND(IF($Q48=2,1,0),IF($X48&lt;30,1,0))</formula>
    </cfRule>
    <cfRule type="expression" dxfId="5379" priority="1264">
      <formula>AND(IF($Q48=3,1,0),IF($X48&lt;30,1,0))</formula>
    </cfRule>
    <cfRule type="expression" dxfId="5378" priority="1265">
      <formula>AND(IF($Q48=3,1,IF($Q48=4,1,0)),IF($F48&lt;=85,1,0))</formula>
    </cfRule>
  </conditionalFormatting>
  <conditionalFormatting sqref="X48">
    <cfRule type="expression" dxfId="5377" priority="1258">
      <formula>AND(IF(OR($Q48=1,$Q48=2),1,0),IF($X48&lt;=20,1,0))</formula>
    </cfRule>
    <cfRule type="expression" dxfId="5376" priority="1259">
      <formula>AND(IF($Q48=2,1,0),IF($X48&lt;30,1,0))</formula>
    </cfRule>
    <cfRule type="expression" dxfId="5375" priority="1260">
      <formula>AND(IF($Q48=3,1,0),IF($X48&lt;30,1,0))</formula>
    </cfRule>
    <cfRule type="expression" dxfId="5374" priority="1261">
      <formula>AND(IF($Q48=3,1,IF($Q48=4,1,0)),IF($F48&lt;=85,1,0))</formula>
    </cfRule>
  </conditionalFormatting>
  <conditionalFormatting sqref="AI48">
    <cfRule type="expression" dxfId="5373" priority="1254">
      <formula>AND(IF(OR($Q48=1,$Q48=2),1,0),IF($X48&lt;=20,1,0))</formula>
    </cfRule>
    <cfRule type="expression" dxfId="5372" priority="1255">
      <formula>AND(IF($Q48=2,1,0),IF($X48&lt;30,1,0))</formula>
    </cfRule>
    <cfRule type="expression" dxfId="5371" priority="1256">
      <formula>AND(IF($Q48=3,1,0),IF($X48&lt;30,1,0))</formula>
    </cfRule>
    <cfRule type="expression" dxfId="5370" priority="1257">
      <formula>AND(IF($Q48=3,1,IF($Q48=4,1,0)),IF($F48&lt;=85,1,0))</formula>
    </cfRule>
  </conditionalFormatting>
  <conditionalFormatting sqref="AV49">
    <cfRule type="expression" dxfId="5369" priority="1252">
      <formula>AV49="X"</formula>
    </cfRule>
    <cfRule type="expression" dxfId="5368" priority="1253">
      <formula>AV49="후보"</formula>
    </cfRule>
  </conditionalFormatting>
  <conditionalFormatting sqref="Z49">
    <cfRule type="colorScale" priority="1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5367" priority="1249" operator="greaterThan">
      <formula>0.9</formula>
    </cfRule>
    <cfRule type="cellIs" dxfId="5366" priority="1250" operator="greaterThan">
      <formula>0.85</formula>
    </cfRule>
  </conditionalFormatting>
  <conditionalFormatting sqref="AV50">
    <cfRule type="expression" dxfId="5365" priority="1247">
      <formula>AV50="X"</formula>
    </cfRule>
    <cfRule type="expression" dxfId="5364" priority="1248">
      <formula>AV50="후보"</formula>
    </cfRule>
  </conditionalFormatting>
  <conditionalFormatting sqref="Z50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5363" priority="1244" operator="greaterThan">
      <formula>0.9</formula>
    </cfRule>
    <cfRule type="cellIs" dxfId="5362" priority="1245" operator="greaterThan">
      <formula>0.85</formula>
    </cfRule>
  </conditionalFormatting>
  <conditionalFormatting sqref="N50">
    <cfRule type="cellIs" dxfId="5361" priority="1242" operator="greaterThan">
      <formula>0.9</formula>
    </cfRule>
    <cfRule type="cellIs" dxfId="5360" priority="1243" operator="greaterThan">
      <formula>0.85</formula>
    </cfRule>
  </conditionalFormatting>
  <conditionalFormatting sqref="E50">
    <cfRule type="expression" dxfId="5359" priority="1238">
      <formula>AND(IF(OR($Q50=1,$Q50=2),1,0),IF($X50&lt;=20,1,0))</formula>
    </cfRule>
    <cfRule type="expression" dxfId="5358" priority="1239">
      <formula>AND(IF($Q50=2,1,0),IF($X50&lt;30,1,0))</formula>
    </cfRule>
    <cfRule type="expression" dxfId="5357" priority="1240">
      <formula>AND(IF($Q50=3,1,0),IF($X50&lt;30,1,0))</formula>
    </cfRule>
    <cfRule type="expression" dxfId="5356" priority="1241">
      <formula>AND(IF($Q50=3,1,IF($Q50=4,1,0)),IF($F50&lt;=85,1,0))</formula>
    </cfRule>
  </conditionalFormatting>
  <conditionalFormatting sqref="X50">
    <cfRule type="expression" dxfId="5355" priority="1234">
      <formula>AND(IF(OR($Q50=1,$Q50=2),1,0),IF($X50&lt;=20,1,0))</formula>
    </cfRule>
    <cfRule type="expression" dxfId="5354" priority="1235">
      <formula>AND(IF($Q50=2,1,0),IF($X50&lt;30,1,0))</formula>
    </cfRule>
    <cfRule type="expression" dxfId="5353" priority="1236">
      <formula>AND(IF($Q50=3,1,0),IF($X50&lt;30,1,0))</formula>
    </cfRule>
    <cfRule type="expression" dxfId="5352" priority="1237">
      <formula>AND(IF($Q50=3,1,IF($Q50=4,1,0)),IF($F50&lt;=85,1,0))</formula>
    </cfRule>
  </conditionalFormatting>
  <conditionalFormatting sqref="AI50">
    <cfRule type="expression" dxfId="5351" priority="1230">
      <formula>AND(IF(OR($Q50=1,$Q50=2),1,0),IF($X50&lt;=20,1,0))</formula>
    </cfRule>
    <cfRule type="expression" dxfId="5350" priority="1231">
      <formula>AND(IF($Q50=2,1,0),IF($X50&lt;30,1,0))</formula>
    </cfRule>
    <cfRule type="expression" dxfId="5349" priority="1232">
      <formula>AND(IF($Q50=3,1,0),IF($X50&lt;30,1,0))</formula>
    </cfRule>
    <cfRule type="expression" dxfId="5348" priority="1233">
      <formula>AND(IF($Q50=3,1,IF($Q50=4,1,0)),IF($F50&lt;=85,1,0))</formula>
    </cfRule>
  </conditionalFormatting>
  <conditionalFormatting sqref="AV51">
    <cfRule type="expression" dxfId="5347" priority="1228">
      <formula>AV51="X"</formula>
    </cfRule>
    <cfRule type="expression" dxfId="5346" priority="1229">
      <formula>AV51="후보"</formula>
    </cfRule>
  </conditionalFormatting>
  <conditionalFormatting sqref="Z51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5345" priority="1225" operator="greaterThan">
      <formula>0.9</formula>
    </cfRule>
    <cfRule type="cellIs" dxfId="5344" priority="1226" operator="greaterThan">
      <formula>0.85</formula>
    </cfRule>
  </conditionalFormatting>
  <conditionalFormatting sqref="N51">
    <cfRule type="cellIs" dxfId="5343" priority="1223" operator="greaterThan">
      <formula>0.9</formula>
    </cfRule>
    <cfRule type="cellIs" dxfId="5342" priority="1224" operator="greaterThan">
      <formula>0.85</formula>
    </cfRule>
  </conditionalFormatting>
  <conditionalFormatting sqref="E51">
    <cfRule type="expression" dxfId="5341" priority="1219">
      <formula>AND(IF(OR($Q51=1,$Q51=2),1,0),IF($X51&lt;=20,1,0))</formula>
    </cfRule>
    <cfRule type="expression" dxfId="5340" priority="1220">
      <formula>AND(IF($Q51=2,1,0),IF($X51&lt;30,1,0))</formula>
    </cfRule>
    <cfRule type="expression" dxfId="5339" priority="1221">
      <formula>AND(IF($Q51=3,1,0),IF($X51&lt;30,1,0))</formula>
    </cfRule>
    <cfRule type="expression" dxfId="5338" priority="1222">
      <formula>AND(IF($Q51=3,1,IF($Q51=4,1,0)),IF($F51&lt;=85,1,0))</formula>
    </cfRule>
  </conditionalFormatting>
  <conditionalFormatting sqref="X51">
    <cfRule type="expression" dxfId="5337" priority="1215">
      <formula>AND(IF(OR($Q51=1,$Q51=2),1,0),IF($X51&lt;=20,1,0))</formula>
    </cfRule>
    <cfRule type="expression" dxfId="5336" priority="1216">
      <formula>AND(IF($Q51=2,1,0),IF($X51&lt;30,1,0))</formula>
    </cfRule>
    <cfRule type="expression" dxfId="5335" priority="1217">
      <formula>AND(IF($Q51=3,1,0),IF($X51&lt;30,1,0))</formula>
    </cfRule>
    <cfRule type="expression" dxfId="5334" priority="1218">
      <formula>AND(IF($Q51=3,1,IF($Q51=4,1,0)),IF($F51&lt;=85,1,0))</formula>
    </cfRule>
  </conditionalFormatting>
  <conditionalFormatting sqref="AI51">
    <cfRule type="expression" dxfId="5333" priority="1211">
      <formula>AND(IF(OR($Q51=1,$Q51=2),1,0),IF($X51&lt;=20,1,0))</formula>
    </cfRule>
    <cfRule type="expression" dxfId="5332" priority="1212">
      <formula>AND(IF($Q51=2,1,0),IF($X51&lt;30,1,0))</formula>
    </cfRule>
    <cfRule type="expression" dxfId="5331" priority="1213">
      <formula>AND(IF($Q51=3,1,0),IF($X51&lt;30,1,0))</formula>
    </cfRule>
    <cfRule type="expression" dxfId="5330" priority="1214">
      <formula>AND(IF($Q51=3,1,IF($Q51=4,1,0)),IF($F51&lt;=85,1,0))</formula>
    </cfRule>
  </conditionalFormatting>
  <conditionalFormatting sqref="AV52">
    <cfRule type="expression" dxfId="5329" priority="1209">
      <formula>AV52="X"</formula>
    </cfRule>
    <cfRule type="expression" dxfId="5328" priority="1210">
      <formula>AV52="후보"</formula>
    </cfRule>
  </conditionalFormatting>
  <conditionalFormatting sqref="Z52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5327" priority="1206" operator="greaterThan">
      <formula>0.9</formula>
    </cfRule>
    <cfRule type="cellIs" dxfId="5326" priority="1207" operator="greaterThan">
      <formula>0.85</formula>
    </cfRule>
  </conditionalFormatting>
  <conditionalFormatting sqref="N52">
    <cfRule type="cellIs" dxfId="5325" priority="1204" operator="greaterThan">
      <formula>0.9</formula>
    </cfRule>
    <cfRule type="cellIs" dxfId="5324" priority="1205" operator="greaterThan">
      <formula>0.85</formula>
    </cfRule>
  </conditionalFormatting>
  <conditionalFormatting sqref="E52">
    <cfRule type="expression" dxfId="5323" priority="1200">
      <formula>AND(IF(OR($Q52=1,$Q52=2),1,0),IF($X52&lt;=20,1,0))</formula>
    </cfRule>
    <cfRule type="expression" dxfId="5322" priority="1201">
      <formula>AND(IF($Q52=2,1,0),IF($X52&lt;30,1,0))</formula>
    </cfRule>
    <cfRule type="expression" dxfId="5321" priority="1202">
      <formula>AND(IF($Q52=3,1,0),IF($X52&lt;30,1,0))</formula>
    </cfRule>
    <cfRule type="expression" dxfId="5320" priority="1203">
      <formula>AND(IF($Q52=3,1,IF($Q52=4,1,0)),IF($F52&lt;=85,1,0))</formula>
    </cfRule>
  </conditionalFormatting>
  <conditionalFormatting sqref="X52">
    <cfRule type="expression" dxfId="5319" priority="1196">
      <formula>AND(IF(OR($Q52=1,$Q52=2),1,0),IF($X52&lt;=20,1,0))</formula>
    </cfRule>
    <cfRule type="expression" dxfId="5318" priority="1197">
      <formula>AND(IF($Q52=2,1,0),IF($X52&lt;30,1,0))</formula>
    </cfRule>
    <cfRule type="expression" dxfId="5317" priority="1198">
      <formula>AND(IF($Q52=3,1,0),IF($X52&lt;30,1,0))</formula>
    </cfRule>
    <cfRule type="expression" dxfId="5316" priority="1199">
      <formula>AND(IF($Q52=3,1,IF($Q52=4,1,0)),IF($F52&lt;=85,1,0))</formula>
    </cfRule>
  </conditionalFormatting>
  <conditionalFormatting sqref="AI52">
    <cfRule type="expression" dxfId="5315" priority="1192">
      <formula>AND(IF(OR($Q52=1,$Q52=2),1,0),IF($X52&lt;=20,1,0))</formula>
    </cfRule>
    <cfRule type="expression" dxfId="5314" priority="1193">
      <formula>AND(IF($Q52=2,1,0),IF($X52&lt;30,1,0))</formula>
    </cfRule>
    <cfRule type="expression" dxfId="5313" priority="1194">
      <formula>AND(IF($Q52=3,1,0),IF($X52&lt;30,1,0))</formula>
    </cfRule>
    <cfRule type="expression" dxfId="5312" priority="1195">
      <formula>AND(IF($Q52=3,1,IF($Q52=4,1,0)),IF($F52&lt;=85,1,0))</formula>
    </cfRule>
  </conditionalFormatting>
  <conditionalFormatting sqref="AV53">
    <cfRule type="expression" dxfId="5311" priority="1190">
      <formula>AV53="X"</formula>
    </cfRule>
    <cfRule type="expression" dxfId="5310" priority="1191">
      <formula>AV53="후보"</formula>
    </cfRule>
  </conditionalFormatting>
  <conditionalFormatting sqref="Z53">
    <cfRule type="colorScale" priority="1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5309" priority="1187" operator="greaterThan">
      <formula>0.9</formula>
    </cfRule>
    <cfRule type="cellIs" dxfId="5308" priority="1188" operator="greaterThan">
      <formula>0.85</formula>
    </cfRule>
  </conditionalFormatting>
  <conditionalFormatting sqref="N53">
    <cfRule type="cellIs" dxfId="5307" priority="1185" operator="greaterThan">
      <formula>0.9</formula>
    </cfRule>
    <cfRule type="cellIs" dxfId="5306" priority="1186" operator="greaterThan">
      <formula>0.85</formula>
    </cfRule>
  </conditionalFormatting>
  <conditionalFormatting sqref="E53">
    <cfRule type="expression" dxfId="5305" priority="1181">
      <formula>AND(IF(OR($Q53=1,$Q53=2),1,0),IF($X53&lt;=20,1,0))</formula>
    </cfRule>
    <cfRule type="expression" dxfId="5304" priority="1182">
      <formula>AND(IF($Q53=2,1,0),IF($X53&lt;30,1,0))</formula>
    </cfRule>
    <cfRule type="expression" dxfId="5303" priority="1183">
      <formula>AND(IF($Q53=3,1,0),IF($X53&lt;30,1,0))</formula>
    </cfRule>
    <cfRule type="expression" dxfId="5302" priority="1184">
      <formula>AND(IF($Q53=3,1,IF($Q53=4,1,0)),IF($F53&lt;=85,1,0))</formula>
    </cfRule>
  </conditionalFormatting>
  <conditionalFormatting sqref="X53">
    <cfRule type="expression" dxfId="5301" priority="1177">
      <formula>AND(IF(OR($Q53=1,$Q53=2),1,0),IF($X53&lt;=20,1,0))</formula>
    </cfRule>
    <cfRule type="expression" dxfId="5300" priority="1178">
      <formula>AND(IF($Q53=2,1,0),IF($X53&lt;30,1,0))</formula>
    </cfRule>
    <cfRule type="expression" dxfId="5299" priority="1179">
      <formula>AND(IF($Q53=3,1,0),IF($X53&lt;30,1,0))</formula>
    </cfRule>
    <cfRule type="expression" dxfId="5298" priority="1180">
      <formula>AND(IF($Q53=3,1,IF($Q53=4,1,0)),IF($F53&lt;=85,1,0))</formula>
    </cfRule>
  </conditionalFormatting>
  <conditionalFormatting sqref="AI53">
    <cfRule type="expression" dxfId="5297" priority="1173">
      <formula>AND(IF(OR($Q53=1,$Q53=2),1,0),IF($X53&lt;=20,1,0))</formula>
    </cfRule>
    <cfRule type="expression" dxfId="5296" priority="1174">
      <formula>AND(IF($Q53=2,1,0),IF($X53&lt;30,1,0))</formula>
    </cfRule>
    <cfRule type="expression" dxfId="5295" priority="1175">
      <formula>AND(IF($Q53=3,1,0),IF($X53&lt;30,1,0))</formula>
    </cfRule>
    <cfRule type="expression" dxfId="5294" priority="1176">
      <formula>AND(IF($Q53=3,1,IF($Q53=4,1,0)),IF($F53&lt;=85,1,0))</formula>
    </cfRule>
  </conditionalFormatting>
  <conditionalFormatting sqref="AV54">
    <cfRule type="expression" dxfId="5293" priority="1171">
      <formula>AV54="X"</formula>
    </cfRule>
    <cfRule type="expression" dxfId="5292" priority="1172">
      <formula>AV54="후보"</formula>
    </cfRule>
  </conditionalFormatting>
  <conditionalFormatting sqref="Z54">
    <cfRule type="colorScale" priority="1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5291" priority="1168" operator="greaterThan">
      <formula>0.9</formula>
    </cfRule>
    <cfRule type="cellIs" dxfId="5290" priority="1169" operator="greaterThan">
      <formula>0.85</formula>
    </cfRule>
  </conditionalFormatting>
  <conditionalFormatting sqref="AV55">
    <cfRule type="expression" dxfId="5289" priority="1166">
      <formula>AV55="X"</formula>
    </cfRule>
    <cfRule type="expression" dxfId="5288" priority="1167">
      <formula>AV55="후보"</formula>
    </cfRule>
  </conditionalFormatting>
  <conditionalFormatting sqref="Z55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5287" priority="1163" operator="greaterThan">
      <formula>0.9</formula>
    </cfRule>
    <cfRule type="cellIs" dxfId="5286" priority="1164" operator="greaterThan">
      <formula>0.85</formula>
    </cfRule>
  </conditionalFormatting>
  <conditionalFormatting sqref="N55">
    <cfRule type="cellIs" dxfId="5285" priority="1161" operator="greaterThan">
      <formula>0.9</formula>
    </cfRule>
    <cfRule type="cellIs" dxfId="5284" priority="1162" operator="greaterThan">
      <formula>0.85</formula>
    </cfRule>
  </conditionalFormatting>
  <conditionalFormatting sqref="E55">
    <cfRule type="expression" dxfId="5283" priority="1157">
      <formula>AND(IF(OR($Q55=1,$Q55=2),1,0),IF($X55&lt;=20,1,0))</formula>
    </cfRule>
    <cfRule type="expression" dxfId="5282" priority="1158">
      <formula>AND(IF($Q55=2,1,0),IF($X55&lt;30,1,0))</formula>
    </cfRule>
    <cfRule type="expression" dxfId="5281" priority="1159">
      <formula>AND(IF($Q55=3,1,0),IF($X55&lt;30,1,0))</formula>
    </cfRule>
    <cfRule type="expression" dxfId="5280" priority="1160">
      <formula>AND(IF($Q55=3,1,IF($Q55=4,1,0)),IF($F55&lt;=85,1,0))</formula>
    </cfRule>
  </conditionalFormatting>
  <conditionalFormatting sqref="X55">
    <cfRule type="expression" dxfId="5279" priority="1153">
      <formula>AND(IF(OR($Q55=1,$Q55=2),1,0),IF($X55&lt;=20,1,0))</formula>
    </cfRule>
    <cfRule type="expression" dxfId="5278" priority="1154">
      <formula>AND(IF($Q55=2,1,0),IF($X55&lt;30,1,0))</formula>
    </cfRule>
    <cfRule type="expression" dxfId="5277" priority="1155">
      <formula>AND(IF($Q55=3,1,0),IF($X55&lt;30,1,0))</formula>
    </cfRule>
    <cfRule type="expression" dxfId="5276" priority="1156">
      <formula>AND(IF($Q55=3,1,IF($Q55=4,1,0)),IF($F55&lt;=85,1,0))</formula>
    </cfRule>
  </conditionalFormatting>
  <conditionalFormatting sqref="AI55">
    <cfRule type="expression" dxfId="5275" priority="1149">
      <formula>AND(IF(OR($Q55=1,$Q55=2),1,0),IF($X55&lt;=20,1,0))</formula>
    </cfRule>
    <cfRule type="expression" dxfId="5274" priority="1150">
      <formula>AND(IF($Q55=2,1,0),IF($X55&lt;30,1,0))</formula>
    </cfRule>
    <cfRule type="expression" dxfId="5273" priority="1151">
      <formula>AND(IF($Q55=3,1,0),IF($X55&lt;30,1,0))</formula>
    </cfRule>
    <cfRule type="expression" dxfId="5272" priority="1152">
      <formula>AND(IF($Q55=3,1,IF($Q55=4,1,0)),IF($F55&lt;=85,1,0))</formula>
    </cfRule>
  </conditionalFormatting>
  <conditionalFormatting sqref="AV56">
    <cfRule type="expression" dxfId="5271" priority="1147">
      <formula>AV56="X"</formula>
    </cfRule>
    <cfRule type="expression" dxfId="5270" priority="1148">
      <formula>AV56="후보"</formula>
    </cfRule>
  </conditionalFormatting>
  <conditionalFormatting sqref="Z56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5269" priority="1144" operator="greaterThan">
      <formula>0.9</formula>
    </cfRule>
    <cfRule type="cellIs" dxfId="5268" priority="1145" operator="greaterThan">
      <formula>0.85</formula>
    </cfRule>
  </conditionalFormatting>
  <conditionalFormatting sqref="N56">
    <cfRule type="cellIs" dxfId="5267" priority="1142" operator="greaterThan">
      <formula>0.9</formula>
    </cfRule>
    <cfRule type="cellIs" dxfId="5266" priority="1143" operator="greaterThan">
      <formula>0.85</formula>
    </cfRule>
  </conditionalFormatting>
  <conditionalFormatting sqref="E56">
    <cfRule type="expression" dxfId="5265" priority="1138">
      <formula>AND(IF(OR($Q56=1,$Q56=2),1,0),IF($X56&lt;=20,1,0))</formula>
    </cfRule>
    <cfRule type="expression" dxfId="5264" priority="1139">
      <formula>AND(IF($Q56=2,1,0),IF($X56&lt;30,1,0))</formula>
    </cfRule>
    <cfRule type="expression" dxfId="5263" priority="1140">
      <formula>AND(IF($Q56=3,1,0),IF($X56&lt;30,1,0))</formula>
    </cfRule>
    <cfRule type="expression" dxfId="5262" priority="1141">
      <formula>AND(IF($Q56=3,1,IF($Q56=4,1,0)),IF($F56&lt;=85,1,0))</formula>
    </cfRule>
  </conditionalFormatting>
  <conditionalFormatting sqref="X56">
    <cfRule type="expression" dxfId="5261" priority="1134">
      <formula>AND(IF(OR($Q56=1,$Q56=2),1,0),IF($X56&lt;=20,1,0))</formula>
    </cfRule>
    <cfRule type="expression" dxfId="5260" priority="1135">
      <formula>AND(IF($Q56=2,1,0),IF($X56&lt;30,1,0))</formula>
    </cfRule>
    <cfRule type="expression" dxfId="5259" priority="1136">
      <formula>AND(IF($Q56=3,1,0),IF($X56&lt;30,1,0))</formula>
    </cfRule>
    <cfRule type="expression" dxfId="5258" priority="1137">
      <formula>AND(IF($Q56=3,1,IF($Q56=4,1,0)),IF($F56&lt;=85,1,0))</formula>
    </cfRule>
  </conditionalFormatting>
  <conditionalFormatting sqref="AI56">
    <cfRule type="expression" dxfId="5257" priority="1130">
      <formula>AND(IF(OR($Q56=1,$Q56=2),1,0),IF($X56&lt;=20,1,0))</formula>
    </cfRule>
    <cfRule type="expression" dxfId="5256" priority="1131">
      <formula>AND(IF($Q56=2,1,0),IF($X56&lt;30,1,0))</formula>
    </cfRule>
    <cfRule type="expression" dxfId="5255" priority="1132">
      <formula>AND(IF($Q56=3,1,0),IF($X56&lt;30,1,0))</formula>
    </cfRule>
    <cfRule type="expression" dxfId="5254" priority="1133">
      <formula>AND(IF($Q56=3,1,IF($Q56=4,1,0)),IF($F56&lt;=85,1,0))</formula>
    </cfRule>
  </conditionalFormatting>
  <conditionalFormatting sqref="AV57">
    <cfRule type="expression" dxfId="5253" priority="1128">
      <formula>AV57="X"</formula>
    </cfRule>
    <cfRule type="expression" dxfId="5252" priority="1129">
      <formula>AV57="후보"</formula>
    </cfRule>
  </conditionalFormatting>
  <conditionalFormatting sqref="Z57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5251" priority="1125" operator="greaterThan">
      <formula>0.9</formula>
    </cfRule>
    <cfRule type="cellIs" dxfId="5250" priority="1126" operator="greaterThan">
      <formula>0.85</formula>
    </cfRule>
  </conditionalFormatting>
  <conditionalFormatting sqref="N57">
    <cfRule type="cellIs" dxfId="5249" priority="1123" operator="greaterThan">
      <formula>0.9</formula>
    </cfRule>
    <cfRule type="cellIs" dxfId="5248" priority="1124" operator="greaterThan">
      <formula>0.85</formula>
    </cfRule>
  </conditionalFormatting>
  <conditionalFormatting sqref="E57">
    <cfRule type="expression" dxfId="5247" priority="1119">
      <formula>AND(IF(OR($Q57=1,$Q57=2),1,0),IF($X57&lt;=20,1,0))</formula>
    </cfRule>
    <cfRule type="expression" dxfId="5246" priority="1120">
      <formula>AND(IF($Q57=2,1,0),IF($X57&lt;30,1,0))</formula>
    </cfRule>
    <cfRule type="expression" dxfId="5245" priority="1121">
      <formula>AND(IF($Q57=3,1,0),IF($X57&lt;30,1,0))</formula>
    </cfRule>
    <cfRule type="expression" dxfId="5244" priority="1122">
      <formula>AND(IF($Q57=3,1,IF($Q57=4,1,0)),IF($F57&lt;=85,1,0))</formula>
    </cfRule>
  </conditionalFormatting>
  <conditionalFormatting sqref="X57">
    <cfRule type="expression" dxfId="5243" priority="1115">
      <formula>AND(IF(OR($Q57=1,$Q57=2),1,0),IF($X57&lt;=20,1,0))</formula>
    </cfRule>
    <cfRule type="expression" dxfId="5242" priority="1116">
      <formula>AND(IF($Q57=2,1,0),IF($X57&lt;30,1,0))</formula>
    </cfRule>
    <cfRule type="expression" dxfId="5241" priority="1117">
      <formula>AND(IF($Q57=3,1,0),IF($X57&lt;30,1,0))</formula>
    </cfRule>
    <cfRule type="expression" dxfId="5240" priority="1118">
      <formula>AND(IF($Q57=3,1,IF($Q57=4,1,0)),IF($F57&lt;=85,1,0))</formula>
    </cfRule>
  </conditionalFormatting>
  <conditionalFormatting sqref="AI57">
    <cfRule type="expression" dxfId="5239" priority="1111">
      <formula>AND(IF(OR($Q57=1,$Q57=2),1,0),IF($X57&lt;=20,1,0))</formula>
    </cfRule>
    <cfRule type="expression" dxfId="5238" priority="1112">
      <formula>AND(IF($Q57=2,1,0),IF($X57&lt;30,1,0))</formula>
    </cfRule>
    <cfRule type="expression" dxfId="5237" priority="1113">
      <formula>AND(IF($Q57=3,1,0),IF($X57&lt;30,1,0))</formula>
    </cfRule>
    <cfRule type="expression" dxfId="5236" priority="1114">
      <formula>AND(IF($Q57=3,1,IF($Q57=4,1,0)),IF($F57&lt;=85,1,0))</formula>
    </cfRule>
  </conditionalFormatting>
  <conditionalFormatting sqref="AV58">
    <cfRule type="expression" dxfId="5235" priority="1109">
      <formula>AV58="X"</formula>
    </cfRule>
    <cfRule type="expression" dxfId="5234" priority="1110">
      <formula>AV58="후보"</formula>
    </cfRule>
  </conditionalFormatting>
  <conditionalFormatting sqref="Z58">
    <cfRule type="colorScale" priority="1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5233" priority="1106" operator="greaterThan">
      <formula>0.9</formula>
    </cfRule>
    <cfRule type="cellIs" dxfId="5232" priority="1107" operator="greaterThan">
      <formula>0.85</formula>
    </cfRule>
  </conditionalFormatting>
  <conditionalFormatting sqref="N58">
    <cfRule type="cellIs" dxfId="5231" priority="1104" operator="greaterThan">
      <formula>0.9</formula>
    </cfRule>
    <cfRule type="cellIs" dxfId="5230" priority="1105" operator="greaterThan">
      <formula>0.85</formula>
    </cfRule>
  </conditionalFormatting>
  <conditionalFormatting sqref="E58">
    <cfRule type="expression" dxfId="5229" priority="1100">
      <formula>AND(IF(OR($Q58=1,$Q58=2),1,0),IF($X58&lt;=20,1,0))</formula>
    </cfRule>
    <cfRule type="expression" dxfId="5228" priority="1101">
      <formula>AND(IF($Q58=2,1,0),IF($X58&lt;30,1,0))</formula>
    </cfRule>
    <cfRule type="expression" dxfId="5227" priority="1102">
      <formula>AND(IF($Q58=3,1,0),IF($X58&lt;30,1,0))</formula>
    </cfRule>
    <cfRule type="expression" dxfId="5226" priority="1103">
      <formula>AND(IF($Q58=3,1,IF($Q58=4,1,0)),IF($F58&lt;=85,1,0))</formula>
    </cfRule>
  </conditionalFormatting>
  <conditionalFormatting sqref="X58">
    <cfRule type="expression" dxfId="5225" priority="1096">
      <formula>AND(IF(OR($Q58=1,$Q58=2),1,0),IF($X58&lt;=20,1,0))</formula>
    </cfRule>
    <cfRule type="expression" dxfId="5224" priority="1097">
      <formula>AND(IF($Q58=2,1,0),IF($X58&lt;30,1,0))</formula>
    </cfRule>
    <cfRule type="expression" dxfId="5223" priority="1098">
      <formula>AND(IF($Q58=3,1,0),IF($X58&lt;30,1,0))</formula>
    </cfRule>
    <cfRule type="expression" dxfId="5222" priority="1099">
      <formula>AND(IF($Q58=3,1,IF($Q58=4,1,0)),IF($F58&lt;=85,1,0))</formula>
    </cfRule>
  </conditionalFormatting>
  <conditionalFormatting sqref="AI58">
    <cfRule type="expression" dxfId="5221" priority="1092">
      <formula>AND(IF(OR($Q58=1,$Q58=2),1,0),IF($X58&lt;=20,1,0))</formula>
    </cfRule>
    <cfRule type="expression" dxfId="5220" priority="1093">
      <formula>AND(IF($Q58=2,1,0),IF($X58&lt;30,1,0))</formula>
    </cfRule>
    <cfRule type="expression" dxfId="5219" priority="1094">
      <formula>AND(IF($Q58=3,1,0),IF($X58&lt;30,1,0))</formula>
    </cfRule>
    <cfRule type="expression" dxfId="5218" priority="1095">
      <formula>AND(IF($Q58=3,1,IF($Q58=4,1,0)),IF($F58&lt;=85,1,0))</formula>
    </cfRule>
  </conditionalFormatting>
  <conditionalFormatting sqref="AV59">
    <cfRule type="expression" dxfId="5217" priority="1090">
      <formula>AV59="X"</formula>
    </cfRule>
    <cfRule type="expression" dxfId="5216" priority="1091">
      <formula>AV59="후보"</formula>
    </cfRule>
  </conditionalFormatting>
  <conditionalFormatting sqref="Z59">
    <cfRule type="colorScale" priority="1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5215" priority="1087" operator="greaterThan">
      <formula>0.9</formula>
    </cfRule>
    <cfRule type="cellIs" dxfId="5214" priority="1088" operator="greaterThan">
      <formula>0.85</formula>
    </cfRule>
  </conditionalFormatting>
  <conditionalFormatting sqref="N59">
    <cfRule type="cellIs" dxfId="5213" priority="1085" operator="greaterThan">
      <formula>0.9</formula>
    </cfRule>
    <cfRule type="cellIs" dxfId="5212" priority="1086" operator="greaterThan">
      <formula>0.85</formula>
    </cfRule>
  </conditionalFormatting>
  <conditionalFormatting sqref="E59">
    <cfRule type="expression" dxfId="5211" priority="1081">
      <formula>AND(IF(OR($Q59=1,$Q59=2),1,0),IF($X59&lt;=20,1,0))</formula>
    </cfRule>
    <cfRule type="expression" dxfId="5210" priority="1082">
      <formula>AND(IF($Q59=2,1,0),IF($X59&lt;30,1,0))</formula>
    </cfRule>
    <cfRule type="expression" dxfId="5209" priority="1083">
      <formula>AND(IF($Q59=3,1,0),IF($X59&lt;30,1,0))</formula>
    </cfRule>
    <cfRule type="expression" dxfId="5208" priority="1084">
      <formula>AND(IF($Q59=3,1,IF($Q59=4,1,0)),IF($F59&lt;=85,1,0))</formula>
    </cfRule>
  </conditionalFormatting>
  <conditionalFormatting sqref="X59">
    <cfRule type="expression" dxfId="5207" priority="1077">
      <formula>AND(IF(OR($Q59=1,$Q59=2),1,0),IF($X59&lt;=20,1,0))</formula>
    </cfRule>
    <cfRule type="expression" dxfId="5206" priority="1078">
      <formula>AND(IF($Q59=2,1,0),IF($X59&lt;30,1,0))</formula>
    </cfRule>
    <cfRule type="expression" dxfId="5205" priority="1079">
      <formula>AND(IF($Q59=3,1,0),IF($X59&lt;30,1,0))</formula>
    </cfRule>
    <cfRule type="expression" dxfId="5204" priority="1080">
      <formula>AND(IF($Q59=3,1,IF($Q59=4,1,0)),IF($F59&lt;=85,1,0))</formula>
    </cfRule>
  </conditionalFormatting>
  <conditionalFormatting sqref="AI59">
    <cfRule type="expression" dxfId="5203" priority="1073">
      <formula>AND(IF(OR($Q59=1,$Q59=2),1,0),IF($X59&lt;=20,1,0))</formula>
    </cfRule>
    <cfRule type="expression" dxfId="5202" priority="1074">
      <formula>AND(IF($Q59=2,1,0),IF($X59&lt;30,1,0))</formula>
    </cfRule>
    <cfRule type="expression" dxfId="5201" priority="1075">
      <formula>AND(IF($Q59=3,1,0),IF($X59&lt;30,1,0))</formula>
    </cfRule>
    <cfRule type="expression" dxfId="5200" priority="1076">
      <formula>AND(IF($Q59=3,1,IF($Q59=4,1,0)),IF($F59&lt;=85,1,0))</formula>
    </cfRule>
  </conditionalFormatting>
  <conditionalFormatting sqref="AV60">
    <cfRule type="expression" dxfId="5199" priority="1071">
      <formula>AV60="X"</formula>
    </cfRule>
    <cfRule type="expression" dxfId="5198" priority="1072">
      <formula>AV60="후보"</formula>
    </cfRule>
  </conditionalFormatting>
  <conditionalFormatting sqref="Z60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5197" priority="1068" operator="greaterThan">
      <formula>0.9</formula>
    </cfRule>
    <cfRule type="cellIs" dxfId="5196" priority="1069" operator="greaterThan">
      <formula>0.85</formula>
    </cfRule>
  </conditionalFormatting>
  <conditionalFormatting sqref="N60">
    <cfRule type="cellIs" dxfId="5195" priority="1066" operator="greaterThan">
      <formula>0.9</formula>
    </cfRule>
    <cfRule type="cellIs" dxfId="5194" priority="1067" operator="greaterThan">
      <formula>0.85</formula>
    </cfRule>
  </conditionalFormatting>
  <conditionalFormatting sqref="E60">
    <cfRule type="expression" dxfId="5193" priority="1062">
      <formula>AND(IF(OR($Q60=1,$Q60=2),1,0),IF($X60&lt;=20,1,0))</formula>
    </cfRule>
    <cfRule type="expression" dxfId="5192" priority="1063">
      <formula>AND(IF($Q60=2,1,0),IF($X60&lt;30,1,0))</formula>
    </cfRule>
    <cfRule type="expression" dxfId="5191" priority="1064">
      <formula>AND(IF($Q60=3,1,0),IF($X60&lt;30,1,0))</formula>
    </cfRule>
    <cfRule type="expression" dxfId="5190" priority="1065">
      <formula>AND(IF($Q60=3,1,IF($Q60=4,1,0)),IF($F60&lt;=85,1,0))</formula>
    </cfRule>
  </conditionalFormatting>
  <conditionalFormatting sqref="X60">
    <cfRule type="expression" dxfId="5189" priority="1058">
      <formula>AND(IF(OR($Q60=1,$Q60=2),1,0),IF($X60&lt;=20,1,0))</formula>
    </cfRule>
    <cfRule type="expression" dxfId="5188" priority="1059">
      <formula>AND(IF($Q60=2,1,0),IF($X60&lt;30,1,0))</formula>
    </cfRule>
    <cfRule type="expression" dxfId="5187" priority="1060">
      <formula>AND(IF($Q60=3,1,0),IF($X60&lt;30,1,0))</formula>
    </cfRule>
    <cfRule type="expression" dxfId="5186" priority="1061">
      <formula>AND(IF($Q60=3,1,IF($Q60=4,1,0)),IF($F60&lt;=85,1,0))</formula>
    </cfRule>
  </conditionalFormatting>
  <conditionalFormatting sqref="AI60">
    <cfRule type="expression" dxfId="5185" priority="1054">
      <formula>AND(IF(OR($Q60=1,$Q60=2),1,0),IF($X60&lt;=20,1,0))</formula>
    </cfRule>
    <cfRule type="expression" dxfId="5184" priority="1055">
      <formula>AND(IF($Q60=2,1,0),IF($X60&lt;30,1,0))</formula>
    </cfRule>
    <cfRule type="expression" dxfId="5183" priority="1056">
      <formula>AND(IF($Q60=3,1,0),IF($X60&lt;30,1,0))</formula>
    </cfRule>
    <cfRule type="expression" dxfId="5182" priority="1057">
      <formula>AND(IF($Q60=3,1,IF($Q60=4,1,0)),IF($F60&lt;=85,1,0))</formula>
    </cfRule>
  </conditionalFormatting>
  <conditionalFormatting sqref="AV61">
    <cfRule type="expression" dxfId="5181" priority="1052">
      <formula>AV61="X"</formula>
    </cfRule>
    <cfRule type="expression" dxfId="5180" priority="1053">
      <formula>AV61="후보"</formula>
    </cfRule>
  </conditionalFormatting>
  <conditionalFormatting sqref="Z61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5179" priority="1049" operator="greaterThan">
      <formula>0.9</formula>
    </cfRule>
    <cfRule type="cellIs" dxfId="5178" priority="1050" operator="greaterThan">
      <formula>0.85</formula>
    </cfRule>
  </conditionalFormatting>
  <conditionalFormatting sqref="AV62">
    <cfRule type="expression" dxfId="5177" priority="1047">
      <formula>AV62="X"</formula>
    </cfRule>
    <cfRule type="expression" dxfId="5176" priority="1048">
      <formula>AV62="후보"</formula>
    </cfRule>
  </conditionalFormatting>
  <conditionalFormatting sqref="Z62">
    <cfRule type="colorScale" priority="1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5175" priority="1044" operator="greaterThan">
      <formula>0.9</formula>
    </cfRule>
    <cfRule type="cellIs" dxfId="5174" priority="1045" operator="greaterThan">
      <formula>0.85</formula>
    </cfRule>
  </conditionalFormatting>
  <conditionalFormatting sqref="N62">
    <cfRule type="cellIs" dxfId="5173" priority="1042" operator="greaterThan">
      <formula>0.9</formula>
    </cfRule>
    <cfRule type="cellIs" dxfId="5172" priority="1043" operator="greaterThan">
      <formula>0.85</formula>
    </cfRule>
  </conditionalFormatting>
  <conditionalFormatting sqref="E62">
    <cfRule type="expression" dxfId="5171" priority="1038">
      <formula>AND(IF(OR($Q62=1,$Q62=2),1,0),IF($X62&lt;=20,1,0))</formula>
    </cfRule>
    <cfRule type="expression" dxfId="5170" priority="1039">
      <formula>AND(IF($Q62=2,1,0),IF($X62&lt;30,1,0))</formula>
    </cfRule>
    <cfRule type="expression" dxfId="5169" priority="1040">
      <formula>AND(IF($Q62=3,1,0),IF($X62&lt;30,1,0))</formula>
    </cfRule>
    <cfRule type="expression" dxfId="5168" priority="1041">
      <formula>AND(IF($Q62=3,1,IF($Q62=4,1,0)),IF($F62&lt;=85,1,0))</formula>
    </cfRule>
  </conditionalFormatting>
  <conditionalFormatting sqref="X62">
    <cfRule type="expression" dxfId="5167" priority="1034">
      <formula>AND(IF(OR($Q62=1,$Q62=2),1,0),IF($X62&lt;=20,1,0))</formula>
    </cfRule>
    <cfRule type="expression" dxfId="5166" priority="1035">
      <formula>AND(IF($Q62=2,1,0),IF($X62&lt;30,1,0))</formula>
    </cfRule>
    <cfRule type="expression" dxfId="5165" priority="1036">
      <formula>AND(IF($Q62=3,1,0),IF($X62&lt;30,1,0))</formula>
    </cfRule>
    <cfRule type="expression" dxfId="5164" priority="1037">
      <formula>AND(IF($Q62=3,1,IF($Q62=4,1,0)),IF($F62&lt;=85,1,0))</formula>
    </cfRule>
  </conditionalFormatting>
  <conditionalFormatting sqref="AI62">
    <cfRule type="expression" dxfId="5163" priority="1030">
      <formula>AND(IF(OR($Q62=1,$Q62=2),1,0),IF($X62&lt;=20,1,0))</formula>
    </cfRule>
    <cfRule type="expression" dxfId="5162" priority="1031">
      <formula>AND(IF($Q62=2,1,0),IF($X62&lt;30,1,0))</formula>
    </cfRule>
    <cfRule type="expression" dxfId="5161" priority="1032">
      <formula>AND(IF($Q62=3,1,0),IF($X62&lt;30,1,0))</formula>
    </cfRule>
    <cfRule type="expression" dxfId="5160" priority="1033">
      <formula>AND(IF($Q62=3,1,IF($Q62=4,1,0)),IF($F62&lt;=85,1,0))</formula>
    </cfRule>
  </conditionalFormatting>
  <conditionalFormatting sqref="AV63">
    <cfRule type="expression" dxfId="5159" priority="1028">
      <formula>AV63="X"</formula>
    </cfRule>
    <cfRule type="expression" dxfId="5158" priority="1029">
      <formula>AV63="후보"</formula>
    </cfRule>
  </conditionalFormatting>
  <conditionalFormatting sqref="Z63">
    <cfRule type="colorScale" priority="1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5157" priority="1025" operator="greaterThan">
      <formula>0.9</formula>
    </cfRule>
    <cfRule type="cellIs" dxfId="5156" priority="1026" operator="greaterThan">
      <formula>0.85</formula>
    </cfRule>
  </conditionalFormatting>
  <conditionalFormatting sqref="N63">
    <cfRule type="cellIs" dxfId="5155" priority="1023" operator="greaterThan">
      <formula>0.9</formula>
    </cfRule>
    <cfRule type="cellIs" dxfId="5154" priority="1024" operator="greaterThan">
      <formula>0.85</formula>
    </cfRule>
  </conditionalFormatting>
  <conditionalFormatting sqref="E63">
    <cfRule type="expression" dxfId="5153" priority="1019">
      <formula>AND(IF(OR($Q63=1,$Q63=2),1,0),IF($X63&lt;=20,1,0))</formula>
    </cfRule>
    <cfRule type="expression" dxfId="5152" priority="1020">
      <formula>AND(IF($Q63=2,1,0),IF($X63&lt;30,1,0))</formula>
    </cfRule>
    <cfRule type="expression" dxfId="5151" priority="1021">
      <formula>AND(IF($Q63=3,1,0),IF($X63&lt;30,1,0))</formula>
    </cfRule>
    <cfRule type="expression" dxfId="5150" priority="1022">
      <formula>AND(IF($Q63=3,1,IF($Q63=4,1,0)),IF($F63&lt;=85,1,0))</formula>
    </cfRule>
  </conditionalFormatting>
  <conditionalFormatting sqref="X63">
    <cfRule type="expression" dxfId="5149" priority="1015">
      <formula>AND(IF(OR($Q63=1,$Q63=2),1,0),IF($X63&lt;=20,1,0))</formula>
    </cfRule>
    <cfRule type="expression" dxfId="5148" priority="1016">
      <formula>AND(IF($Q63=2,1,0),IF($X63&lt;30,1,0))</formula>
    </cfRule>
    <cfRule type="expression" dxfId="5147" priority="1017">
      <formula>AND(IF($Q63=3,1,0),IF($X63&lt;30,1,0))</formula>
    </cfRule>
    <cfRule type="expression" dxfId="5146" priority="1018">
      <formula>AND(IF($Q63=3,1,IF($Q63=4,1,0)),IF($F63&lt;=85,1,0))</formula>
    </cfRule>
  </conditionalFormatting>
  <conditionalFormatting sqref="AI63">
    <cfRule type="expression" dxfId="5145" priority="1011">
      <formula>AND(IF(OR($Q63=1,$Q63=2),1,0),IF($X63&lt;=20,1,0))</formula>
    </cfRule>
    <cfRule type="expression" dxfId="5144" priority="1012">
      <formula>AND(IF($Q63=2,1,0),IF($X63&lt;30,1,0))</formula>
    </cfRule>
    <cfRule type="expression" dxfId="5143" priority="1013">
      <formula>AND(IF($Q63=3,1,0),IF($X63&lt;30,1,0))</formula>
    </cfRule>
    <cfRule type="expression" dxfId="5142" priority="1014">
      <formula>AND(IF($Q63=3,1,IF($Q63=4,1,0)),IF($F63&lt;=85,1,0))</formula>
    </cfRule>
  </conditionalFormatting>
  <conditionalFormatting sqref="AV64">
    <cfRule type="expression" dxfId="5141" priority="1009">
      <formula>AV64="X"</formula>
    </cfRule>
    <cfRule type="expression" dxfId="5140" priority="1010">
      <formula>AV64="후보"</formula>
    </cfRule>
  </conditionalFormatting>
  <conditionalFormatting sqref="Z64">
    <cfRule type="colorScale" priority="1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5139" priority="1006" operator="greaterThan">
      <formula>0.9</formula>
    </cfRule>
    <cfRule type="cellIs" dxfId="5138" priority="1007" operator="greaterThan">
      <formula>0.85</formula>
    </cfRule>
  </conditionalFormatting>
  <conditionalFormatting sqref="AV65">
    <cfRule type="expression" dxfId="5137" priority="1004">
      <formula>AV65="X"</formula>
    </cfRule>
    <cfRule type="expression" dxfId="5136" priority="1005">
      <formula>AV65="후보"</formula>
    </cfRule>
  </conditionalFormatting>
  <conditionalFormatting sqref="Z65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5135" priority="1001" operator="greaterThan">
      <formula>0.9</formula>
    </cfRule>
    <cfRule type="cellIs" dxfId="5134" priority="1002" operator="greaterThan">
      <formula>0.85</formula>
    </cfRule>
  </conditionalFormatting>
  <conditionalFormatting sqref="N65">
    <cfRule type="cellIs" dxfId="5133" priority="999" operator="greaterThan">
      <formula>0.9</formula>
    </cfRule>
    <cfRule type="cellIs" dxfId="5132" priority="1000" operator="greaterThan">
      <formula>0.85</formula>
    </cfRule>
  </conditionalFormatting>
  <conditionalFormatting sqref="E65">
    <cfRule type="expression" dxfId="5131" priority="995">
      <formula>AND(IF(OR($Q65=1,$Q65=2),1,0),IF($X65&lt;=20,1,0))</formula>
    </cfRule>
    <cfRule type="expression" dxfId="5130" priority="996">
      <formula>AND(IF($Q65=2,1,0),IF($X65&lt;30,1,0))</formula>
    </cfRule>
    <cfRule type="expression" dxfId="5129" priority="997">
      <formula>AND(IF($Q65=3,1,0),IF($X65&lt;30,1,0))</formula>
    </cfRule>
    <cfRule type="expression" dxfId="5128" priority="998">
      <formula>AND(IF($Q65=3,1,IF($Q65=4,1,0)),IF($F65&lt;=85,1,0))</formula>
    </cfRule>
  </conditionalFormatting>
  <conditionalFormatting sqref="X65">
    <cfRule type="expression" dxfId="5127" priority="991">
      <formula>AND(IF(OR($Q65=1,$Q65=2),1,0),IF($X65&lt;=20,1,0))</formula>
    </cfRule>
    <cfRule type="expression" dxfId="5126" priority="992">
      <formula>AND(IF($Q65=2,1,0),IF($X65&lt;30,1,0))</formula>
    </cfRule>
    <cfRule type="expression" dxfId="5125" priority="993">
      <formula>AND(IF($Q65=3,1,0),IF($X65&lt;30,1,0))</formula>
    </cfRule>
    <cfRule type="expression" dxfId="5124" priority="994">
      <formula>AND(IF($Q65=3,1,IF($Q65=4,1,0)),IF($F65&lt;=85,1,0))</formula>
    </cfRule>
  </conditionalFormatting>
  <conditionalFormatting sqref="AI65">
    <cfRule type="expression" dxfId="5123" priority="987">
      <formula>AND(IF(OR($Q65=1,$Q65=2),1,0),IF($X65&lt;=20,1,0))</formula>
    </cfRule>
    <cfRule type="expression" dxfId="5122" priority="988">
      <formula>AND(IF($Q65=2,1,0),IF($X65&lt;30,1,0))</formula>
    </cfRule>
    <cfRule type="expression" dxfId="5121" priority="989">
      <formula>AND(IF($Q65=3,1,0),IF($X65&lt;30,1,0))</formula>
    </cfRule>
    <cfRule type="expression" dxfId="5120" priority="990">
      <formula>AND(IF($Q65=3,1,IF($Q65=4,1,0)),IF($F65&lt;=85,1,0))</formula>
    </cfRule>
  </conditionalFormatting>
  <conditionalFormatting sqref="AV66">
    <cfRule type="expression" dxfId="5119" priority="985">
      <formula>AV66="X"</formula>
    </cfRule>
    <cfRule type="expression" dxfId="5118" priority="986">
      <formula>AV66="후보"</formula>
    </cfRule>
  </conditionalFormatting>
  <conditionalFormatting sqref="Z66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5117" priority="982" operator="greaterThan">
      <formula>0.9</formula>
    </cfRule>
    <cfRule type="cellIs" dxfId="5116" priority="983" operator="greaterThan">
      <formula>0.85</formula>
    </cfRule>
  </conditionalFormatting>
  <conditionalFormatting sqref="N66">
    <cfRule type="cellIs" dxfId="5115" priority="980" operator="greaterThan">
      <formula>0.9</formula>
    </cfRule>
    <cfRule type="cellIs" dxfId="5114" priority="981" operator="greaterThan">
      <formula>0.85</formula>
    </cfRule>
  </conditionalFormatting>
  <conditionalFormatting sqref="E66">
    <cfRule type="expression" dxfId="5113" priority="976">
      <formula>AND(IF(OR($Q66=1,$Q66=2),1,0),IF($X66&lt;=20,1,0))</formula>
    </cfRule>
    <cfRule type="expression" dxfId="5112" priority="977">
      <formula>AND(IF($Q66=2,1,0),IF($X66&lt;30,1,0))</formula>
    </cfRule>
    <cfRule type="expression" dxfId="5111" priority="978">
      <formula>AND(IF($Q66=3,1,0),IF($X66&lt;30,1,0))</formula>
    </cfRule>
    <cfRule type="expression" dxfId="5110" priority="979">
      <formula>AND(IF($Q66=3,1,IF($Q66=4,1,0)),IF($F66&lt;=85,1,0))</formula>
    </cfRule>
  </conditionalFormatting>
  <conditionalFormatting sqref="X66">
    <cfRule type="expression" dxfId="5109" priority="972">
      <formula>AND(IF(OR($Q66=1,$Q66=2),1,0),IF($X66&lt;=20,1,0))</formula>
    </cfRule>
    <cfRule type="expression" dxfId="5108" priority="973">
      <formula>AND(IF($Q66=2,1,0),IF($X66&lt;30,1,0))</formula>
    </cfRule>
    <cfRule type="expression" dxfId="5107" priority="974">
      <formula>AND(IF($Q66=3,1,0),IF($X66&lt;30,1,0))</formula>
    </cfRule>
    <cfRule type="expression" dxfId="5106" priority="975">
      <formula>AND(IF($Q66=3,1,IF($Q66=4,1,0)),IF($F66&lt;=85,1,0))</formula>
    </cfRule>
  </conditionalFormatting>
  <conditionalFormatting sqref="AI66">
    <cfRule type="expression" dxfId="5105" priority="968">
      <formula>AND(IF(OR($Q66=1,$Q66=2),1,0),IF($X66&lt;=20,1,0))</formula>
    </cfRule>
    <cfRule type="expression" dxfId="5104" priority="969">
      <formula>AND(IF($Q66=2,1,0),IF($X66&lt;30,1,0))</formula>
    </cfRule>
    <cfRule type="expression" dxfId="5103" priority="970">
      <formula>AND(IF($Q66=3,1,0),IF($X66&lt;30,1,0))</formula>
    </cfRule>
    <cfRule type="expression" dxfId="5102" priority="971">
      <formula>AND(IF($Q66=3,1,IF($Q66=4,1,0)),IF($F66&lt;=85,1,0))</formula>
    </cfRule>
  </conditionalFormatting>
  <conditionalFormatting sqref="AV67">
    <cfRule type="expression" dxfId="5101" priority="966">
      <formula>AV67="X"</formula>
    </cfRule>
    <cfRule type="expression" dxfId="5100" priority="967">
      <formula>AV67="후보"</formula>
    </cfRule>
  </conditionalFormatting>
  <conditionalFormatting sqref="Z67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5099" priority="963" operator="greaterThan">
      <formula>0.9</formula>
    </cfRule>
    <cfRule type="cellIs" dxfId="5098" priority="964" operator="greaterThan">
      <formula>0.85</formula>
    </cfRule>
  </conditionalFormatting>
  <conditionalFormatting sqref="N67">
    <cfRule type="cellIs" dxfId="5097" priority="961" operator="greaterThan">
      <formula>0.9</formula>
    </cfRule>
    <cfRule type="cellIs" dxfId="5096" priority="962" operator="greaterThan">
      <formula>0.85</formula>
    </cfRule>
  </conditionalFormatting>
  <conditionalFormatting sqref="E67">
    <cfRule type="expression" dxfId="5095" priority="957">
      <formula>AND(IF(OR($Q67=1,$Q67=2),1,0),IF($X67&lt;=20,1,0))</formula>
    </cfRule>
    <cfRule type="expression" dxfId="5094" priority="958">
      <formula>AND(IF($Q67=2,1,0),IF($X67&lt;30,1,0))</formula>
    </cfRule>
    <cfRule type="expression" dxfId="5093" priority="959">
      <formula>AND(IF($Q67=3,1,0),IF($X67&lt;30,1,0))</formula>
    </cfRule>
    <cfRule type="expression" dxfId="5092" priority="960">
      <formula>AND(IF($Q67=3,1,IF($Q67=4,1,0)),IF($F67&lt;=85,1,0))</formula>
    </cfRule>
  </conditionalFormatting>
  <conditionalFormatting sqref="X67">
    <cfRule type="expression" dxfId="5091" priority="953">
      <formula>AND(IF(OR($Q67=1,$Q67=2),1,0),IF($X67&lt;=20,1,0))</formula>
    </cfRule>
    <cfRule type="expression" dxfId="5090" priority="954">
      <formula>AND(IF($Q67=2,1,0),IF($X67&lt;30,1,0))</formula>
    </cfRule>
    <cfRule type="expression" dxfId="5089" priority="955">
      <formula>AND(IF($Q67=3,1,0),IF($X67&lt;30,1,0))</formula>
    </cfRule>
    <cfRule type="expression" dxfId="5088" priority="956">
      <formula>AND(IF($Q67=3,1,IF($Q67=4,1,0)),IF($F67&lt;=85,1,0))</formula>
    </cfRule>
  </conditionalFormatting>
  <conditionalFormatting sqref="AI67">
    <cfRule type="expression" dxfId="5087" priority="949">
      <formula>AND(IF(OR($Q67=1,$Q67=2),1,0),IF($X67&lt;=20,1,0))</formula>
    </cfRule>
    <cfRule type="expression" dxfId="5086" priority="950">
      <formula>AND(IF($Q67=2,1,0),IF($X67&lt;30,1,0))</formula>
    </cfRule>
    <cfRule type="expression" dxfId="5085" priority="951">
      <formula>AND(IF($Q67=3,1,0),IF($X67&lt;30,1,0))</formula>
    </cfRule>
    <cfRule type="expression" dxfId="5084" priority="952">
      <formula>AND(IF($Q67=3,1,IF($Q67=4,1,0)),IF($F67&lt;=85,1,0))</formula>
    </cfRule>
  </conditionalFormatting>
  <conditionalFormatting sqref="AV68">
    <cfRule type="expression" dxfId="5083" priority="947">
      <formula>AV68="X"</formula>
    </cfRule>
    <cfRule type="expression" dxfId="5082" priority="948">
      <formula>AV68="후보"</formula>
    </cfRule>
  </conditionalFormatting>
  <conditionalFormatting sqref="Z68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5081" priority="944" operator="greaterThan">
      <formula>0.9</formula>
    </cfRule>
    <cfRule type="cellIs" dxfId="5080" priority="945" operator="greaterThan">
      <formula>0.85</formula>
    </cfRule>
  </conditionalFormatting>
  <conditionalFormatting sqref="N68">
    <cfRule type="cellIs" dxfId="5079" priority="942" operator="greaterThan">
      <formula>0.9</formula>
    </cfRule>
    <cfRule type="cellIs" dxfId="5078" priority="943" operator="greaterThan">
      <formula>0.85</formula>
    </cfRule>
  </conditionalFormatting>
  <conditionalFormatting sqref="E68">
    <cfRule type="expression" dxfId="5077" priority="938">
      <formula>AND(IF(OR($Q68=1,$Q68=2),1,0),IF($X68&lt;=20,1,0))</formula>
    </cfRule>
    <cfRule type="expression" dxfId="5076" priority="939">
      <formula>AND(IF($Q68=2,1,0),IF($X68&lt;30,1,0))</formula>
    </cfRule>
    <cfRule type="expression" dxfId="5075" priority="940">
      <formula>AND(IF($Q68=3,1,0),IF($X68&lt;30,1,0))</formula>
    </cfRule>
    <cfRule type="expression" dxfId="5074" priority="941">
      <formula>AND(IF($Q68=3,1,IF($Q68=4,1,0)),IF($F68&lt;=85,1,0))</formula>
    </cfRule>
  </conditionalFormatting>
  <conditionalFormatting sqref="X68">
    <cfRule type="expression" dxfId="5073" priority="934">
      <formula>AND(IF(OR($Q68=1,$Q68=2),1,0),IF($X68&lt;=20,1,0))</formula>
    </cfRule>
    <cfRule type="expression" dxfId="5072" priority="935">
      <formula>AND(IF($Q68=2,1,0),IF($X68&lt;30,1,0))</formula>
    </cfRule>
    <cfRule type="expression" dxfId="5071" priority="936">
      <formula>AND(IF($Q68=3,1,0),IF($X68&lt;30,1,0))</formula>
    </cfRule>
    <cfRule type="expression" dxfId="5070" priority="937">
      <formula>AND(IF($Q68=3,1,IF($Q68=4,1,0)),IF($F68&lt;=85,1,0))</formula>
    </cfRule>
  </conditionalFormatting>
  <conditionalFormatting sqref="AI68">
    <cfRule type="expression" dxfId="5069" priority="930">
      <formula>AND(IF(OR($Q68=1,$Q68=2),1,0),IF($X68&lt;=20,1,0))</formula>
    </cfRule>
    <cfRule type="expression" dxfId="5068" priority="931">
      <formula>AND(IF($Q68=2,1,0),IF($X68&lt;30,1,0))</formula>
    </cfRule>
    <cfRule type="expression" dxfId="5067" priority="932">
      <formula>AND(IF($Q68=3,1,0),IF($X68&lt;30,1,0))</formula>
    </cfRule>
    <cfRule type="expression" dxfId="5066" priority="933">
      <formula>AND(IF($Q68=3,1,IF($Q68=4,1,0)),IF($F68&lt;=85,1,0))</formula>
    </cfRule>
  </conditionalFormatting>
  <conditionalFormatting sqref="AV69">
    <cfRule type="expression" dxfId="5065" priority="928">
      <formula>AV69="X"</formula>
    </cfRule>
    <cfRule type="expression" dxfId="5064" priority="929">
      <formula>AV69="후보"</formula>
    </cfRule>
  </conditionalFormatting>
  <conditionalFormatting sqref="Z69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5063" priority="925" operator="greaterThan">
      <formula>0.9</formula>
    </cfRule>
    <cfRule type="cellIs" dxfId="5062" priority="926" operator="greaterThan">
      <formula>0.85</formula>
    </cfRule>
  </conditionalFormatting>
  <conditionalFormatting sqref="N69">
    <cfRule type="cellIs" dxfId="5061" priority="923" operator="greaterThan">
      <formula>0.9</formula>
    </cfRule>
    <cfRule type="cellIs" dxfId="5060" priority="924" operator="greaterThan">
      <formula>0.85</formula>
    </cfRule>
  </conditionalFormatting>
  <conditionalFormatting sqref="E69">
    <cfRule type="expression" dxfId="5059" priority="919">
      <formula>AND(IF(OR($Q69=1,$Q69=2),1,0),IF($X69&lt;=20,1,0))</formula>
    </cfRule>
    <cfRule type="expression" dxfId="5058" priority="920">
      <formula>AND(IF($Q69=2,1,0),IF($X69&lt;30,1,0))</formula>
    </cfRule>
    <cfRule type="expression" dxfId="5057" priority="921">
      <formula>AND(IF($Q69=3,1,0),IF($X69&lt;30,1,0))</formula>
    </cfRule>
    <cfRule type="expression" dxfId="5056" priority="922">
      <formula>AND(IF($Q69=3,1,IF($Q69=4,1,0)),IF($F69&lt;=85,1,0))</formula>
    </cfRule>
  </conditionalFormatting>
  <conditionalFormatting sqref="X69">
    <cfRule type="expression" dxfId="5055" priority="915">
      <formula>AND(IF(OR($Q69=1,$Q69=2),1,0),IF($X69&lt;=20,1,0))</formula>
    </cfRule>
    <cfRule type="expression" dxfId="5054" priority="916">
      <formula>AND(IF($Q69=2,1,0),IF($X69&lt;30,1,0))</formula>
    </cfRule>
    <cfRule type="expression" dxfId="5053" priority="917">
      <formula>AND(IF($Q69=3,1,0),IF($X69&lt;30,1,0))</formula>
    </cfRule>
    <cfRule type="expression" dxfId="5052" priority="918">
      <formula>AND(IF($Q69=3,1,IF($Q69=4,1,0)),IF($F69&lt;=85,1,0))</formula>
    </cfRule>
  </conditionalFormatting>
  <conditionalFormatting sqref="AI69">
    <cfRule type="expression" dxfId="5051" priority="911">
      <formula>AND(IF(OR($Q69=1,$Q69=2),1,0),IF($X69&lt;=20,1,0))</formula>
    </cfRule>
    <cfRule type="expression" dxfId="5050" priority="912">
      <formula>AND(IF($Q69=2,1,0),IF($X69&lt;30,1,0))</formula>
    </cfRule>
    <cfRule type="expression" dxfId="5049" priority="913">
      <formula>AND(IF($Q69=3,1,0),IF($X69&lt;30,1,0))</formula>
    </cfRule>
    <cfRule type="expression" dxfId="5048" priority="914">
      <formula>AND(IF($Q69=3,1,IF($Q69=4,1,0)),IF($F69&lt;=85,1,0))</formula>
    </cfRule>
  </conditionalFormatting>
  <conditionalFormatting sqref="AV70">
    <cfRule type="expression" dxfId="5047" priority="909">
      <formula>AV70="X"</formula>
    </cfRule>
    <cfRule type="expression" dxfId="5046" priority="910">
      <formula>AV70="후보"</formula>
    </cfRule>
  </conditionalFormatting>
  <conditionalFormatting sqref="Z70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5045" priority="906" operator="greaterThan">
      <formula>0.9</formula>
    </cfRule>
    <cfRule type="cellIs" dxfId="5044" priority="907" operator="greaterThan">
      <formula>0.85</formula>
    </cfRule>
  </conditionalFormatting>
  <conditionalFormatting sqref="AV71">
    <cfRule type="expression" dxfId="5043" priority="904">
      <formula>AV71="X"</formula>
    </cfRule>
    <cfRule type="expression" dxfId="5042" priority="905">
      <formula>AV71="후보"</formula>
    </cfRule>
  </conditionalFormatting>
  <conditionalFormatting sqref="Z71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5041" priority="901" operator="greaterThan">
      <formula>0.9</formula>
    </cfRule>
    <cfRule type="cellIs" dxfId="5040" priority="902" operator="greaterThan">
      <formula>0.85</formula>
    </cfRule>
  </conditionalFormatting>
  <conditionalFormatting sqref="N71">
    <cfRule type="cellIs" dxfId="5039" priority="899" operator="greaterThan">
      <formula>0.9</formula>
    </cfRule>
    <cfRule type="cellIs" dxfId="5038" priority="900" operator="greaterThan">
      <formula>0.85</formula>
    </cfRule>
  </conditionalFormatting>
  <conditionalFormatting sqref="E71">
    <cfRule type="expression" dxfId="5037" priority="895">
      <formula>AND(IF(OR($Q71=1,$Q71=2),1,0),IF($X71&lt;=20,1,0))</formula>
    </cfRule>
    <cfRule type="expression" dxfId="5036" priority="896">
      <formula>AND(IF($Q71=2,1,0),IF($X71&lt;30,1,0))</formula>
    </cfRule>
    <cfRule type="expression" dxfId="5035" priority="897">
      <formula>AND(IF($Q71=3,1,0),IF($X71&lt;30,1,0))</formula>
    </cfRule>
    <cfRule type="expression" dxfId="5034" priority="898">
      <formula>AND(IF($Q71=3,1,IF($Q71=4,1,0)),IF($F71&lt;=85,1,0))</formula>
    </cfRule>
  </conditionalFormatting>
  <conditionalFormatting sqref="X71">
    <cfRule type="expression" dxfId="5033" priority="891">
      <formula>AND(IF(OR($Q71=1,$Q71=2),1,0),IF($X71&lt;=20,1,0))</formula>
    </cfRule>
    <cfRule type="expression" dxfId="5032" priority="892">
      <formula>AND(IF($Q71=2,1,0),IF($X71&lt;30,1,0))</formula>
    </cfRule>
    <cfRule type="expression" dxfId="5031" priority="893">
      <formula>AND(IF($Q71=3,1,0),IF($X71&lt;30,1,0))</formula>
    </cfRule>
    <cfRule type="expression" dxfId="5030" priority="894">
      <formula>AND(IF($Q71=3,1,IF($Q71=4,1,0)),IF($F71&lt;=85,1,0))</formula>
    </cfRule>
  </conditionalFormatting>
  <conditionalFormatting sqref="AI71">
    <cfRule type="expression" dxfId="5029" priority="887">
      <formula>AND(IF(OR($Q71=1,$Q71=2),1,0),IF($X71&lt;=20,1,0))</formula>
    </cfRule>
    <cfRule type="expression" dxfId="5028" priority="888">
      <formula>AND(IF($Q71=2,1,0),IF($X71&lt;30,1,0))</formula>
    </cfRule>
    <cfRule type="expression" dxfId="5027" priority="889">
      <formula>AND(IF($Q71=3,1,0),IF($X71&lt;30,1,0))</formula>
    </cfRule>
    <cfRule type="expression" dxfId="5026" priority="890">
      <formula>AND(IF($Q71=3,1,IF($Q71=4,1,0)),IF($F71&lt;=85,1,0))</formula>
    </cfRule>
  </conditionalFormatting>
  <conditionalFormatting sqref="AV72">
    <cfRule type="expression" dxfId="5025" priority="885">
      <formula>AV72="X"</formula>
    </cfRule>
    <cfRule type="expression" dxfId="5024" priority="886">
      <formula>AV72="후보"</formula>
    </cfRule>
  </conditionalFormatting>
  <conditionalFormatting sqref="Z72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5023" priority="882" operator="greaterThan">
      <formula>0.9</formula>
    </cfRule>
    <cfRule type="cellIs" dxfId="5022" priority="883" operator="greaterThan">
      <formula>0.85</formula>
    </cfRule>
  </conditionalFormatting>
  <conditionalFormatting sqref="N72">
    <cfRule type="cellIs" dxfId="5021" priority="880" operator="greaterThan">
      <formula>0.9</formula>
    </cfRule>
    <cfRule type="cellIs" dxfId="5020" priority="881" operator="greaterThan">
      <formula>0.85</formula>
    </cfRule>
  </conditionalFormatting>
  <conditionalFormatting sqref="E72">
    <cfRule type="expression" dxfId="5019" priority="876">
      <formula>AND(IF(OR($Q72=1,$Q72=2),1,0),IF($X72&lt;=20,1,0))</formula>
    </cfRule>
    <cfRule type="expression" dxfId="5018" priority="877">
      <formula>AND(IF($Q72=2,1,0),IF($X72&lt;30,1,0))</formula>
    </cfRule>
    <cfRule type="expression" dxfId="5017" priority="878">
      <formula>AND(IF($Q72=3,1,0),IF($X72&lt;30,1,0))</formula>
    </cfRule>
    <cfRule type="expression" dxfId="5016" priority="879">
      <formula>AND(IF($Q72=3,1,IF($Q72=4,1,0)),IF($F72&lt;=85,1,0))</formula>
    </cfRule>
  </conditionalFormatting>
  <conditionalFormatting sqref="X72">
    <cfRule type="expression" dxfId="5015" priority="872">
      <formula>AND(IF(OR($Q72=1,$Q72=2),1,0),IF($X72&lt;=20,1,0))</formula>
    </cfRule>
    <cfRule type="expression" dxfId="5014" priority="873">
      <formula>AND(IF($Q72=2,1,0),IF($X72&lt;30,1,0))</formula>
    </cfRule>
    <cfRule type="expression" dxfId="5013" priority="874">
      <formula>AND(IF($Q72=3,1,0),IF($X72&lt;30,1,0))</formula>
    </cfRule>
    <cfRule type="expression" dxfId="5012" priority="875">
      <formula>AND(IF($Q72=3,1,IF($Q72=4,1,0)),IF($F72&lt;=85,1,0))</formula>
    </cfRule>
  </conditionalFormatting>
  <conditionalFormatting sqref="AI72">
    <cfRule type="expression" dxfId="5011" priority="868">
      <formula>AND(IF(OR($Q72=1,$Q72=2),1,0),IF($X72&lt;=20,1,0))</formula>
    </cfRule>
    <cfRule type="expression" dxfId="5010" priority="869">
      <formula>AND(IF($Q72=2,1,0),IF($X72&lt;30,1,0))</formula>
    </cfRule>
    <cfRule type="expression" dxfId="5009" priority="870">
      <formula>AND(IF($Q72=3,1,0),IF($X72&lt;30,1,0))</formula>
    </cfRule>
    <cfRule type="expression" dxfId="5008" priority="871">
      <formula>AND(IF($Q72=3,1,IF($Q72=4,1,0)),IF($F72&lt;=85,1,0))</formula>
    </cfRule>
  </conditionalFormatting>
  <conditionalFormatting sqref="AV73">
    <cfRule type="expression" dxfId="5007" priority="866">
      <formula>AV73="X"</formula>
    </cfRule>
    <cfRule type="expression" dxfId="5006" priority="867">
      <formula>AV73="후보"</formula>
    </cfRule>
  </conditionalFormatting>
  <conditionalFormatting sqref="Z73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5005" priority="863" operator="greaterThan">
      <formula>0.9</formula>
    </cfRule>
    <cfRule type="cellIs" dxfId="5004" priority="864" operator="greaterThan">
      <formula>0.85</formula>
    </cfRule>
  </conditionalFormatting>
  <conditionalFormatting sqref="N73">
    <cfRule type="cellIs" dxfId="5003" priority="861" operator="greaterThan">
      <formula>0.9</formula>
    </cfRule>
    <cfRule type="cellIs" dxfId="5002" priority="862" operator="greaterThan">
      <formula>0.85</formula>
    </cfRule>
  </conditionalFormatting>
  <conditionalFormatting sqref="E73">
    <cfRule type="expression" dxfId="5001" priority="857">
      <formula>AND(IF(OR($Q73=1,$Q73=2),1,0),IF($X73&lt;=20,1,0))</formula>
    </cfRule>
    <cfRule type="expression" dxfId="5000" priority="858">
      <formula>AND(IF($Q73=2,1,0),IF($X73&lt;30,1,0))</formula>
    </cfRule>
    <cfRule type="expression" dxfId="4999" priority="859">
      <formula>AND(IF($Q73=3,1,0),IF($X73&lt;30,1,0))</formula>
    </cfRule>
    <cfRule type="expression" dxfId="4998" priority="860">
      <formula>AND(IF($Q73=3,1,IF($Q73=4,1,0)),IF($F73&lt;=85,1,0))</formula>
    </cfRule>
  </conditionalFormatting>
  <conditionalFormatting sqref="X73">
    <cfRule type="expression" dxfId="4997" priority="853">
      <formula>AND(IF(OR($Q73=1,$Q73=2),1,0),IF($X73&lt;=20,1,0))</formula>
    </cfRule>
    <cfRule type="expression" dxfId="4996" priority="854">
      <formula>AND(IF($Q73=2,1,0),IF($X73&lt;30,1,0))</formula>
    </cfRule>
    <cfRule type="expression" dxfId="4995" priority="855">
      <formula>AND(IF($Q73=3,1,0),IF($X73&lt;30,1,0))</formula>
    </cfRule>
    <cfRule type="expression" dxfId="4994" priority="856">
      <formula>AND(IF($Q73=3,1,IF($Q73=4,1,0)),IF($F73&lt;=85,1,0))</formula>
    </cfRule>
  </conditionalFormatting>
  <conditionalFormatting sqref="AI73">
    <cfRule type="expression" dxfId="4993" priority="849">
      <formula>AND(IF(OR($Q73=1,$Q73=2),1,0),IF($X73&lt;=20,1,0))</formula>
    </cfRule>
    <cfRule type="expression" dxfId="4992" priority="850">
      <formula>AND(IF($Q73=2,1,0),IF($X73&lt;30,1,0))</formula>
    </cfRule>
    <cfRule type="expression" dxfId="4991" priority="851">
      <formula>AND(IF($Q73=3,1,0),IF($X73&lt;30,1,0))</formula>
    </cfRule>
    <cfRule type="expression" dxfId="4990" priority="852">
      <formula>AND(IF($Q73=3,1,IF($Q73=4,1,0)),IF($F73&lt;=85,1,0))</formula>
    </cfRule>
  </conditionalFormatting>
  <conditionalFormatting sqref="AV74">
    <cfRule type="expression" dxfId="4989" priority="847">
      <formula>AV74="X"</formula>
    </cfRule>
    <cfRule type="expression" dxfId="4988" priority="848">
      <formula>AV74="후보"</formula>
    </cfRule>
  </conditionalFormatting>
  <conditionalFormatting sqref="Z74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4987" priority="844" operator="greaterThan">
      <formula>0.9</formula>
    </cfRule>
    <cfRule type="cellIs" dxfId="4986" priority="845" operator="greaterThan">
      <formula>0.85</formula>
    </cfRule>
  </conditionalFormatting>
  <conditionalFormatting sqref="N74">
    <cfRule type="cellIs" dxfId="4985" priority="842" operator="greaterThan">
      <formula>0.9</formula>
    </cfRule>
    <cfRule type="cellIs" dxfId="4984" priority="843" operator="greaterThan">
      <formula>0.85</formula>
    </cfRule>
  </conditionalFormatting>
  <conditionalFormatting sqref="E74">
    <cfRule type="expression" dxfId="4983" priority="838">
      <formula>AND(IF(OR($Q74=1,$Q74=2),1,0),IF($X74&lt;=20,1,0))</formula>
    </cfRule>
    <cfRule type="expression" dxfId="4982" priority="839">
      <formula>AND(IF($Q74=2,1,0),IF($X74&lt;30,1,0))</formula>
    </cfRule>
    <cfRule type="expression" dxfId="4981" priority="840">
      <formula>AND(IF($Q74=3,1,0),IF($X74&lt;30,1,0))</formula>
    </cfRule>
    <cfRule type="expression" dxfId="4980" priority="841">
      <formula>AND(IF($Q74=3,1,IF($Q74=4,1,0)),IF($F74&lt;=85,1,0))</formula>
    </cfRule>
  </conditionalFormatting>
  <conditionalFormatting sqref="X74">
    <cfRule type="expression" dxfId="4979" priority="834">
      <formula>AND(IF(OR($Q74=1,$Q74=2),1,0),IF($X74&lt;=20,1,0))</formula>
    </cfRule>
    <cfRule type="expression" dxfId="4978" priority="835">
      <formula>AND(IF($Q74=2,1,0),IF($X74&lt;30,1,0))</formula>
    </cfRule>
    <cfRule type="expression" dxfId="4977" priority="836">
      <formula>AND(IF($Q74=3,1,0),IF($X74&lt;30,1,0))</formula>
    </cfRule>
    <cfRule type="expression" dxfId="4976" priority="837">
      <formula>AND(IF($Q74=3,1,IF($Q74=4,1,0)),IF($F74&lt;=85,1,0))</formula>
    </cfRule>
  </conditionalFormatting>
  <conditionalFormatting sqref="AI74">
    <cfRule type="expression" dxfId="4975" priority="830">
      <formula>AND(IF(OR($Q74=1,$Q74=2),1,0),IF($X74&lt;=20,1,0))</formula>
    </cfRule>
    <cfRule type="expression" dxfId="4974" priority="831">
      <formula>AND(IF($Q74=2,1,0),IF($X74&lt;30,1,0))</formula>
    </cfRule>
    <cfRule type="expression" dxfId="4973" priority="832">
      <formula>AND(IF($Q74=3,1,0),IF($X74&lt;30,1,0))</formula>
    </cfRule>
    <cfRule type="expression" dxfId="4972" priority="833">
      <formula>AND(IF($Q74=3,1,IF($Q74=4,1,0)),IF($F74&lt;=85,1,0))</formula>
    </cfRule>
  </conditionalFormatting>
  <conditionalFormatting sqref="AV75">
    <cfRule type="expression" dxfId="4971" priority="828">
      <formula>AV75="X"</formula>
    </cfRule>
    <cfRule type="expression" dxfId="4970" priority="829">
      <formula>AV75="후보"</formula>
    </cfRule>
  </conditionalFormatting>
  <conditionalFormatting sqref="Z75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4969" priority="825" operator="greaterThan">
      <formula>0.9</formula>
    </cfRule>
    <cfRule type="cellIs" dxfId="4968" priority="826" operator="greaterThan">
      <formula>0.85</formula>
    </cfRule>
  </conditionalFormatting>
  <conditionalFormatting sqref="N75">
    <cfRule type="cellIs" dxfId="4967" priority="823" operator="greaterThan">
      <formula>0.9</formula>
    </cfRule>
    <cfRule type="cellIs" dxfId="4966" priority="824" operator="greaterThan">
      <formula>0.85</formula>
    </cfRule>
  </conditionalFormatting>
  <conditionalFormatting sqref="E75">
    <cfRule type="expression" dxfId="4965" priority="819">
      <formula>AND(IF(OR($Q75=1,$Q75=2),1,0),IF($X75&lt;=20,1,0))</formula>
    </cfRule>
    <cfRule type="expression" dxfId="4964" priority="820">
      <formula>AND(IF($Q75=2,1,0),IF($X75&lt;30,1,0))</formula>
    </cfRule>
    <cfRule type="expression" dxfId="4963" priority="821">
      <formula>AND(IF($Q75=3,1,0),IF($X75&lt;30,1,0))</formula>
    </cfRule>
    <cfRule type="expression" dxfId="4962" priority="822">
      <formula>AND(IF($Q75=3,1,IF($Q75=4,1,0)),IF($F75&lt;=85,1,0))</formula>
    </cfRule>
  </conditionalFormatting>
  <conditionalFormatting sqref="X75">
    <cfRule type="expression" dxfId="4961" priority="815">
      <formula>AND(IF(OR($Q75=1,$Q75=2),1,0),IF($X75&lt;=20,1,0))</formula>
    </cfRule>
    <cfRule type="expression" dxfId="4960" priority="816">
      <formula>AND(IF($Q75=2,1,0),IF($X75&lt;30,1,0))</formula>
    </cfRule>
    <cfRule type="expression" dxfId="4959" priority="817">
      <formula>AND(IF($Q75=3,1,0),IF($X75&lt;30,1,0))</formula>
    </cfRule>
    <cfRule type="expression" dxfId="4958" priority="818">
      <formula>AND(IF($Q75=3,1,IF($Q75=4,1,0)),IF($F75&lt;=85,1,0))</formula>
    </cfRule>
  </conditionalFormatting>
  <conditionalFormatting sqref="AI75">
    <cfRule type="expression" dxfId="4957" priority="811">
      <formula>AND(IF(OR($Q75=1,$Q75=2),1,0),IF($X75&lt;=20,1,0))</formula>
    </cfRule>
    <cfRule type="expression" dxfId="4956" priority="812">
      <formula>AND(IF($Q75=2,1,0),IF($X75&lt;30,1,0))</formula>
    </cfRule>
    <cfRule type="expression" dxfId="4955" priority="813">
      <formula>AND(IF($Q75=3,1,0),IF($X75&lt;30,1,0))</formula>
    </cfRule>
    <cfRule type="expression" dxfId="4954" priority="814">
      <formula>AND(IF($Q75=3,1,IF($Q75=4,1,0)),IF($F75&lt;=85,1,0))</formula>
    </cfRule>
  </conditionalFormatting>
  <conditionalFormatting sqref="AV76">
    <cfRule type="expression" dxfId="4953" priority="809">
      <formula>AV76="X"</formula>
    </cfRule>
    <cfRule type="expression" dxfId="4952" priority="810">
      <formula>AV76="후보"</formula>
    </cfRule>
  </conditionalFormatting>
  <conditionalFormatting sqref="Z76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4951" priority="806" operator="greaterThan">
      <formula>0.9</formula>
    </cfRule>
    <cfRule type="cellIs" dxfId="4950" priority="807" operator="greaterThan">
      <formula>0.85</formula>
    </cfRule>
  </conditionalFormatting>
  <conditionalFormatting sqref="N76">
    <cfRule type="cellIs" dxfId="4949" priority="804" operator="greaterThan">
      <formula>0.9</formula>
    </cfRule>
    <cfRule type="cellIs" dxfId="4948" priority="805" operator="greaterThan">
      <formula>0.85</formula>
    </cfRule>
  </conditionalFormatting>
  <conditionalFormatting sqref="E76">
    <cfRule type="expression" dxfId="4947" priority="800">
      <formula>AND(IF(OR($Q76=1,$Q76=2),1,0),IF($X76&lt;=20,1,0))</formula>
    </cfRule>
    <cfRule type="expression" dxfId="4946" priority="801">
      <formula>AND(IF($Q76=2,1,0),IF($X76&lt;30,1,0))</formula>
    </cfRule>
    <cfRule type="expression" dxfId="4945" priority="802">
      <formula>AND(IF($Q76=3,1,0),IF($X76&lt;30,1,0))</formula>
    </cfRule>
    <cfRule type="expression" dxfId="4944" priority="803">
      <formula>AND(IF($Q76=3,1,IF($Q76=4,1,0)),IF($F76&lt;=85,1,0))</formula>
    </cfRule>
  </conditionalFormatting>
  <conditionalFormatting sqref="X76">
    <cfRule type="expression" dxfId="4943" priority="796">
      <formula>AND(IF(OR($Q76=1,$Q76=2),1,0),IF($X76&lt;=20,1,0))</formula>
    </cfRule>
    <cfRule type="expression" dxfId="4942" priority="797">
      <formula>AND(IF($Q76=2,1,0),IF($X76&lt;30,1,0))</formula>
    </cfRule>
    <cfRule type="expression" dxfId="4941" priority="798">
      <formula>AND(IF($Q76=3,1,0),IF($X76&lt;30,1,0))</formula>
    </cfRule>
    <cfRule type="expression" dxfId="4940" priority="799">
      <formula>AND(IF($Q76=3,1,IF($Q76=4,1,0)),IF($F76&lt;=85,1,0))</formula>
    </cfRule>
  </conditionalFormatting>
  <conditionalFormatting sqref="AI76">
    <cfRule type="expression" dxfId="4939" priority="792">
      <formula>AND(IF(OR($Q76=1,$Q76=2),1,0),IF($X76&lt;=20,1,0))</formula>
    </cfRule>
    <cfRule type="expression" dxfId="4938" priority="793">
      <formula>AND(IF($Q76=2,1,0),IF($X76&lt;30,1,0))</formula>
    </cfRule>
    <cfRule type="expression" dxfId="4937" priority="794">
      <formula>AND(IF($Q76=3,1,0),IF($X76&lt;30,1,0))</formula>
    </cfRule>
    <cfRule type="expression" dxfId="4936" priority="795">
      <formula>AND(IF($Q76=3,1,IF($Q76=4,1,0)),IF($F76&lt;=85,1,0))</formula>
    </cfRule>
  </conditionalFormatting>
  <conditionalFormatting sqref="AV77">
    <cfRule type="expression" dxfId="4935" priority="790">
      <formula>AV77="X"</formula>
    </cfRule>
    <cfRule type="expression" dxfId="4934" priority="791">
      <formula>AV77="후보"</formula>
    </cfRule>
  </conditionalFormatting>
  <conditionalFormatting sqref="Z77">
    <cfRule type="colorScale" priority="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4933" priority="787" operator="greaterThan">
      <formula>0.9</formula>
    </cfRule>
    <cfRule type="cellIs" dxfId="4932" priority="788" operator="greaterThan">
      <formula>0.85</formula>
    </cfRule>
  </conditionalFormatting>
  <conditionalFormatting sqref="N77">
    <cfRule type="cellIs" dxfId="4931" priority="785" operator="greaterThan">
      <formula>0.9</formula>
    </cfRule>
    <cfRule type="cellIs" dxfId="4930" priority="786" operator="greaterThan">
      <formula>0.85</formula>
    </cfRule>
  </conditionalFormatting>
  <conditionalFormatting sqref="E77">
    <cfRule type="expression" dxfId="4929" priority="781">
      <formula>AND(IF(OR($Q77=1,$Q77=2),1,0),IF($X77&lt;=20,1,0))</formula>
    </cfRule>
    <cfRule type="expression" dxfId="4928" priority="782">
      <formula>AND(IF($Q77=2,1,0),IF($X77&lt;30,1,0))</formula>
    </cfRule>
    <cfRule type="expression" dxfId="4927" priority="783">
      <formula>AND(IF($Q77=3,1,0),IF($X77&lt;30,1,0))</formula>
    </cfRule>
    <cfRule type="expression" dxfId="4926" priority="784">
      <formula>AND(IF($Q77=3,1,IF($Q77=4,1,0)),IF($F77&lt;=85,1,0))</formula>
    </cfRule>
  </conditionalFormatting>
  <conditionalFormatting sqref="X77">
    <cfRule type="expression" dxfId="4925" priority="777">
      <formula>AND(IF(OR($Q77=1,$Q77=2),1,0),IF($X77&lt;=20,1,0))</formula>
    </cfRule>
    <cfRule type="expression" dxfId="4924" priority="778">
      <formula>AND(IF($Q77=2,1,0),IF($X77&lt;30,1,0))</formula>
    </cfRule>
    <cfRule type="expression" dxfId="4923" priority="779">
      <formula>AND(IF($Q77=3,1,0),IF($X77&lt;30,1,0))</formula>
    </cfRule>
    <cfRule type="expression" dxfId="4922" priority="780">
      <formula>AND(IF($Q77=3,1,IF($Q77=4,1,0)),IF($F77&lt;=85,1,0))</formula>
    </cfRule>
  </conditionalFormatting>
  <conditionalFormatting sqref="AI77">
    <cfRule type="expression" dxfId="4921" priority="773">
      <formula>AND(IF(OR($Q77=1,$Q77=2),1,0),IF($X77&lt;=20,1,0))</formula>
    </cfRule>
    <cfRule type="expression" dxfId="4920" priority="774">
      <formula>AND(IF($Q77=2,1,0),IF($X77&lt;30,1,0))</formula>
    </cfRule>
    <cfRule type="expression" dxfId="4919" priority="775">
      <formula>AND(IF($Q77=3,1,0),IF($X77&lt;30,1,0))</formula>
    </cfRule>
    <cfRule type="expression" dxfId="4918" priority="776">
      <formula>AND(IF($Q77=3,1,IF($Q77=4,1,0)),IF($F77&lt;=85,1,0))</formula>
    </cfRule>
  </conditionalFormatting>
  <conditionalFormatting sqref="AV78">
    <cfRule type="expression" dxfId="4917" priority="771">
      <formula>AV78="X"</formula>
    </cfRule>
    <cfRule type="expression" dxfId="4916" priority="772">
      <formula>AV78="후보"</formula>
    </cfRule>
  </conditionalFormatting>
  <conditionalFormatting sqref="Z78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4915" priority="768" operator="greaterThan">
      <formula>0.9</formula>
    </cfRule>
    <cfRule type="cellIs" dxfId="4914" priority="769" operator="greaterThan">
      <formula>0.85</formula>
    </cfRule>
  </conditionalFormatting>
  <conditionalFormatting sqref="N78">
    <cfRule type="cellIs" dxfId="4913" priority="766" operator="greaterThan">
      <formula>0.9</formula>
    </cfRule>
    <cfRule type="cellIs" dxfId="4912" priority="767" operator="greaterThan">
      <formula>0.85</formula>
    </cfRule>
  </conditionalFormatting>
  <conditionalFormatting sqref="E78">
    <cfRule type="expression" dxfId="4911" priority="762">
      <formula>AND(IF(OR($Q78=1,$Q78=2),1,0),IF($X78&lt;=20,1,0))</formula>
    </cfRule>
    <cfRule type="expression" dxfId="4910" priority="763">
      <formula>AND(IF($Q78=2,1,0),IF($X78&lt;30,1,0))</formula>
    </cfRule>
    <cfRule type="expression" dxfId="4909" priority="764">
      <formula>AND(IF($Q78=3,1,0),IF($X78&lt;30,1,0))</formula>
    </cfRule>
    <cfRule type="expression" dxfId="4908" priority="765">
      <formula>AND(IF($Q78=3,1,IF($Q78=4,1,0)),IF($F78&lt;=85,1,0))</formula>
    </cfRule>
  </conditionalFormatting>
  <conditionalFormatting sqref="X78">
    <cfRule type="expression" dxfId="4907" priority="758">
      <formula>AND(IF(OR($Q78=1,$Q78=2),1,0),IF($X78&lt;=20,1,0))</formula>
    </cfRule>
    <cfRule type="expression" dxfId="4906" priority="759">
      <formula>AND(IF($Q78=2,1,0),IF($X78&lt;30,1,0))</formula>
    </cfRule>
    <cfRule type="expression" dxfId="4905" priority="760">
      <formula>AND(IF($Q78=3,1,0),IF($X78&lt;30,1,0))</formula>
    </cfRule>
    <cfRule type="expression" dxfId="4904" priority="761">
      <formula>AND(IF($Q78=3,1,IF($Q78=4,1,0)),IF($F78&lt;=85,1,0))</formula>
    </cfRule>
  </conditionalFormatting>
  <conditionalFormatting sqref="AI78">
    <cfRule type="expression" dxfId="4903" priority="754">
      <formula>AND(IF(OR($Q78=1,$Q78=2),1,0),IF($X78&lt;=20,1,0))</formula>
    </cfRule>
    <cfRule type="expression" dxfId="4902" priority="755">
      <formula>AND(IF($Q78=2,1,0),IF($X78&lt;30,1,0))</formula>
    </cfRule>
    <cfRule type="expression" dxfId="4901" priority="756">
      <formula>AND(IF($Q78=3,1,0),IF($X78&lt;30,1,0))</formula>
    </cfRule>
    <cfRule type="expression" dxfId="4900" priority="757">
      <formula>AND(IF($Q78=3,1,IF($Q78=4,1,0)),IF($F78&lt;=85,1,0))</formula>
    </cfRule>
  </conditionalFormatting>
  <conditionalFormatting sqref="AV79">
    <cfRule type="expression" dxfId="4899" priority="752">
      <formula>AV79="X"</formula>
    </cfRule>
    <cfRule type="expression" dxfId="4898" priority="753">
      <formula>AV79="후보"</formula>
    </cfRule>
  </conditionalFormatting>
  <conditionalFormatting sqref="Z79">
    <cfRule type="colorScale" priority="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4897" priority="749" operator="greaterThan">
      <formula>0.9</formula>
    </cfRule>
    <cfRule type="cellIs" dxfId="4896" priority="750" operator="greaterThan">
      <formula>0.85</formula>
    </cfRule>
  </conditionalFormatting>
  <conditionalFormatting sqref="N79">
    <cfRule type="cellIs" dxfId="4895" priority="747" operator="greaterThan">
      <formula>0.9</formula>
    </cfRule>
    <cfRule type="cellIs" dxfId="4894" priority="748" operator="greaterThan">
      <formula>0.85</formula>
    </cfRule>
  </conditionalFormatting>
  <conditionalFormatting sqref="E79">
    <cfRule type="expression" dxfId="4893" priority="743">
      <formula>AND(IF(OR($Q79=1,$Q79=2),1,0),IF($X79&lt;=20,1,0))</formula>
    </cfRule>
    <cfRule type="expression" dxfId="4892" priority="744">
      <formula>AND(IF($Q79=2,1,0),IF($X79&lt;30,1,0))</formula>
    </cfRule>
    <cfRule type="expression" dxfId="4891" priority="745">
      <formula>AND(IF($Q79=3,1,0),IF($X79&lt;30,1,0))</formula>
    </cfRule>
    <cfRule type="expression" dxfId="4890" priority="746">
      <formula>AND(IF($Q79=3,1,IF($Q79=4,1,0)),IF($F79&lt;=85,1,0))</formula>
    </cfRule>
  </conditionalFormatting>
  <conditionalFormatting sqref="X79">
    <cfRule type="expression" dxfId="4889" priority="739">
      <formula>AND(IF(OR($Q79=1,$Q79=2),1,0),IF($X79&lt;=20,1,0))</formula>
    </cfRule>
    <cfRule type="expression" dxfId="4888" priority="740">
      <formula>AND(IF($Q79=2,1,0),IF($X79&lt;30,1,0))</formula>
    </cfRule>
    <cfRule type="expression" dxfId="4887" priority="741">
      <formula>AND(IF($Q79=3,1,0),IF($X79&lt;30,1,0))</formula>
    </cfRule>
    <cfRule type="expression" dxfId="4886" priority="742">
      <formula>AND(IF($Q79=3,1,IF($Q79=4,1,0)),IF($F79&lt;=85,1,0))</formula>
    </cfRule>
  </conditionalFormatting>
  <conditionalFormatting sqref="AI79">
    <cfRule type="expression" dxfId="4885" priority="735">
      <formula>AND(IF(OR($Q79=1,$Q79=2),1,0),IF($X79&lt;=20,1,0))</formula>
    </cfRule>
    <cfRule type="expression" dxfId="4884" priority="736">
      <formula>AND(IF($Q79=2,1,0),IF($X79&lt;30,1,0))</formula>
    </cfRule>
    <cfRule type="expression" dxfId="4883" priority="737">
      <formula>AND(IF($Q79=3,1,0),IF($X79&lt;30,1,0))</formula>
    </cfRule>
    <cfRule type="expression" dxfId="4882" priority="738">
      <formula>AND(IF($Q79=3,1,IF($Q79=4,1,0)),IF($F79&lt;=85,1,0))</formula>
    </cfRule>
  </conditionalFormatting>
  <conditionalFormatting sqref="AV80">
    <cfRule type="expression" dxfId="4881" priority="733">
      <formula>AV80="X"</formula>
    </cfRule>
    <cfRule type="expression" dxfId="4880" priority="734">
      <formula>AV80="후보"</formula>
    </cfRule>
  </conditionalFormatting>
  <conditionalFormatting sqref="Z80">
    <cfRule type="colorScale" priority="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4879" priority="730" operator="greaterThan">
      <formula>0.9</formula>
    </cfRule>
    <cfRule type="cellIs" dxfId="4878" priority="731" operator="greaterThan">
      <formula>0.85</formula>
    </cfRule>
  </conditionalFormatting>
  <conditionalFormatting sqref="N80">
    <cfRule type="cellIs" dxfId="4877" priority="728" operator="greaterThan">
      <formula>0.9</formula>
    </cfRule>
    <cfRule type="cellIs" dxfId="4876" priority="729" operator="greaterThan">
      <formula>0.85</formula>
    </cfRule>
  </conditionalFormatting>
  <conditionalFormatting sqref="E80">
    <cfRule type="expression" dxfId="4875" priority="724">
      <formula>AND(IF(OR($Q80=1,$Q80=2),1,0),IF($X80&lt;=20,1,0))</formula>
    </cfRule>
    <cfRule type="expression" dxfId="4874" priority="725">
      <formula>AND(IF($Q80=2,1,0),IF($X80&lt;30,1,0))</formula>
    </cfRule>
    <cfRule type="expression" dxfId="4873" priority="726">
      <formula>AND(IF($Q80=3,1,0),IF($X80&lt;30,1,0))</formula>
    </cfRule>
    <cfRule type="expression" dxfId="4872" priority="727">
      <formula>AND(IF($Q80=3,1,IF($Q80=4,1,0)),IF($F80&lt;=85,1,0))</formula>
    </cfRule>
  </conditionalFormatting>
  <conditionalFormatting sqref="X80">
    <cfRule type="expression" dxfId="4871" priority="720">
      <formula>AND(IF(OR($Q80=1,$Q80=2),1,0),IF($X80&lt;=20,1,0))</formula>
    </cfRule>
    <cfRule type="expression" dxfId="4870" priority="721">
      <formula>AND(IF($Q80=2,1,0),IF($X80&lt;30,1,0))</formula>
    </cfRule>
    <cfRule type="expression" dxfId="4869" priority="722">
      <formula>AND(IF($Q80=3,1,0),IF($X80&lt;30,1,0))</formula>
    </cfRule>
    <cfRule type="expression" dxfId="4868" priority="723">
      <formula>AND(IF($Q80=3,1,IF($Q80=4,1,0)),IF($F80&lt;=85,1,0))</formula>
    </cfRule>
  </conditionalFormatting>
  <conditionalFormatting sqref="AI80">
    <cfRule type="expression" dxfId="4867" priority="716">
      <formula>AND(IF(OR($Q80=1,$Q80=2),1,0),IF($X80&lt;=20,1,0))</formula>
    </cfRule>
    <cfRule type="expression" dxfId="4866" priority="717">
      <formula>AND(IF($Q80=2,1,0),IF($X80&lt;30,1,0))</formula>
    </cfRule>
    <cfRule type="expression" dxfId="4865" priority="718">
      <formula>AND(IF($Q80=3,1,0),IF($X80&lt;30,1,0))</formula>
    </cfRule>
    <cfRule type="expression" dxfId="4864" priority="719">
      <formula>AND(IF($Q80=3,1,IF($Q80=4,1,0)),IF($F80&lt;=85,1,0))</formula>
    </cfRule>
  </conditionalFormatting>
  <conditionalFormatting sqref="AV81">
    <cfRule type="expression" dxfId="4863" priority="714">
      <formula>AV81="X"</formula>
    </cfRule>
    <cfRule type="expression" dxfId="4862" priority="715">
      <formula>AV81="후보"</formula>
    </cfRule>
  </conditionalFormatting>
  <conditionalFormatting sqref="Z81">
    <cfRule type="colorScale" priority="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4861" priority="711" operator="greaterThan">
      <formula>0.9</formula>
    </cfRule>
    <cfRule type="cellIs" dxfId="4860" priority="712" operator="greaterThan">
      <formula>0.85</formula>
    </cfRule>
  </conditionalFormatting>
  <conditionalFormatting sqref="N81">
    <cfRule type="cellIs" dxfId="4859" priority="709" operator="greaterThan">
      <formula>0.9</formula>
    </cfRule>
    <cfRule type="cellIs" dxfId="4858" priority="710" operator="greaterThan">
      <formula>0.85</formula>
    </cfRule>
  </conditionalFormatting>
  <conditionalFormatting sqref="E81">
    <cfRule type="expression" dxfId="4857" priority="705">
      <formula>AND(IF(OR($Q81=1,$Q81=2),1,0),IF($X81&lt;=20,1,0))</formula>
    </cfRule>
    <cfRule type="expression" dxfId="4856" priority="706">
      <formula>AND(IF($Q81=2,1,0),IF($X81&lt;30,1,0))</formula>
    </cfRule>
    <cfRule type="expression" dxfId="4855" priority="707">
      <formula>AND(IF($Q81=3,1,0),IF($X81&lt;30,1,0))</formula>
    </cfRule>
    <cfRule type="expression" dxfId="4854" priority="708">
      <formula>AND(IF($Q81=3,1,IF($Q81=4,1,0)),IF($F81&lt;=85,1,0))</formula>
    </cfRule>
  </conditionalFormatting>
  <conditionalFormatting sqref="X81">
    <cfRule type="expression" dxfId="4853" priority="701">
      <formula>AND(IF(OR($Q81=1,$Q81=2),1,0),IF($X81&lt;=20,1,0))</formula>
    </cfRule>
    <cfRule type="expression" dxfId="4852" priority="702">
      <formula>AND(IF($Q81=2,1,0),IF($X81&lt;30,1,0))</formula>
    </cfRule>
    <cfRule type="expression" dxfId="4851" priority="703">
      <formula>AND(IF($Q81=3,1,0),IF($X81&lt;30,1,0))</formula>
    </cfRule>
    <cfRule type="expression" dxfId="4850" priority="704">
      <formula>AND(IF($Q81=3,1,IF($Q81=4,1,0)),IF($F81&lt;=85,1,0))</formula>
    </cfRule>
  </conditionalFormatting>
  <conditionalFormatting sqref="AI81">
    <cfRule type="expression" dxfId="4849" priority="697">
      <formula>AND(IF(OR($Q81=1,$Q81=2),1,0),IF($X81&lt;=20,1,0))</formula>
    </cfRule>
    <cfRule type="expression" dxfId="4848" priority="698">
      <formula>AND(IF($Q81=2,1,0),IF($X81&lt;30,1,0))</formula>
    </cfRule>
    <cfRule type="expression" dxfId="4847" priority="699">
      <formula>AND(IF($Q81=3,1,0),IF($X81&lt;30,1,0))</formula>
    </cfRule>
    <cfRule type="expression" dxfId="4846" priority="700">
      <formula>AND(IF($Q81=3,1,IF($Q81=4,1,0)),IF($F81&lt;=85,1,0))</formula>
    </cfRule>
  </conditionalFormatting>
  <conditionalFormatting sqref="AV82">
    <cfRule type="expression" dxfId="4845" priority="695">
      <formula>AV82="X"</formula>
    </cfRule>
    <cfRule type="expression" dxfId="4844" priority="696">
      <formula>AV82="후보"</formula>
    </cfRule>
  </conditionalFormatting>
  <conditionalFormatting sqref="Z82">
    <cfRule type="colorScale" priority="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4843" priority="692" operator="greaterThan">
      <formula>0.9</formula>
    </cfRule>
    <cfRule type="cellIs" dxfId="4842" priority="693" operator="greaterThan">
      <formula>0.85</formula>
    </cfRule>
  </conditionalFormatting>
  <conditionalFormatting sqref="N82">
    <cfRule type="cellIs" dxfId="4841" priority="690" operator="greaterThan">
      <formula>0.9</formula>
    </cfRule>
    <cfRule type="cellIs" dxfId="4840" priority="691" operator="greaterThan">
      <formula>0.85</formula>
    </cfRule>
  </conditionalFormatting>
  <conditionalFormatting sqref="E82">
    <cfRule type="expression" dxfId="4839" priority="686">
      <formula>AND(IF(OR($Q82=1,$Q82=2),1,0),IF($X82&lt;=20,1,0))</formula>
    </cfRule>
    <cfRule type="expression" dxfId="4838" priority="687">
      <formula>AND(IF($Q82=2,1,0),IF($X82&lt;30,1,0))</formula>
    </cfRule>
    <cfRule type="expression" dxfId="4837" priority="688">
      <formula>AND(IF($Q82=3,1,0),IF($X82&lt;30,1,0))</formula>
    </cfRule>
    <cfRule type="expression" dxfId="4836" priority="689">
      <formula>AND(IF($Q82=3,1,IF($Q82=4,1,0)),IF($F82&lt;=85,1,0))</formula>
    </cfRule>
  </conditionalFormatting>
  <conditionalFormatting sqref="X82">
    <cfRule type="expression" dxfId="4835" priority="682">
      <formula>AND(IF(OR($Q82=1,$Q82=2),1,0),IF($X82&lt;=20,1,0))</formula>
    </cfRule>
    <cfRule type="expression" dxfId="4834" priority="683">
      <formula>AND(IF($Q82=2,1,0),IF($X82&lt;30,1,0))</formula>
    </cfRule>
    <cfRule type="expression" dxfId="4833" priority="684">
      <formula>AND(IF($Q82=3,1,0),IF($X82&lt;30,1,0))</formula>
    </cfRule>
    <cfRule type="expression" dxfId="4832" priority="685">
      <formula>AND(IF($Q82=3,1,IF($Q82=4,1,0)),IF($F82&lt;=85,1,0))</formula>
    </cfRule>
  </conditionalFormatting>
  <conditionalFormatting sqref="AI82">
    <cfRule type="expression" dxfId="4831" priority="678">
      <formula>AND(IF(OR($Q82=1,$Q82=2),1,0),IF($X82&lt;=20,1,0))</formula>
    </cfRule>
    <cfRule type="expression" dxfId="4830" priority="679">
      <formula>AND(IF($Q82=2,1,0),IF($X82&lt;30,1,0))</formula>
    </cfRule>
    <cfRule type="expression" dxfId="4829" priority="680">
      <formula>AND(IF($Q82=3,1,0),IF($X82&lt;30,1,0))</formula>
    </cfRule>
    <cfRule type="expression" dxfId="4828" priority="681">
      <formula>AND(IF($Q82=3,1,IF($Q82=4,1,0)),IF($F82&lt;=85,1,0))</formula>
    </cfRule>
  </conditionalFormatting>
  <conditionalFormatting sqref="AV83">
    <cfRule type="expression" dxfId="4827" priority="676">
      <formula>AV83="X"</formula>
    </cfRule>
    <cfRule type="expression" dxfId="4826" priority="677">
      <formula>AV83="후보"</formula>
    </cfRule>
  </conditionalFormatting>
  <conditionalFormatting sqref="Z83">
    <cfRule type="colorScale" priority="6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4825" priority="673" operator="greaterThan">
      <formula>0.9</formula>
    </cfRule>
    <cfRule type="cellIs" dxfId="4824" priority="674" operator="greaterThan">
      <formula>0.85</formula>
    </cfRule>
  </conditionalFormatting>
  <conditionalFormatting sqref="N83">
    <cfRule type="cellIs" dxfId="4823" priority="671" operator="greaterThan">
      <formula>0.9</formula>
    </cfRule>
    <cfRule type="cellIs" dxfId="4822" priority="672" operator="greaterThan">
      <formula>0.85</formula>
    </cfRule>
  </conditionalFormatting>
  <conditionalFormatting sqref="E83">
    <cfRule type="expression" dxfId="4821" priority="667">
      <formula>AND(IF(OR($Q83=1,$Q83=2),1,0),IF($X83&lt;=20,1,0))</formula>
    </cfRule>
    <cfRule type="expression" dxfId="4820" priority="668">
      <formula>AND(IF($Q83=2,1,0),IF($X83&lt;30,1,0))</formula>
    </cfRule>
    <cfRule type="expression" dxfId="4819" priority="669">
      <formula>AND(IF($Q83=3,1,0),IF($X83&lt;30,1,0))</formula>
    </cfRule>
    <cfRule type="expression" dxfId="4818" priority="670">
      <formula>AND(IF($Q83=3,1,IF($Q83=4,1,0)),IF($F83&lt;=85,1,0))</formula>
    </cfRule>
  </conditionalFormatting>
  <conditionalFormatting sqref="X83">
    <cfRule type="expression" dxfId="4817" priority="663">
      <formula>AND(IF(OR($Q83=1,$Q83=2),1,0),IF($X83&lt;=20,1,0))</formula>
    </cfRule>
    <cfRule type="expression" dxfId="4816" priority="664">
      <formula>AND(IF($Q83=2,1,0),IF($X83&lt;30,1,0))</formula>
    </cfRule>
    <cfRule type="expression" dxfId="4815" priority="665">
      <formula>AND(IF($Q83=3,1,0),IF($X83&lt;30,1,0))</formula>
    </cfRule>
    <cfRule type="expression" dxfId="4814" priority="666">
      <formula>AND(IF($Q83=3,1,IF($Q83=4,1,0)),IF($F83&lt;=85,1,0))</formula>
    </cfRule>
  </conditionalFormatting>
  <conditionalFormatting sqref="AI83">
    <cfRule type="expression" dxfId="4813" priority="659">
      <formula>AND(IF(OR($Q83=1,$Q83=2),1,0),IF($X83&lt;=20,1,0))</formula>
    </cfRule>
    <cfRule type="expression" dxfId="4812" priority="660">
      <formula>AND(IF($Q83=2,1,0),IF($X83&lt;30,1,0))</formula>
    </cfRule>
    <cfRule type="expression" dxfId="4811" priority="661">
      <formula>AND(IF($Q83=3,1,0),IF($X83&lt;30,1,0))</formula>
    </cfRule>
    <cfRule type="expression" dxfId="4810" priority="662">
      <formula>AND(IF($Q83=3,1,IF($Q83=4,1,0)),IF($F83&lt;=85,1,0))</formula>
    </cfRule>
  </conditionalFormatting>
  <conditionalFormatting sqref="AV84">
    <cfRule type="expression" dxfId="4809" priority="657">
      <formula>AV84="X"</formula>
    </cfRule>
    <cfRule type="expression" dxfId="4808" priority="658">
      <formula>AV84="후보"</formula>
    </cfRule>
  </conditionalFormatting>
  <conditionalFormatting sqref="Z84">
    <cfRule type="colorScale" priority="6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4807" priority="654" operator="greaterThan">
      <formula>0.9</formula>
    </cfRule>
    <cfRule type="cellIs" dxfId="4806" priority="655" operator="greaterThan">
      <formula>0.85</formula>
    </cfRule>
  </conditionalFormatting>
  <conditionalFormatting sqref="N84">
    <cfRule type="cellIs" dxfId="4805" priority="652" operator="greaterThan">
      <formula>0.9</formula>
    </cfRule>
    <cfRule type="cellIs" dxfId="4804" priority="653" operator="greaterThan">
      <formula>0.85</formula>
    </cfRule>
  </conditionalFormatting>
  <conditionalFormatting sqref="E84">
    <cfRule type="expression" dxfId="4803" priority="648">
      <formula>AND(IF(OR($Q84=1,$Q84=2),1,0),IF($X84&lt;=20,1,0))</formula>
    </cfRule>
    <cfRule type="expression" dxfId="4802" priority="649">
      <formula>AND(IF($Q84=2,1,0),IF($X84&lt;30,1,0))</formula>
    </cfRule>
    <cfRule type="expression" dxfId="4801" priority="650">
      <formula>AND(IF($Q84=3,1,0),IF($X84&lt;30,1,0))</formula>
    </cfRule>
    <cfRule type="expression" dxfId="4800" priority="651">
      <formula>AND(IF($Q84=3,1,IF($Q84=4,1,0)),IF($F84&lt;=85,1,0))</formula>
    </cfRule>
  </conditionalFormatting>
  <conditionalFormatting sqref="X84">
    <cfRule type="expression" dxfId="4799" priority="644">
      <formula>AND(IF(OR($Q84=1,$Q84=2),1,0),IF($X84&lt;=20,1,0))</formula>
    </cfRule>
    <cfRule type="expression" dxfId="4798" priority="645">
      <formula>AND(IF($Q84=2,1,0),IF($X84&lt;30,1,0))</formula>
    </cfRule>
    <cfRule type="expression" dxfId="4797" priority="646">
      <formula>AND(IF($Q84=3,1,0),IF($X84&lt;30,1,0))</formula>
    </cfRule>
    <cfRule type="expression" dxfId="4796" priority="647">
      <formula>AND(IF($Q84=3,1,IF($Q84=4,1,0)),IF($F84&lt;=85,1,0))</formula>
    </cfRule>
  </conditionalFormatting>
  <conditionalFormatting sqref="AI84">
    <cfRule type="expression" dxfId="4795" priority="640">
      <formula>AND(IF(OR($Q84=1,$Q84=2),1,0),IF($X84&lt;=20,1,0))</formula>
    </cfRule>
    <cfRule type="expression" dxfId="4794" priority="641">
      <formula>AND(IF($Q84=2,1,0),IF($X84&lt;30,1,0))</formula>
    </cfRule>
    <cfRule type="expression" dxfId="4793" priority="642">
      <formula>AND(IF($Q84=3,1,0),IF($X84&lt;30,1,0))</formula>
    </cfRule>
    <cfRule type="expression" dxfId="4792" priority="643">
      <formula>AND(IF($Q84=3,1,IF($Q84=4,1,0)),IF($F84&lt;=85,1,0))</formula>
    </cfRule>
  </conditionalFormatting>
  <conditionalFormatting sqref="AV85">
    <cfRule type="expression" dxfId="4791" priority="638">
      <formula>AV85="X"</formula>
    </cfRule>
    <cfRule type="expression" dxfId="4790" priority="639">
      <formula>AV85="후보"</formula>
    </cfRule>
  </conditionalFormatting>
  <conditionalFormatting sqref="Z85">
    <cfRule type="colorScale" priority="6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4789" priority="635" operator="greaterThan">
      <formula>0.9</formula>
    </cfRule>
    <cfRule type="cellIs" dxfId="4788" priority="636" operator="greaterThan">
      <formula>0.85</formula>
    </cfRule>
  </conditionalFormatting>
  <conditionalFormatting sqref="AV86">
    <cfRule type="expression" dxfId="4787" priority="633">
      <formula>AV86="X"</formula>
    </cfRule>
    <cfRule type="expression" dxfId="4786" priority="634">
      <formula>AV86="후보"</formula>
    </cfRule>
  </conditionalFormatting>
  <conditionalFormatting sqref="Z86">
    <cfRule type="colorScale" priority="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4785" priority="630" operator="greaterThan">
      <formula>0.9</formula>
    </cfRule>
    <cfRule type="cellIs" dxfId="4784" priority="631" operator="greaterThan">
      <formula>0.85</formula>
    </cfRule>
  </conditionalFormatting>
  <conditionalFormatting sqref="N86">
    <cfRule type="cellIs" dxfId="4783" priority="628" operator="greaterThan">
      <formula>0.9</formula>
    </cfRule>
    <cfRule type="cellIs" dxfId="4782" priority="629" operator="greaterThan">
      <formula>0.85</formula>
    </cfRule>
  </conditionalFormatting>
  <conditionalFormatting sqref="E86">
    <cfRule type="expression" dxfId="4781" priority="624">
      <formula>AND(IF(OR($Q86=1,$Q86=2),1,0),IF($X86&lt;=20,1,0))</formula>
    </cfRule>
    <cfRule type="expression" dxfId="4780" priority="625">
      <formula>AND(IF($Q86=2,1,0),IF($X86&lt;30,1,0))</formula>
    </cfRule>
    <cfRule type="expression" dxfId="4779" priority="626">
      <formula>AND(IF($Q86=3,1,0),IF($X86&lt;30,1,0))</formula>
    </cfRule>
    <cfRule type="expression" dxfId="4778" priority="627">
      <formula>AND(IF($Q86=3,1,IF($Q86=4,1,0)),IF($F86&lt;=85,1,0))</formula>
    </cfRule>
  </conditionalFormatting>
  <conditionalFormatting sqref="X86">
    <cfRule type="expression" dxfId="4777" priority="620">
      <formula>AND(IF(OR($Q86=1,$Q86=2),1,0),IF($X86&lt;=20,1,0))</formula>
    </cfRule>
    <cfRule type="expression" dxfId="4776" priority="621">
      <formula>AND(IF($Q86=2,1,0),IF($X86&lt;30,1,0))</formula>
    </cfRule>
    <cfRule type="expression" dxfId="4775" priority="622">
      <formula>AND(IF($Q86=3,1,0),IF($X86&lt;30,1,0))</formula>
    </cfRule>
    <cfRule type="expression" dxfId="4774" priority="623">
      <formula>AND(IF($Q86=3,1,IF($Q86=4,1,0)),IF($F86&lt;=85,1,0))</formula>
    </cfRule>
  </conditionalFormatting>
  <conditionalFormatting sqref="AI86">
    <cfRule type="expression" dxfId="4773" priority="616">
      <formula>AND(IF(OR($Q86=1,$Q86=2),1,0),IF($X86&lt;=20,1,0))</formula>
    </cfRule>
    <cfRule type="expression" dxfId="4772" priority="617">
      <formula>AND(IF($Q86=2,1,0),IF($X86&lt;30,1,0))</formula>
    </cfRule>
    <cfRule type="expression" dxfId="4771" priority="618">
      <formula>AND(IF($Q86=3,1,0),IF($X86&lt;30,1,0))</formula>
    </cfRule>
    <cfRule type="expression" dxfId="4770" priority="619">
      <formula>AND(IF($Q86=3,1,IF($Q86=4,1,0)),IF($F86&lt;=85,1,0))</formula>
    </cfRule>
  </conditionalFormatting>
  <conditionalFormatting sqref="AV87">
    <cfRule type="expression" dxfId="4769" priority="614">
      <formula>AV87="X"</formula>
    </cfRule>
    <cfRule type="expression" dxfId="4768" priority="615">
      <formula>AV87="후보"</formula>
    </cfRule>
  </conditionalFormatting>
  <conditionalFormatting sqref="Z87">
    <cfRule type="colorScale" priority="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4767" priority="611" operator="greaterThan">
      <formula>0.9</formula>
    </cfRule>
    <cfRule type="cellIs" dxfId="4766" priority="612" operator="greaterThan">
      <formula>0.85</formula>
    </cfRule>
  </conditionalFormatting>
  <conditionalFormatting sqref="N87">
    <cfRule type="cellIs" dxfId="4765" priority="609" operator="greaterThan">
      <formula>0.9</formula>
    </cfRule>
    <cfRule type="cellIs" dxfId="4764" priority="610" operator="greaterThan">
      <formula>0.85</formula>
    </cfRule>
  </conditionalFormatting>
  <conditionalFormatting sqref="E87">
    <cfRule type="expression" dxfId="4763" priority="605">
      <formula>AND(IF(OR($Q87=1,$Q87=2),1,0),IF($X87&lt;=20,1,0))</formula>
    </cfRule>
    <cfRule type="expression" dxfId="4762" priority="606">
      <formula>AND(IF($Q87=2,1,0),IF($X87&lt;30,1,0))</formula>
    </cfRule>
    <cfRule type="expression" dxfId="4761" priority="607">
      <formula>AND(IF($Q87=3,1,0),IF($X87&lt;30,1,0))</formula>
    </cfRule>
    <cfRule type="expression" dxfId="4760" priority="608">
      <formula>AND(IF($Q87=3,1,IF($Q87=4,1,0)),IF($F87&lt;=85,1,0))</formula>
    </cfRule>
  </conditionalFormatting>
  <conditionalFormatting sqref="X87">
    <cfRule type="expression" dxfId="4759" priority="601">
      <formula>AND(IF(OR($Q87=1,$Q87=2),1,0),IF($X87&lt;=20,1,0))</formula>
    </cfRule>
    <cfRule type="expression" dxfId="4758" priority="602">
      <formula>AND(IF($Q87=2,1,0),IF($X87&lt;30,1,0))</formula>
    </cfRule>
    <cfRule type="expression" dxfId="4757" priority="603">
      <formula>AND(IF($Q87=3,1,0),IF($X87&lt;30,1,0))</formula>
    </cfRule>
    <cfRule type="expression" dxfId="4756" priority="604">
      <formula>AND(IF($Q87=3,1,IF($Q87=4,1,0)),IF($F87&lt;=85,1,0))</formula>
    </cfRule>
  </conditionalFormatting>
  <conditionalFormatting sqref="AI87">
    <cfRule type="expression" dxfId="4755" priority="597">
      <formula>AND(IF(OR($Q87=1,$Q87=2),1,0),IF($X87&lt;=20,1,0))</formula>
    </cfRule>
    <cfRule type="expression" dxfId="4754" priority="598">
      <formula>AND(IF($Q87=2,1,0),IF($X87&lt;30,1,0))</formula>
    </cfRule>
    <cfRule type="expression" dxfId="4753" priority="599">
      <formula>AND(IF($Q87=3,1,0),IF($X87&lt;30,1,0))</formula>
    </cfRule>
    <cfRule type="expression" dxfId="4752" priority="600">
      <formula>AND(IF($Q87=3,1,IF($Q87=4,1,0)),IF($F87&lt;=85,1,0))</formula>
    </cfRule>
  </conditionalFormatting>
  <conditionalFormatting sqref="AV88">
    <cfRule type="expression" dxfId="4751" priority="595">
      <formula>AV88="X"</formula>
    </cfRule>
    <cfRule type="expression" dxfId="4750" priority="596">
      <formula>AV88="후보"</formula>
    </cfRule>
  </conditionalFormatting>
  <conditionalFormatting sqref="Z88">
    <cfRule type="colorScale" priority="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4749" priority="592" operator="greaterThan">
      <formula>0.9</formula>
    </cfRule>
    <cfRule type="cellIs" dxfId="4748" priority="593" operator="greaterThan">
      <formula>0.85</formula>
    </cfRule>
  </conditionalFormatting>
  <conditionalFormatting sqref="N88">
    <cfRule type="cellIs" dxfId="4747" priority="590" operator="greaterThan">
      <formula>0.9</formula>
    </cfRule>
    <cfRule type="cellIs" dxfId="4746" priority="591" operator="greaterThan">
      <formula>0.85</formula>
    </cfRule>
  </conditionalFormatting>
  <conditionalFormatting sqref="E88">
    <cfRule type="expression" dxfId="4745" priority="586">
      <formula>AND(IF(OR($Q88=1,$Q88=2),1,0),IF($X88&lt;=20,1,0))</formula>
    </cfRule>
    <cfRule type="expression" dxfId="4744" priority="587">
      <formula>AND(IF($Q88=2,1,0),IF($X88&lt;30,1,0))</formula>
    </cfRule>
    <cfRule type="expression" dxfId="4743" priority="588">
      <formula>AND(IF($Q88=3,1,0),IF($X88&lt;30,1,0))</formula>
    </cfRule>
    <cfRule type="expression" dxfId="4742" priority="589">
      <formula>AND(IF($Q88=3,1,IF($Q88=4,1,0)),IF($F88&lt;=85,1,0))</formula>
    </cfRule>
  </conditionalFormatting>
  <conditionalFormatting sqref="X88">
    <cfRule type="expression" dxfId="4741" priority="582">
      <formula>AND(IF(OR($Q88=1,$Q88=2),1,0),IF($X88&lt;=20,1,0))</formula>
    </cfRule>
    <cfRule type="expression" dxfId="4740" priority="583">
      <formula>AND(IF($Q88=2,1,0),IF($X88&lt;30,1,0))</formula>
    </cfRule>
    <cfRule type="expression" dxfId="4739" priority="584">
      <formula>AND(IF($Q88=3,1,0),IF($X88&lt;30,1,0))</formula>
    </cfRule>
    <cfRule type="expression" dxfId="4738" priority="585">
      <formula>AND(IF($Q88=3,1,IF($Q88=4,1,0)),IF($F88&lt;=85,1,0))</formula>
    </cfRule>
  </conditionalFormatting>
  <conditionalFormatting sqref="AI88">
    <cfRule type="expression" dxfId="4737" priority="578">
      <formula>AND(IF(OR($Q88=1,$Q88=2),1,0),IF($X88&lt;=20,1,0))</formula>
    </cfRule>
    <cfRule type="expression" dxfId="4736" priority="579">
      <formula>AND(IF($Q88=2,1,0),IF($X88&lt;30,1,0))</formula>
    </cfRule>
    <cfRule type="expression" dxfId="4735" priority="580">
      <formula>AND(IF($Q88=3,1,0),IF($X88&lt;30,1,0))</formula>
    </cfRule>
    <cfRule type="expression" dxfId="4734" priority="581">
      <formula>AND(IF($Q88=3,1,IF($Q88=4,1,0)),IF($F88&lt;=85,1,0))</formula>
    </cfRule>
  </conditionalFormatting>
  <conditionalFormatting sqref="AV89">
    <cfRule type="expression" dxfId="4733" priority="576">
      <formula>AV89="X"</formula>
    </cfRule>
    <cfRule type="expression" dxfId="4732" priority="577">
      <formula>AV89="후보"</formula>
    </cfRule>
  </conditionalFormatting>
  <conditionalFormatting sqref="Z89">
    <cfRule type="colorScale" priority="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4731" priority="573" operator="greaterThan">
      <formula>0.9</formula>
    </cfRule>
    <cfRule type="cellIs" dxfId="4730" priority="574" operator="greaterThan">
      <formula>0.85</formula>
    </cfRule>
  </conditionalFormatting>
  <conditionalFormatting sqref="N89">
    <cfRule type="cellIs" dxfId="4729" priority="571" operator="greaterThan">
      <formula>0.9</formula>
    </cfRule>
    <cfRule type="cellIs" dxfId="4728" priority="572" operator="greaterThan">
      <formula>0.85</formula>
    </cfRule>
  </conditionalFormatting>
  <conditionalFormatting sqref="E89">
    <cfRule type="expression" dxfId="4727" priority="567">
      <formula>AND(IF(OR($Q89=1,$Q89=2),1,0),IF($X89&lt;=20,1,0))</formula>
    </cfRule>
    <cfRule type="expression" dxfId="4726" priority="568">
      <formula>AND(IF($Q89=2,1,0),IF($X89&lt;30,1,0))</formula>
    </cfRule>
    <cfRule type="expression" dxfId="4725" priority="569">
      <formula>AND(IF($Q89=3,1,0),IF($X89&lt;30,1,0))</formula>
    </cfRule>
    <cfRule type="expression" dxfId="4724" priority="570">
      <formula>AND(IF($Q89=3,1,IF($Q89=4,1,0)),IF($F89&lt;=85,1,0))</formula>
    </cfRule>
  </conditionalFormatting>
  <conditionalFormatting sqref="X89">
    <cfRule type="expression" dxfId="4723" priority="563">
      <formula>AND(IF(OR($Q89=1,$Q89=2),1,0),IF($X89&lt;=20,1,0))</formula>
    </cfRule>
    <cfRule type="expression" dxfId="4722" priority="564">
      <formula>AND(IF($Q89=2,1,0),IF($X89&lt;30,1,0))</formula>
    </cfRule>
    <cfRule type="expression" dxfId="4721" priority="565">
      <formula>AND(IF($Q89=3,1,0),IF($X89&lt;30,1,0))</formula>
    </cfRule>
    <cfRule type="expression" dxfId="4720" priority="566">
      <formula>AND(IF($Q89=3,1,IF($Q89=4,1,0)),IF($F89&lt;=85,1,0))</formula>
    </cfRule>
  </conditionalFormatting>
  <conditionalFormatting sqref="AI89">
    <cfRule type="expression" dxfId="4719" priority="559">
      <formula>AND(IF(OR($Q89=1,$Q89=2),1,0),IF($X89&lt;=20,1,0))</formula>
    </cfRule>
    <cfRule type="expression" dxfId="4718" priority="560">
      <formula>AND(IF($Q89=2,1,0),IF($X89&lt;30,1,0))</formula>
    </cfRule>
    <cfRule type="expression" dxfId="4717" priority="561">
      <formula>AND(IF($Q89=3,1,0),IF($X89&lt;30,1,0))</formula>
    </cfRule>
    <cfRule type="expression" dxfId="4716" priority="562">
      <formula>AND(IF($Q89=3,1,IF($Q89=4,1,0)),IF($F89&lt;=85,1,0))</formula>
    </cfRule>
  </conditionalFormatting>
  <conditionalFormatting sqref="AV90">
    <cfRule type="expression" dxfId="4715" priority="557">
      <formula>AV90="X"</formula>
    </cfRule>
    <cfRule type="expression" dxfId="4714" priority="558">
      <formula>AV90="후보"</formula>
    </cfRule>
  </conditionalFormatting>
  <conditionalFormatting sqref="Z90">
    <cfRule type="colorScale" priority="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4713" priority="554" operator="greaterThan">
      <formula>0.9</formula>
    </cfRule>
    <cfRule type="cellIs" dxfId="4712" priority="555" operator="greaterThan">
      <formula>0.85</formula>
    </cfRule>
  </conditionalFormatting>
  <conditionalFormatting sqref="N90">
    <cfRule type="cellIs" dxfId="4711" priority="552" operator="greaterThan">
      <formula>0.9</formula>
    </cfRule>
    <cfRule type="cellIs" dxfId="4710" priority="553" operator="greaterThan">
      <formula>0.85</formula>
    </cfRule>
  </conditionalFormatting>
  <conditionalFormatting sqref="E90">
    <cfRule type="expression" dxfId="4709" priority="548">
      <formula>AND(IF(OR($Q90=1,$Q90=2),1,0),IF($X90&lt;=20,1,0))</formula>
    </cfRule>
    <cfRule type="expression" dxfId="4708" priority="549">
      <formula>AND(IF($Q90=2,1,0),IF($X90&lt;30,1,0))</formula>
    </cfRule>
    <cfRule type="expression" dxfId="4707" priority="550">
      <formula>AND(IF($Q90=3,1,0),IF($X90&lt;30,1,0))</formula>
    </cfRule>
    <cfRule type="expression" dxfId="4706" priority="551">
      <formula>AND(IF($Q90=3,1,IF($Q90=4,1,0)),IF($F90&lt;=85,1,0))</formula>
    </cfRule>
  </conditionalFormatting>
  <conditionalFormatting sqref="X90">
    <cfRule type="expression" dxfId="4705" priority="544">
      <formula>AND(IF(OR($Q90=1,$Q90=2),1,0),IF($X90&lt;=20,1,0))</formula>
    </cfRule>
    <cfRule type="expression" dxfId="4704" priority="545">
      <formula>AND(IF($Q90=2,1,0),IF($X90&lt;30,1,0))</formula>
    </cfRule>
    <cfRule type="expression" dxfId="4703" priority="546">
      <formula>AND(IF($Q90=3,1,0),IF($X90&lt;30,1,0))</formula>
    </cfRule>
    <cfRule type="expression" dxfId="4702" priority="547">
      <formula>AND(IF($Q90=3,1,IF($Q90=4,1,0)),IF($F90&lt;=85,1,0))</formula>
    </cfRule>
  </conditionalFormatting>
  <conditionalFormatting sqref="AI90">
    <cfRule type="expression" dxfId="4701" priority="540">
      <formula>AND(IF(OR($Q90=1,$Q90=2),1,0),IF($X90&lt;=20,1,0))</formula>
    </cfRule>
    <cfRule type="expression" dxfId="4700" priority="541">
      <formula>AND(IF($Q90=2,1,0),IF($X90&lt;30,1,0))</formula>
    </cfRule>
    <cfRule type="expression" dxfId="4699" priority="542">
      <formula>AND(IF($Q90=3,1,0),IF($X90&lt;30,1,0))</formula>
    </cfRule>
    <cfRule type="expression" dxfId="4698" priority="543">
      <formula>AND(IF($Q90=3,1,IF($Q90=4,1,0)),IF($F90&lt;=85,1,0))</formula>
    </cfRule>
  </conditionalFormatting>
  <conditionalFormatting sqref="AV91">
    <cfRule type="expression" dxfId="4697" priority="538">
      <formula>AV91="X"</formula>
    </cfRule>
    <cfRule type="expression" dxfId="4696" priority="539">
      <formula>AV91="후보"</formula>
    </cfRule>
  </conditionalFormatting>
  <conditionalFormatting sqref="Z91">
    <cfRule type="colorScale" priority="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4695" priority="535" operator="greaterThan">
      <formula>0.9</formula>
    </cfRule>
    <cfRule type="cellIs" dxfId="4694" priority="536" operator="greaterThan">
      <formula>0.85</formula>
    </cfRule>
  </conditionalFormatting>
  <conditionalFormatting sqref="N91">
    <cfRule type="cellIs" dxfId="4693" priority="533" operator="greaterThan">
      <formula>0.9</formula>
    </cfRule>
    <cfRule type="cellIs" dxfId="4692" priority="534" operator="greaterThan">
      <formula>0.85</formula>
    </cfRule>
  </conditionalFormatting>
  <conditionalFormatting sqref="E91">
    <cfRule type="expression" dxfId="4691" priority="529">
      <formula>AND(IF(OR($Q91=1,$Q91=2),1,0),IF($X91&lt;=20,1,0))</formula>
    </cfRule>
    <cfRule type="expression" dxfId="4690" priority="530">
      <formula>AND(IF($Q91=2,1,0),IF($X91&lt;30,1,0))</formula>
    </cfRule>
    <cfRule type="expression" dxfId="4689" priority="531">
      <formula>AND(IF($Q91=3,1,0),IF($X91&lt;30,1,0))</formula>
    </cfRule>
    <cfRule type="expression" dxfId="4688" priority="532">
      <formula>AND(IF($Q91=3,1,IF($Q91=4,1,0)),IF($F91&lt;=85,1,0))</formula>
    </cfRule>
  </conditionalFormatting>
  <conditionalFormatting sqref="X91">
    <cfRule type="expression" dxfId="4687" priority="525">
      <formula>AND(IF(OR($Q91=1,$Q91=2),1,0),IF($X91&lt;=20,1,0))</formula>
    </cfRule>
    <cfRule type="expression" dxfId="4686" priority="526">
      <formula>AND(IF($Q91=2,1,0),IF($X91&lt;30,1,0))</formula>
    </cfRule>
    <cfRule type="expression" dxfId="4685" priority="527">
      <formula>AND(IF($Q91=3,1,0),IF($X91&lt;30,1,0))</formula>
    </cfRule>
    <cfRule type="expression" dxfId="4684" priority="528">
      <formula>AND(IF($Q91=3,1,IF($Q91=4,1,0)),IF($F91&lt;=85,1,0))</formula>
    </cfRule>
  </conditionalFormatting>
  <conditionalFormatting sqref="AI91">
    <cfRule type="expression" dxfId="4683" priority="521">
      <formula>AND(IF(OR($Q91=1,$Q91=2),1,0),IF($X91&lt;=20,1,0))</formula>
    </cfRule>
    <cfRule type="expression" dxfId="4682" priority="522">
      <formula>AND(IF($Q91=2,1,0),IF($X91&lt;30,1,0))</formula>
    </cfRule>
    <cfRule type="expression" dxfId="4681" priority="523">
      <formula>AND(IF($Q91=3,1,0),IF($X91&lt;30,1,0))</formula>
    </cfRule>
    <cfRule type="expression" dxfId="4680" priority="524">
      <formula>AND(IF($Q91=3,1,IF($Q91=4,1,0)),IF($F91&lt;=85,1,0))</formula>
    </cfRule>
  </conditionalFormatting>
  <conditionalFormatting sqref="AV92">
    <cfRule type="expression" dxfId="4679" priority="519">
      <formula>AV92="X"</formula>
    </cfRule>
    <cfRule type="expression" dxfId="4678" priority="520">
      <formula>AV92="후보"</formula>
    </cfRule>
  </conditionalFormatting>
  <conditionalFormatting sqref="Z92">
    <cfRule type="colorScale" priority="5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 N92">
    <cfRule type="cellIs" dxfId="4677" priority="516" operator="greaterThan">
      <formula>0.9</formula>
    </cfRule>
    <cfRule type="cellIs" dxfId="4676" priority="517" operator="greaterThan">
      <formula>0.85</formula>
    </cfRule>
  </conditionalFormatting>
  <conditionalFormatting sqref="AV93">
    <cfRule type="expression" dxfId="4675" priority="514">
      <formula>AV93="X"</formula>
    </cfRule>
    <cfRule type="expression" dxfId="4674" priority="515">
      <formula>AV93="후보"</formula>
    </cfRule>
  </conditionalFormatting>
  <conditionalFormatting sqref="Z93">
    <cfRule type="colorScale" priority="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4673" priority="511" operator="greaterThan">
      <formula>0.9</formula>
    </cfRule>
    <cfRule type="cellIs" dxfId="4672" priority="512" operator="greaterThan">
      <formula>0.85</formula>
    </cfRule>
  </conditionalFormatting>
  <conditionalFormatting sqref="N93">
    <cfRule type="cellIs" dxfId="4671" priority="509" operator="greaterThan">
      <formula>0.9</formula>
    </cfRule>
    <cfRule type="cellIs" dxfId="4670" priority="510" operator="greaterThan">
      <formula>0.85</formula>
    </cfRule>
  </conditionalFormatting>
  <conditionalFormatting sqref="E93">
    <cfRule type="expression" dxfId="4669" priority="505">
      <formula>AND(IF(OR($Q93=1,$Q93=2),1,0),IF($X93&lt;=20,1,0))</formula>
    </cfRule>
    <cfRule type="expression" dxfId="4668" priority="506">
      <formula>AND(IF($Q93=2,1,0),IF($X93&lt;30,1,0))</formula>
    </cfRule>
    <cfRule type="expression" dxfId="4667" priority="507">
      <formula>AND(IF($Q93=3,1,0),IF($X93&lt;30,1,0))</formula>
    </cfRule>
    <cfRule type="expression" dxfId="4666" priority="508">
      <formula>AND(IF($Q93=3,1,IF($Q93=4,1,0)),IF($F93&lt;=85,1,0))</formula>
    </cfRule>
  </conditionalFormatting>
  <conditionalFormatting sqref="X93">
    <cfRule type="expression" dxfId="4665" priority="501">
      <formula>AND(IF(OR($Q93=1,$Q93=2),1,0),IF($X93&lt;=20,1,0))</formula>
    </cfRule>
    <cfRule type="expression" dxfId="4664" priority="502">
      <formula>AND(IF($Q93=2,1,0),IF($X93&lt;30,1,0))</formula>
    </cfRule>
    <cfRule type="expression" dxfId="4663" priority="503">
      <formula>AND(IF($Q93=3,1,0),IF($X93&lt;30,1,0))</formula>
    </cfRule>
    <cfRule type="expression" dxfId="4662" priority="504">
      <formula>AND(IF($Q93=3,1,IF($Q93=4,1,0)),IF($F93&lt;=85,1,0))</formula>
    </cfRule>
  </conditionalFormatting>
  <conditionalFormatting sqref="AI93">
    <cfRule type="expression" dxfId="4661" priority="497">
      <formula>AND(IF(OR($Q93=1,$Q93=2),1,0),IF($X93&lt;=20,1,0))</formula>
    </cfRule>
    <cfRule type="expression" dxfId="4660" priority="498">
      <formula>AND(IF($Q93=2,1,0),IF($X93&lt;30,1,0))</formula>
    </cfRule>
    <cfRule type="expression" dxfId="4659" priority="499">
      <formula>AND(IF($Q93=3,1,0),IF($X93&lt;30,1,0))</formula>
    </cfRule>
    <cfRule type="expression" dxfId="4658" priority="500">
      <formula>AND(IF($Q93=3,1,IF($Q93=4,1,0)),IF($F93&lt;=85,1,0))</formula>
    </cfRule>
  </conditionalFormatting>
  <conditionalFormatting sqref="AV94">
    <cfRule type="expression" dxfId="4657" priority="495">
      <formula>AV94="X"</formula>
    </cfRule>
    <cfRule type="expression" dxfId="4656" priority="496">
      <formula>AV94="후보"</formula>
    </cfRule>
  </conditionalFormatting>
  <conditionalFormatting sqref="Z94">
    <cfRule type="colorScale" priority="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4655" priority="492" operator="greaterThan">
      <formula>0.9</formula>
    </cfRule>
    <cfRule type="cellIs" dxfId="4654" priority="493" operator="greaterThan">
      <formula>0.85</formula>
    </cfRule>
  </conditionalFormatting>
  <conditionalFormatting sqref="N94">
    <cfRule type="cellIs" dxfId="4653" priority="490" operator="greaterThan">
      <formula>0.9</formula>
    </cfRule>
    <cfRule type="cellIs" dxfId="4652" priority="491" operator="greaterThan">
      <formula>0.85</formula>
    </cfRule>
  </conditionalFormatting>
  <conditionalFormatting sqref="E94">
    <cfRule type="expression" dxfId="4651" priority="486">
      <formula>AND(IF(OR($Q94=1,$Q94=2),1,0),IF($X94&lt;=20,1,0))</formula>
    </cfRule>
    <cfRule type="expression" dxfId="4650" priority="487">
      <formula>AND(IF($Q94=2,1,0),IF($X94&lt;30,1,0))</formula>
    </cfRule>
    <cfRule type="expression" dxfId="4649" priority="488">
      <formula>AND(IF($Q94=3,1,0),IF($X94&lt;30,1,0))</formula>
    </cfRule>
    <cfRule type="expression" dxfId="4648" priority="489">
      <formula>AND(IF($Q94=3,1,IF($Q94=4,1,0)),IF($F94&lt;=85,1,0))</formula>
    </cfRule>
  </conditionalFormatting>
  <conditionalFormatting sqref="X94">
    <cfRule type="expression" dxfId="4647" priority="482">
      <formula>AND(IF(OR($Q94=1,$Q94=2),1,0),IF($X94&lt;=20,1,0))</formula>
    </cfRule>
    <cfRule type="expression" dxfId="4646" priority="483">
      <formula>AND(IF($Q94=2,1,0),IF($X94&lt;30,1,0))</formula>
    </cfRule>
    <cfRule type="expression" dxfId="4645" priority="484">
      <formula>AND(IF($Q94=3,1,0),IF($X94&lt;30,1,0))</formula>
    </cfRule>
    <cfRule type="expression" dxfId="4644" priority="485">
      <formula>AND(IF($Q94=3,1,IF($Q94=4,1,0)),IF($F94&lt;=85,1,0))</formula>
    </cfRule>
  </conditionalFormatting>
  <conditionalFormatting sqref="AI94">
    <cfRule type="expression" dxfId="4643" priority="478">
      <formula>AND(IF(OR($Q94=1,$Q94=2),1,0),IF($X94&lt;=20,1,0))</formula>
    </cfRule>
    <cfRule type="expression" dxfId="4642" priority="479">
      <formula>AND(IF($Q94=2,1,0),IF($X94&lt;30,1,0))</formula>
    </cfRule>
    <cfRule type="expression" dxfId="4641" priority="480">
      <formula>AND(IF($Q94=3,1,0),IF($X94&lt;30,1,0))</formula>
    </cfRule>
    <cfRule type="expression" dxfId="4640" priority="481">
      <formula>AND(IF($Q94=3,1,IF($Q94=4,1,0)),IF($F94&lt;=85,1,0))</formula>
    </cfRule>
  </conditionalFormatting>
  <conditionalFormatting sqref="AV95">
    <cfRule type="expression" dxfId="4639" priority="476">
      <formula>AV95="X"</formula>
    </cfRule>
    <cfRule type="expression" dxfId="4638" priority="477">
      <formula>AV95="후보"</formula>
    </cfRule>
  </conditionalFormatting>
  <conditionalFormatting sqref="Z95">
    <cfRule type="colorScale" priority="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 N95">
    <cfRule type="cellIs" dxfId="4637" priority="473" operator="greaterThan">
      <formula>0.9</formula>
    </cfRule>
    <cfRule type="cellIs" dxfId="4636" priority="474" operator="greaterThan">
      <formula>0.85</formula>
    </cfRule>
  </conditionalFormatting>
  <conditionalFormatting sqref="AV96">
    <cfRule type="expression" dxfId="4635" priority="471">
      <formula>AV96="X"</formula>
    </cfRule>
    <cfRule type="expression" dxfId="4634" priority="472">
      <formula>AV96="후보"</formula>
    </cfRule>
  </conditionalFormatting>
  <conditionalFormatting sqref="Z96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4633" priority="468" operator="greaterThan">
      <formula>0.9</formula>
    </cfRule>
    <cfRule type="cellIs" dxfId="4632" priority="469" operator="greaterThan">
      <formula>0.85</formula>
    </cfRule>
  </conditionalFormatting>
  <conditionalFormatting sqref="N96">
    <cfRule type="cellIs" dxfId="4631" priority="466" operator="greaterThan">
      <formula>0.9</formula>
    </cfRule>
    <cfRule type="cellIs" dxfId="4630" priority="467" operator="greaterThan">
      <formula>0.85</formula>
    </cfRule>
  </conditionalFormatting>
  <conditionalFormatting sqref="E96">
    <cfRule type="expression" dxfId="4629" priority="462">
      <formula>AND(IF(OR($Q96=1,$Q96=2),1,0),IF($X96&lt;=20,1,0))</formula>
    </cfRule>
    <cfRule type="expression" dxfId="4628" priority="463">
      <formula>AND(IF($Q96=2,1,0),IF($X96&lt;30,1,0))</formula>
    </cfRule>
    <cfRule type="expression" dxfId="4627" priority="464">
      <formula>AND(IF($Q96=3,1,0),IF($X96&lt;30,1,0))</formula>
    </cfRule>
    <cfRule type="expression" dxfId="4626" priority="465">
      <formula>AND(IF($Q96=3,1,IF($Q96=4,1,0)),IF($F96&lt;=85,1,0))</formula>
    </cfRule>
  </conditionalFormatting>
  <conditionalFormatting sqref="X96">
    <cfRule type="expression" dxfId="4625" priority="458">
      <formula>AND(IF(OR($Q96=1,$Q96=2),1,0),IF($X96&lt;=20,1,0))</formula>
    </cfRule>
    <cfRule type="expression" dxfId="4624" priority="459">
      <formula>AND(IF($Q96=2,1,0),IF($X96&lt;30,1,0))</formula>
    </cfRule>
    <cfRule type="expression" dxfId="4623" priority="460">
      <formula>AND(IF($Q96=3,1,0),IF($X96&lt;30,1,0))</formula>
    </cfRule>
    <cfRule type="expression" dxfId="4622" priority="461">
      <formula>AND(IF($Q96=3,1,IF($Q96=4,1,0)),IF($F96&lt;=85,1,0))</formula>
    </cfRule>
  </conditionalFormatting>
  <conditionalFormatting sqref="AI96">
    <cfRule type="expression" dxfId="4621" priority="454">
      <formula>AND(IF(OR($Q96=1,$Q96=2),1,0),IF($X96&lt;=20,1,0))</formula>
    </cfRule>
    <cfRule type="expression" dxfId="4620" priority="455">
      <formula>AND(IF($Q96=2,1,0),IF($X96&lt;30,1,0))</formula>
    </cfRule>
    <cfRule type="expression" dxfId="4619" priority="456">
      <formula>AND(IF($Q96=3,1,0),IF($X96&lt;30,1,0))</formula>
    </cfRule>
    <cfRule type="expression" dxfId="4618" priority="457">
      <formula>AND(IF($Q96=3,1,IF($Q96=4,1,0)),IF($F96&lt;=85,1,0))</formula>
    </cfRule>
  </conditionalFormatting>
  <conditionalFormatting sqref="AV97">
    <cfRule type="expression" dxfId="4617" priority="452">
      <formula>AV97="X"</formula>
    </cfRule>
    <cfRule type="expression" dxfId="4616" priority="453">
      <formula>AV97="후보"</formula>
    </cfRule>
  </conditionalFormatting>
  <conditionalFormatting sqref="Z97">
    <cfRule type="colorScale" priority="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4615" priority="449" operator="greaterThan">
      <formula>0.9</formula>
    </cfRule>
    <cfRule type="cellIs" dxfId="4614" priority="450" operator="greaterThan">
      <formula>0.85</formula>
    </cfRule>
  </conditionalFormatting>
  <conditionalFormatting sqref="N97">
    <cfRule type="cellIs" dxfId="4613" priority="447" operator="greaterThan">
      <formula>0.9</formula>
    </cfRule>
    <cfRule type="cellIs" dxfId="4612" priority="448" operator="greaterThan">
      <formula>0.85</formula>
    </cfRule>
  </conditionalFormatting>
  <conditionalFormatting sqref="E97">
    <cfRule type="expression" dxfId="4611" priority="443">
      <formula>AND(IF(OR($Q97=1,$Q97=2),1,0),IF($X97&lt;=20,1,0))</formula>
    </cfRule>
    <cfRule type="expression" dxfId="4610" priority="444">
      <formula>AND(IF($Q97=2,1,0),IF($X97&lt;30,1,0))</formula>
    </cfRule>
    <cfRule type="expression" dxfId="4609" priority="445">
      <formula>AND(IF($Q97=3,1,0),IF($X97&lt;30,1,0))</formula>
    </cfRule>
    <cfRule type="expression" dxfId="4608" priority="446">
      <formula>AND(IF($Q97=3,1,IF($Q97=4,1,0)),IF($F97&lt;=85,1,0))</formula>
    </cfRule>
  </conditionalFormatting>
  <conditionalFormatting sqref="X97">
    <cfRule type="expression" dxfId="4607" priority="439">
      <formula>AND(IF(OR($Q97=1,$Q97=2),1,0),IF($X97&lt;=20,1,0))</formula>
    </cfRule>
    <cfRule type="expression" dxfId="4606" priority="440">
      <formula>AND(IF($Q97=2,1,0),IF($X97&lt;30,1,0))</formula>
    </cfRule>
    <cfRule type="expression" dxfId="4605" priority="441">
      <formula>AND(IF($Q97=3,1,0),IF($X97&lt;30,1,0))</formula>
    </cfRule>
    <cfRule type="expression" dxfId="4604" priority="442">
      <formula>AND(IF($Q97=3,1,IF($Q97=4,1,0)),IF($F97&lt;=85,1,0))</formula>
    </cfRule>
  </conditionalFormatting>
  <conditionalFormatting sqref="AI97">
    <cfRule type="expression" dxfId="4603" priority="435">
      <formula>AND(IF(OR($Q97=1,$Q97=2),1,0),IF($X97&lt;=20,1,0))</formula>
    </cfRule>
    <cfRule type="expression" dxfId="4602" priority="436">
      <formula>AND(IF($Q97=2,1,0),IF($X97&lt;30,1,0))</formula>
    </cfRule>
    <cfRule type="expression" dxfId="4601" priority="437">
      <formula>AND(IF($Q97=3,1,0),IF($X97&lt;30,1,0))</formula>
    </cfRule>
    <cfRule type="expression" dxfId="4600" priority="438">
      <formula>AND(IF($Q97=3,1,IF($Q97=4,1,0)),IF($F97&lt;=85,1,0))</formula>
    </cfRule>
  </conditionalFormatting>
  <conditionalFormatting sqref="AV98">
    <cfRule type="expression" dxfId="4599" priority="433">
      <formula>AV98="X"</formula>
    </cfRule>
    <cfRule type="expression" dxfId="4598" priority="434">
      <formula>AV98="후보"</formula>
    </cfRule>
  </conditionalFormatting>
  <conditionalFormatting sqref="Z98">
    <cfRule type="colorScale" priority="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4597" priority="430" operator="greaterThan">
      <formula>0.9</formula>
    </cfRule>
    <cfRule type="cellIs" dxfId="4596" priority="431" operator="greaterThan">
      <formula>0.85</formula>
    </cfRule>
  </conditionalFormatting>
  <conditionalFormatting sqref="N98">
    <cfRule type="cellIs" dxfId="4595" priority="428" operator="greaterThan">
      <formula>0.9</formula>
    </cfRule>
    <cfRule type="cellIs" dxfId="4594" priority="429" operator="greaterThan">
      <formula>0.85</formula>
    </cfRule>
  </conditionalFormatting>
  <conditionalFormatting sqref="E98">
    <cfRule type="expression" dxfId="4593" priority="424">
      <formula>AND(IF(OR($Q98=1,$Q98=2),1,0),IF($X98&lt;=20,1,0))</formula>
    </cfRule>
    <cfRule type="expression" dxfId="4592" priority="425">
      <formula>AND(IF($Q98=2,1,0),IF($X98&lt;30,1,0))</formula>
    </cfRule>
    <cfRule type="expression" dxfId="4591" priority="426">
      <formula>AND(IF($Q98=3,1,0),IF($X98&lt;30,1,0))</formula>
    </cfRule>
    <cfRule type="expression" dxfId="4590" priority="427">
      <formula>AND(IF($Q98=3,1,IF($Q98=4,1,0)),IF($F98&lt;=85,1,0))</formula>
    </cfRule>
  </conditionalFormatting>
  <conditionalFormatting sqref="X98">
    <cfRule type="expression" dxfId="4589" priority="420">
      <formula>AND(IF(OR($Q98=1,$Q98=2),1,0),IF($X98&lt;=20,1,0))</formula>
    </cfRule>
    <cfRule type="expression" dxfId="4588" priority="421">
      <formula>AND(IF($Q98=2,1,0),IF($X98&lt;30,1,0))</formula>
    </cfRule>
    <cfRule type="expression" dxfId="4587" priority="422">
      <formula>AND(IF($Q98=3,1,0),IF($X98&lt;30,1,0))</formula>
    </cfRule>
    <cfRule type="expression" dxfId="4586" priority="423">
      <formula>AND(IF($Q98=3,1,IF($Q98=4,1,0)),IF($F98&lt;=85,1,0))</formula>
    </cfRule>
  </conditionalFormatting>
  <conditionalFormatting sqref="AI98">
    <cfRule type="expression" dxfId="4585" priority="416">
      <formula>AND(IF(OR($Q98=1,$Q98=2),1,0),IF($X98&lt;=20,1,0))</formula>
    </cfRule>
    <cfRule type="expression" dxfId="4584" priority="417">
      <formula>AND(IF($Q98=2,1,0),IF($X98&lt;30,1,0))</formula>
    </cfRule>
    <cfRule type="expression" dxfId="4583" priority="418">
      <formula>AND(IF($Q98=3,1,0),IF($X98&lt;30,1,0))</formula>
    </cfRule>
    <cfRule type="expression" dxfId="4582" priority="419">
      <formula>AND(IF($Q98=3,1,IF($Q98=4,1,0)),IF($F98&lt;=85,1,0))</formula>
    </cfRule>
  </conditionalFormatting>
  <conditionalFormatting sqref="AV99">
    <cfRule type="expression" dxfId="4581" priority="414">
      <formula>AV99="X"</formula>
    </cfRule>
    <cfRule type="expression" dxfId="4580" priority="415">
      <formula>AV99="후보"</formula>
    </cfRule>
  </conditionalFormatting>
  <conditionalFormatting sqref="Z99">
    <cfRule type="colorScale" priority="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 N99">
    <cfRule type="cellIs" dxfId="4579" priority="411" operator="greaterThan">
      <formula>0.9</formula>
    </cfRule>
    <cfRule type="cellIs" dxfId="4578" priority="412" operator="greaterThan">
      <formula>0.85</formula>
    </cfRule>
  </conditionalFormatting>
  <conditionalFormatting sqref="AV100">
    <cfRule type="expression" dxfId="4577" priority="409">
      <formula>AV100="X"</formula>
    </cfRule>
    <cfRule type="expression" dxfId="4576" priority="410">
      <formula>AV100="후보"</formula>
    </cfRule>
  </conditionalFormatting>
  <conditionalFormatting sqref="Z100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4575" priority="406" operator="greaterThan">
      <formula>0.9</formula>
    </cfRule>
    <cfRule type="cellIs" dxfId="4574" priority="407" operator="greaterThan">
      <formula>0.85</formula>
    </cfRule>
  </conditionalFormatting>
  <conditionalFormatting sqref="N100">
    <cfRule type="cellIs" dxfId="4573" priority="404" operator="greaterThan">
      <formula>0.9</formula>
    </cfRule>
    <cfRule type="cellIs" dxfId="4572" priority="405" operator="greaterThan">
      <formula>0.85</formula>
    </cfRule>
  </conditionalFormatting>
  <conditionalFormatting sqref="E100">
    <cfRule type="expression" dxfId="4571" priority="400">
      <formula>AND(IF(OR($Q100=1,$Q100=2),1,0),IF($X100&lt;=20,1,0))</formula>
    </cfRule>
    <cfRule type="expression" dxfId="4570" priority="401">
      <formula>AND(IF($Q100=2,1,0),IF($X100&lt;30,1,0))</formula>
    </cfRule>
    <cfRule type="expression" dxfId="4569" priority="402">
      <formula>AND(IF($Q100=3,1,0),IF($X100&lt;30,1,0))</formula>
    </cfRule>
    <cfRule type="expression" dxfId="4568" priority="403">
      <formula>AND(IF($Q100=3,1,IF($Q100=4,1,0)),IF($F100&lt;=85,1,0))</formula>
    </cfRule>
  </conditionalFormatting>
  <conditionalFormatting sqref="X100">
    <cfRule type="expression" dxfId="4567" priority="396">
      <formula>AND(IF(OR($Q100=1,$Q100=2),1,0),IF($X100&lt;=20,1,0))</formula>
    </cfRule>
    <cfRule type="expression" dxfId="4566" priority="397">
      <formula>AND(IF($Q100=2,1,0),IF($X100&lt;30,1,0))</formula>
    </cfRule>
    <cfRule type="expression" dxfId="4565" priority="398">
      <formula>AND(IF($Q100=3,1,0),IF($X100&lt;30,1,0))</formula>
    </cfRule>
    <cfRule type="expression" dxfId="4564" priority="399">
      <formula>AND(IF($Q100=3,1,IF($Q100=4,1,0)),IF($F100&lt;=85,1,0))</formula>
    </cfRule>
  </conditionalFormatting>
  <conditionalFormatting sqref="AI100">
    <cfRule type="expression" dxfId="4563" priority="392">
      <formula>AND(IF(OR($Q100=1,$Q100=2),1,0),IF($X100&lt;=20,1,0))</formula>
    </cfRule>
    <cfRule type="expression" dxfId="4562" priority="393">
      <formula>AND(IF($Q100=2,1,0),IF($X100&lt;30,1,0))</formula>
    </cfRule>
    <cfRule type="expression" dxfId="4561" priority="394">
      <formula>AND(IF($Q100=3,1,0),IF($X100&lt;30,1,0))</formula>
    </cfRule>
    <cfRule type="expression" dxfId="4560" priority="395">
      <formula>AND(IF($Q100=3,1,IF($Q100=4,1,0)),IF($F100&lt;=85,1,0))</formula>
    </cfRule>
  </conditionalFormatting>
  <conditionalFormatting sqref="AV101">
    <cfRule type="expression" dxfId="4559" priority="390">
      <formula>AV101="X"</formula>
    </cfRule>
    <cfRule type="expression" dxfId="4558" priority="391">
      <formula>AV101="후보"</formula>
    </cfRule>
  </conditionalFormatting>
  <conditionalFormatting sqref="Z101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 N101">
    <cfRule type="cellIs" dxfId="4557" priority="387" operator="greaterThan">
      <formula>0.9</formula>
    </cfRule>
    <cfRule type="cellIs" dxfId="4556" priority="388" operator="greaterThan">
      <formula>0.85</formula>
    </cfRule>
  </conditionalFormatting>
  <conditionalFormatting sqref="AV102">
    <cfRule type="expression" dxfId="4555" priority="385">
      <formula>AV102="X"</formula>
    </cfRule>
    <cfRule type="expression" dxfId="4554" priority="386">
      <formula>AV102="후보"</formula>
    </cfRule>
  </conditionalFormatting>
  <conditionalFormatting sqref="Z102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4553" priority="382" operator="greaterThan">
      <formula>0.9</formula>
    </cfRule>
    <cfRule type="cellIs" dxfId="4552" priority="383" operator="greaterThan">
      <formula>0.85</formula>
    </cfRule>
  </conditionalFormatting>
  <conditionalFormatting sqref="N102">
    <cfRule type="cellIs" dxfId="4551" priority="380" operator="greaterThan">
      <formula>0.9</formula>
    </cfRule>
    <cfRule type="cellIs" dxfId="4550" priority="381" operator="greaterThan">
      <formula>0.85</formula>
    </cfRule>
  </conditionalFormatting>
  <conditionalFormatting sqref="E102">
    <cfRule type="expression" dxfId="4549" priority="376">
      <formula>AND(IF(OR($Q102=1,$Q102=2),1,0),IF($X102&lt;=20,1,0))</formula>
    </cfRule>
    <cfRule type="expression" dxfId="4548" priority="377">
      <formula>AND(IF($Q102=2,1,0),IF($X102&lt;30,1,0))</formula>
    </cfRule>
    <cfRule type="expression" dxfId="4547" priority="378">
      <formula>AND(IF($Q102=3,1,0),IF($X102&lt;30,1,0))</formula>
    </cfRule>
    <cfRule type="expression" dxfId="4546" priority="379">
      <formula>AND(IF($Q102=3,1,IF($Q102=4,1,0)),IF($F102&lt;=85,1,0))</formula>
    </cfRule>
  </conditionalFormatting>
  <conditionalFormatting sqref="X102">
    <cfRule type="expression" dxfId="4545" priority="372">
      <formula>AND(IF(OR($Q102=1,$Q102=2),1,0),IF($X102&lt;=20,1,0))</formula>
    </cfRule>
    <cfRule type="expression" dxfId="4544" priority="373">
      <formula>AND(IF($Q102=2,1,0),IF($X102&lt;30,1,0))</formula>
    </cfRule>
    <cfRule type="expression" dxfId="4543" priority="374">
      <formula>AND(IF($Q102=3,1,0),IF($X102&lt;30,1,0))</formula>
    </cfRule>
    <cfRule type="expression" dxfId="4542" priority="375">
      <formula>AND(IF($Q102=3,1,IF($Q102=4,1,0)),IF($F102&lt;=85,1,0))</formula>
    </cfRule>
  </conditionalFormatting>
  <conditionalFormatting sqref="AI102">
    <cfRule type="expression" dxfId="4541" priority="368">
      <formula>AND(IF(OR($Q102=1,$Q102=2),1,0),IF($X102&lt;=20,1,0))</formula>
    </cfRule>
    <cfRule type="expression" dxfId="4540" priority="369">
      <formula>AND(IF($Q102=2,1,0),IF($X102&lt;30,1,0))</formula>
    </cfRule>
    <cfRule type="expression" dxfId="4539" priority="370">
      <formula>AND(IF($Q102=3,1,0),IF($X102&lt;30,1,0))</formula>
    </cfRule>
    <cfRule type="expression" dxfId="4538" priority="371">
      <formula>AND(IF($Q102=3,1,IF($Q102=4,1,0)),IF($F102&lt;=85,1,0))</formula>
    </cfRule>
  </conditionalFormatting>
  <conditionalFormatting sqref="AV103">
    <cfRule type="expression" dxfId="4537" priority="366">
      <formula>AV103="X"</formula>
    </cfRule>
    <cfRule type="expression" dxfId="4536" priority="367">
      <formula>AV103="후보"</formula>
    </cfRule>
  </conditionalFormatting>
  <conditionalFormatting sqref="Z103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4535" priority="363" operator="greaterThan">
      <formula>0.9</formula>
    </cfRule>
    <cfRule type="cellIs" dxfId="4534" priority="364" operator="greaterThan">
      <formula>0.85</formula>
    </cfRule>
  </conditionalFormatting>
  <conditionalFormatting sqref="N103">
    <cfRule type="cellIs" dxfId="4533" priority="361" operator="greaterThan">
      <formula>0.9</formula>
    </cfRule>
    <cfRule type="cellIs" dxfId="4532" priority="362" operator="greaterThan">
      <formula>0.85</formula>
    </cfRule>
  </conditionalFormatting>
  <conditionalFormatting sqref="E103">
    <cfRule type="expression" dxfId="4531" priority="357">
      <formula>AND(IF(OR($Q103=1,$Q103=2),1,0),IF($X103&lt;=20,1,0))</formula>
    </cfRule>
    <cfRule type="expression" dxfId="4530" priority="358">
      <formula>AND(IF($Q103=2,1,0),IF($X103&lt;30,1,0))</formula>
    </cfRule>
    <cfRule type="expression" dxfId="4529" priority="359">
      <formula>AND(IF($Q103=3,1,0),IF($X103&lt;30,1,0))</formula>
    </cfRule>
    <cfRule type="expression" dxfId="4528" priority="360">
      <formula>AND(IF($Q103=3,1,IF($Q103=4,1,0)),IF($F103&lt;=85,1,0))</formula>
    </cfRule>
  </conditionalFormatting>
  <conditionalFormatting sqref="X103">
    <cfRule type="expression" dxfId="4527" priority="353">
      <formula>AND(IF(OR($Q103=1,$Q103=2),1,0),IF($X103&lt;=20,1,0))</formula>
    </cfRule>
    <cfRule type="expression" dxfId="4526" priority="354">
      <formula>AND(IF($Q103=2,1,0),IF($X103&lt;30,1,0))</formula>
    </cfRule>
    <cfRule type="expression" dxfId="4525" priority="355">
      <formula>AND(IF($Q103=3,1,0),IF($X103&lt;30,1,0))</formula>
    </cfRule>
    <cfRule type="expression" dxfId="4524" priority="356">
      <formula>AND(IF($Q103=3,1,IF($Q103=4,1,0)),IF($F103&lt;=85,1,0))</formula>
    </cfRule>
  </conditionalFormatting>
  <conditionalFormatting sqref="AI103">
    <cfRule type="expression" dxfId="4523" priority="349">
      <formula>AND(IF(OR($Q103=1,$Q103=2),1,0),IF($X103&lt;=20,1,0))</formula>
    </cfRule>
    <cfRule type="expression" dxfId="4522" priority="350">
      <formula>AND(IF($Q103=2,1,0),IF($X103&lt;30,1,0))</formula>
    </cfRule>
    <cfRule type="expression" dxfId="4521" priority="351">
      <formula>AND(IF($Q103=3,1,0),IF($X103&lt;30,1,0))</formula>
    </cfRule>
    <cfRule type="expression" dxfId="4520" priority="352">
      <formula>AND(IF($Q103=3,1,IF($Q103=4,1,0)),IF($F103&lt;=85,1,0))</formula>
    </cfRule>
  </conditionalFormatting>
  <conditionalFormatting sqref="AV104">
    <cfRule type="expression" dxfId="4519" priority="347">
      <formula>AV104="X"</formula>
    </cfRule>
    <cfRule type="expression" dxfId="4518" priority="348">
      <formula>AV104="후보"</formula>
    </cfRule>
  </conditionalFormatting>
  <conditionalFormatting sqref="Z104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 N104">
    <cfRule type="cellIs" dxfId="4517" priority="344" operator="greaterThan">
      <formula>0.9</formula>
    </cfRule>
    <cfRule type="cellIs" dxfId="4516" priority="345" operator="greaterThan">
      <formula>0.85</formula>
    </cfRule>
  </conditionalFormatting>
  <conditionalFormatting sqref="AV105">
    <cfRule type="expression" dxfId="4515" priority="342">
      <formula>AV105="X"</formula>
    </cfRule>
    <cfRule type="expression" dxfId="4514" priority="343">
      <formula>AV105="후보"</formula>
    </cfRule>
  </conditionalFormatting>
  <conditionalFormatting sqref="Z105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4513" priority="339" operator="greaterThan">
      <formula>0.9</formula>
    </cfRule>
    <cfRule type="cellIs" dxfId="4512" priority="340" operator="greaterThan">
      <formula>0.85</formula>
    </cfRule>
  </conditionalFormatting>
  <conditionalFormatting sqref="N105">
    <cfRule type="cellIs" dxfId="4511" priority="337" operator="greaterThan">
      <formula>0.9</formula>
    </cfRule>
    <cfRule type="cellIs" dxfId="4510" priority="338" operator="greaterThan">
      <formula>0.85</formula>
    </cfRule>
  </conditionalFormatting>
  <conditionalFormatting sqref="E105">
    <cfRule type="expression" dxfId="4509" priority="333">
      <formula>AND(IF(OR($Q105=1,$Q105=2),1,0),IF($X105&lt;=20,1,0))</formula>
    </cfRule>
    <cfRule type="expression" dxfId="4508" priority="334">
      <formula>AND(IF($Q105=2,1,0),IF($X105&lt;30,1,0))</formula>
    </cfRule>
    <cfRule type="expression" dxfId="4507" priority="335">
      <formula>AND(IF($Q105=3,1,0),IF($X105&lt;30,1,0))</formula>
    </cfRule>
    <cfRule type="expression" dxfId="4506" priority="336">
      <formula>AND(IF($Q105=3,1,IF($Q105=4,1,0)),IF($F105&lt;=85,1,0))</formula>
    </cfRule>
  </conditionalFormatting>
  <conditionalFormatting sqref="X105">
    <cfRule type="expression" dxfId="4505" priority="329">
      <formula>AND(IF(OR($Q105=1,$Q105=2),1,0),IF($X105&lt;=20,1,0))</formula>
    </cfRule>
    <cfRule type="expression" dxfId="4504" priority="330">
      <formula>AND(IF($Q105=2,1,0),IF($X105&lt;30,1,0))</formula>
    </cfRule>
    <cfRule type="expression" dxfId="4503" priority="331">
      <formula>AND(IF($Q105=3,1,0),IF($X105&lt;30,1,0))</formula>
    </cfRule>
    <cfRule type="expression" dxfId="4502" priority="332">
      <formula>AND(IF($Q105=3,1,IF($Q105=4,1,0)),IF($F105&lt;=85,1,0))</formula>
    </cfRule>
  </conditionalFormatting>
  <conditionalFormatting sqref="AI105">
    <cfRule type="expression" dxfId="4501" priority="325">
      <formula>AND(IF(OR($Q105=1,$Q105=2),1,0),IF($X105&lt;=20,1,0))</formula>
    </cfRule>
    <cfRule type="expression" dxfId="4500" priority="326">
      <formula>AND(IF($Q105=2,1,0),IF($X105&lt;30,1,0))</formula>
    </cfRule>
    <cfRule type="expression" dxfId="4499" priority="327">
      <formula>AND(IF($Q105=3,1,0),IF($X105&lt;30,1,0))</formula>
    </cfRule>
    <cfRule type="expression" dxfId="4498" priority="328">
      <formula>AND(IF($Q105=3,1,IF($Q105=4,1,0)),IF($F105&lt;=85,1,0))</formula>
    </cfRule>
  </conditionalFormatting>
  <conditionalFormatting sqref="AV106">
    <cfRule type="expression" dxfId="4497" priority="323">
      <formula>AV106="X"</formula>
    </cfRule>
    <cfRule type="expression" dxfId="4496" priority="324">
      <formula>AV106="후보"</formula>
    </cfRule>
  </conditionalFormatting>
  <conditionalFormatting sqref="Z106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4495" priority="320" operator="greaterThan">
      <formula>0.9</formula>
    </cfRule>
    <cfRule type="cellIs" dxfId="4494" priority="321" operator="greaterThan">
      <formula>0.85</formula>
    </cfRule>
  </conditionalFormatting>
  <conditionalFormatting sqref="N106">
    <cfRule type="cellIs" dxfId="4493" priority="318" operator="greaterThan">
      <formula>0.9</formula>
    </cfRule>
    <cfRule type="cellIs" dxfId="4492" priority="319" operator="greaterThan">
      <formula>0.85</formula>
    </cfRule>
  </conditionalFormatting>
  <conditionalFormatting sqref="E106">
    <cfRule type="expression" dxfId="4491" priority="314">
      <formula>AND(IF(OR($Q106=1,$Q106=2),1,0),IF($X106&lt;=20,1,0))</formula>
    </cfRule>
    <cfRule type="expression" dxfId="4490" priority="315">
      <formula>AND(IF($Q106=2,1,0),IF($X106&lt;30,1,0))</formula>
    </cfRule>
    <cfRule type="expression" dxfId="4489" priority="316">
      <formula>AND(IF($Q106=3,1,0),IF($X106&lt;30,1,0))</formula>
    </cfRule>
    <cfRule type="expression" dxfId="4488" priority="317">
      <formula>AND(IF($Q106=3,1,IF($Q106=4,1,0)),IF($F106&lt;=85,1,0))</formula>
    </cfRule>
  </conditionalFormatting>
  <conditionalFormatting sqref="X106">
    <cfRule type="expression" dxfId="4487" priority="310">
      <formula>AND(IF(OR($Q106=1,$Q106=2),1,0),IF($X106&lt;=20,1,0))</formula>
    </cfRule>
    <cfRule type="expression" dxfId="4486" priority="311">
      <formula>AND(IF($Q106=2,1,0),IF($X106&lt;30,1,0))</formula>
    </cfRule>
    <cfRule type="expression" dxfId="4485" priority="312">
      <formula>AND(IF($Q106=3,1,0),IF($X106&lt;30,1,0))</formula>
    </cfRule>
    <cfRule type="expression" dxfId="4484" priority="313">
      <formula>AND(IF($Q106=3,1,IF($Q106=4,1,0)),IF($F106&lt;=85,1,0))</formula>
    </cfRule>
  </conditionalFormatting>
  <conditionalFormatting sqref="AI106">
    <cfRule type="expression" dxfId="4483" priority="306">
      <formula>AND(IF(OR($Q106=1,$Q106=2),1,0),IF($X106&lt;=20,1,0))</formula>
    </cfRule>
    <cfRule type="expression" dxfId="4482" priority="307">
      <formula>AND(IF($Q106=2,1,0),IF($X106&lt;30,1,0))</formula>
    </cfRule>
    <cfRule type="expression" dxfId="4481" priority="308">
      <formula>AND(IF($Q106=3,1,0),IF($X106&lt;30,1,0))</formula>
    </cfRule>
    <cfRule type="expression" dxfId="4480" priority="309">
      <formula>AND(IF($Q106=3,1,IF($Q106=4,1,0)),IF($F106&lt;=85,1,0))</formula>
    </cfRule>
  </conditionalFormatting>
  <conditionalFormatting sqref="AV107">
    <cfRule type="expression" dxfId="4479" priority="304">
      <formula>AV107="X"</formula>
    </cfRule>
    <cfRule type="expression" dxfId="4478" priority="305">
      <formula>AV107="후보"</formula>
    </cfRule>
  </conditionalFormatting>
  <conditionalFormatting sqref="Z107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4477" priority="301" operator="greaterThan">
      <formula>0.9</formula>
    </cfRule>
    <cfRule type="cellIs" dxfId="4476" priority="302" operator="greaterThan">
      <formula>0.85</formula>
    </cfRule>
  </conditionalFormatting>
  <conditionalFormatting sqref="N107">
    <cfRule type="cellIs" dxfId="4475" priority="299" operator="greaterThan">
      <formula>0.9</formula>
    </cfRule>
    <cfRule type="cellIs" dxfId="4474" priority="300" operator="greaterThan">
      <formula>0.85</formula>
    </cfRule>
  </conditionalFormatting>
  <conditionalFormatting sqref="E107">
    <cfRule type="expression" dxfId="4473" priority="295">
      <formula>AND(IF(OR($Q107=1,$Q107=2),1,0),IF($X107&lt;=20,1,0))</formula>
    </cfRule>
    <cfRule type="expression" dxfId="4472" priority="296">
      <formula>AND(IF($Q107=2,1,0),IF($X107&lt;30,1,0))</formula>
    </cfRule>
    <cfRule type="expression" dxfId="4471" priority="297">
      <formula>AND(IF($Q107=3,1,0),IF($X107&lt;30,1,0))</formula>
    </cfRule>
    <cfRule type="expression" dxfId="4470" priority="298">
      <formula>AND(IF($Q107=3,1,IF($Q107=4,1,0)),IF($F107&lt;=85,1,0))</formula>
    </cfRule>
  </conditionalFormatting>
  <conditionalFormatting sqref="X107">
    <cfRule type="expression" dxfId="4469" priority="291">
      <formula>AND(IF(OR($Q107=1,$Q107=2),1,0),IF($X107&lt;=20,1,0))</formula>
    </cfRule>
    <cfRule type="expression" dxfId="4468" priority="292">
      <formula>AND(IF($Q107=2,1,0),IF($X107&lt;30,1,0))</formula>
    </cfRule>
    <cfRule type="expression" dxfId="4467" priority="293">
      <formula>AND(IF($Q107=3,1,0),IF($X107&lt;30,1,0))</formula>
    </cfRule>
    <cfRule type="expression" dxfId="4466" priority="294">
      <formula>AND(IF($Q107=3,1,IF($Q107=4,1,0)),IF($F107&lt;=85,1,0))</formula>
    </cfRule>
  </conditionalFormatting>
  <conditionalFormatting sqref="AI107">
    <cfRule type="expression" dxfId="4465" priority="287">
      <formula>AND(IF(OR($Q107=1,$Q107=2),1,0),IF($X107&lt;=20,1,0))</formula>
    </cfRule>
    <cfRule type="expression" dxfId="4464" priority="288">
      <formula>AND(IF($Q107=2,1,0),IF($X107&lt;30,1,0))</formula>
    </cfRule>
    <cfRule type="expression" dxfId="4463" priority="289">
      <formula>AND(IF($Q107=3,1,0),IF($X107&lt;30,1,0))</formula>
    </cfRule>
    <cfRule type="expression" dxfId="4462" priority="290">
      <formula>AND(IF($Q107=3,1,IF($Q107=4,1,0)),IF($F107&lt;=85,1,0))</formula>
    </cfRule>
  </conditionalFormatting>
  <conditionalFormatting sqref="AV108">
    <cfRule type="expression" dxfId="4461" priority="285">
      <formula>AV108="X"</formula>
    </cfRule>
    <cfRule type="expression" dxfId="4460" priority="286">
      <formula>AV108="후보"</formula>
    </cfRule>
  </conditionalFormatting>
  <conditionalFormatting sqref="Z108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4459" priority="282" operator="greaterThan">
      <formula>0.9</formula>
    </cfRule>
    <cfRule type="cellIs" dxfId="4458" priority="283" operator="greaterThan">
      <formula>0.85</formula>
    </cfRule>
  </conditionalFormatting>
  <conditionalFormatting sqref="N108">
    <cfRule type="cellIs" dxfId="4457" priority="280" operator="greaterThan">
      <formula>0.9</formula>
    </cfRule>
    <cfRule type="cellIs" dxfId="4456" priority="281" operator="greaterThan">
      <formula>0.85</formula>
    </cfRule>
  </conditionalFormatting>
  <conditionalFormatting sqref="E108">
    <cfRule type="expression" dxfId="4455" priority="276">
      <formula>AND(IF(OR($Q108=1,$Q108=2),1,0),IF($X108&lt;=20,1,0))</formula>
    </cfRule>
    <cfRule type="expression" dxfId="4454" priority="277">
      <formula>AND(IF($Q108=2,1,0),IF($X108&lt;30,1,0))</formula>
    </cfRule>
    <cfRule type="expression" dxfId="4453" priority="278">
      <formula>AND(IF($Q108=3,1,0),IF($X108&lt;30,1,0))</formula>
    </cfRule>
    <cfRule type="expression" dxfId="4452" priority="279">
      <formula>AND(IF($Q108=3,1,IF($Q108=4,1,0)),IF($F108&lt;=85,1,0))</formula>
    </cfRule>
  </conditionalFormatting>
  <conditionalFormatting sqref="X108">
    <cfRule type="expression" dxfId="4451" priority="272">
      <formula>AND(IF(OR($Q108=1,$Q108=2),1,0),IF($X108&lt;=20,1,0))</formula>
    </cfRule>
    <cfRule type="expression" dxfId="4450" priority="273">
      <formula>AND(IF($Q108=2,1,0),IF($X108&lt;30,1,0))</formula>
    </cfRule>
    <cfRule type="expression" dxfId="4449" priority="274">
      <formula>AND(IF($Q108=3,1,0),IF($X108&lt;30,1,0))</formula>
    </cfRule>
    <cfRule type="expression" dxfId="4448" priority="275">
      <formula>AND(IF($Q108=3,1,IF($Q108=4,1,0)),IF($F108&lt;=85,1,0))</formula>
    </cfRule>
  </conditionalFormatting>
  <conditionalFormatting sqref="AI108">
    <cfRule type="expression" dxfId="4447" priority="268">
      <formula>AND(IF(OR($Q108=1,$Q108=2),1,0),IF($X108&lt;=20,1,0))</formula>
    </cfRule>
    <cfRule type="expression" dxfId="4446" priority="269">
      <formula>AND(IF($Q108=2,1,0),IF($X108&lt;30,1,0))</formula>
    </cfRule>
    <cfRule type="expression" dxfId="4445" priority="270">
      <formula>AND(IF($Q108=3,1,0),IF($X108&lt;30,1,0))</formula>
    </cfRule>
    <cfRule type="expression" dxfId="4444" priority="271">
      <formula>AND(IF($Q108=3,1,IF($Q108=4,1,0)),IF($F108&lt;=85,1,0))</formula>
    </cfRule>
  </conditionalFormatting>
  <conditionalFormatting sqref="AV109">
    <cfRule type="expression" dxfId="4443" priority="266">
      <formula>AV109="X"</formula>
    </cfRule>
    <cfRule type="expression" dxfId="4442" priority="267">
      <formula>AV109="후보"</formula>
    </cfRule>
  </conditionalFormatting>
  <conditionalFormatting sqref="Z109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4441" priority="263" operator="greaterThan">
      <formula>0.9</formula>
    </cfRule>
    <cfRule type="cellIs" dxfId="4440" priority="264" operator="greaterThan">
      <formula>0.85</formula>
    </cfRule>
  </conditionalFormatting>
  <conditionalFormatting sqref="N109">
    <cfRule type="cellIs" dxfId="4439" priority="261" operator="greaterThan">
      <formula>0.9</formula>
    </cfRule>
    <cfRule type="cellIs" dxfId="4438" priority="262" operator="greaterThan">
      <formula>0.85</formula>
    </cfRule>
  </conditionalFormatting>
  <conditionalFormatting sqref="E109">
    <cfRule type="expression" dxfId="4437" priority="257">
      <formula>AND(IF(OR($Q109=1,$Q109=2),1,0),IF($X109&lt;=20,1,0))</formula>
    </cfRule>
    <cfRule type="expression" dxfId="4436" priority="258">
      <formula>AND(IF($Q109=2,1,0),IF($X109&lt;30,1,0))</formula>
    </cfRule>
    <cfRule type="expression" dxfId="4435" priority="259">
      <formula>AND(IF($Q109=3,1,0),IF($X109&lt;30,1,0))</formula>
    </cfRule>
    <cfRule type="expression" dxfId="4434" priority="260">
      <formula>AND(IF($Q109=3,1,IF($Q109=4,1,0)),IF($F109&lt;=85,1,0))</formula>
    </cfRule>
  </conditionalFormatting>
  <conditionalFormatting sqref="X109">
    <cfRule type="expression" dxfId="4433" priority="253">
      <formula>AND(IF(OR($Q109=1,$Q109=2),1,0),IF($X109&lt;=20,1,0))</formula>
    </cfRule>
    <cfRule type="expression" dxfId="4432" priority="254">
      <formula>AND(IF($Q109=2,1,0),IF($X109&lt;30,1,0))</formula>
    </cfRule>
    <cfRule type="expression" dxfId="4431" priority="255">
      <formula>AND(IF($Q109=3,1,0),IF($X109&lt;30,1,0))</formula>
    </cfRule>
    <cfRule type="expression" dxfId="4430" priority="256">
      <formula>AND(IF($Q109=3,1,IF($Q109=4,1,0)),IF($F109&lt;=85,1,0))</formula>
    </cfRule>
  </conditionalFormatting>
  <conditionalFormatting sqref="AI109">
    <cfRule type="expression" dxfId="4429" priority="249">
      <formula>AND(IF(OR($Q109=1,$Q109=2),1,0),IF($X109&lt;=20,1,0))</formula>
    </cfRule>
    <cfRule type="expression" dxfId="4428" priority="250">
      <formula>AND(IF($Q109=2,1,0),IF($X109&lt;30,1,0))</formula>
    </cfRule>
    <cfRule type="expression" dxfId="4427" priority="251">
      <formula>AND(IF($Q109=3,1,0),IF($X109&lt;30,1,0))</formula>
    </cfRule>
    <cfRule type="expression" dxfId="4426" priority="252">
      <formula>AND(IF($Q109=3,1,IF($Q109=4,1,0)),IF($F109&lt;=85,1,0))</formula>
    </cfRule>
  </conditionalFormatting>
  <conditionalFormatting sqref="AV110">
    <cfRule type="expression" dxfId="4425" priority="247">
      <formula>AV110="X"</formula>
    </cfRule>
    <cfRule type="expression" dxfId="4424" priority="248">
      <formula>AV110="후보"</formula>
    </cfRule>
  </conditionalFormatting>
  <conditionalFormatting sqref="Z110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 N110">
    <cfRule type="cellIs" dxfId="4423" priority="244" operator="greaterThan">
      <formula>0.9</formula>
    </cfRule>
    <cfRule type="cellIs" dxfId="4422" priority="245" operator="greaterThan">
      <formula>0.85</formula>
    </cfRule>
  </conditionalFormatting>
  <conditionalFormatting sqref="AV111">
    <cfRule type="expression" dxfId="4421" priority="242">
      <formula>AV111="X"</formula>
    </cfRule>
    <cfRule type="expression" dxfId="4420" priority="243">
      <formula>AV111="후보"</formula>
    </cfRule>
  </conditionalFormatting>
  <conditionalFormatting sqref="Z111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4419" priority="239" operator="greaterThan">
      <formula>0.9</formula>
    </cfRule>
    <cfRule type="cellIs" dxfId="4418" priority="240" operator="greaterThan">
      <formula>0.85</formula>
    </cfRule>
  </conditionalFormatting>
  <conditionalFormatting sqref="N111">
    <cfRule type="cellIs" dxfId="4417" priority="237" operator="greaterThan">
      <formula>0.9</formula>
    </cfRule>
    <cfRule type="cellIs" dxfId="4416" priority="238" operator="greaterThan">
      <formula>0.85</formula>
    </cfRule>
  </conditionalFormatting>
  <conditionalFormatting sqref="E111">
    <cfRule type="expression" dxfId="4415" priority="233">
      <formula>AND(IF(OR($Q111=1,$Q111=2),1,0),IF($X111&lt;=20,1,0))</formula>
    </cfRule>
    <cfRule type="expression" dxfId="4414" priority="234">
      <formula>AND(IF($Q111=2,1,0),IF($X111&lt;30,1,0))</formula>
    </cfRule>
    <cfRule type="expression" dxfId="4413" priority="235">
      <formula>AND(IF($Q111=3,1,0),IF($X111&lt;30,1,0))</formula>
    </cfRule>
    <cfRule type="expression" dxfId="4412" priority="236">
      <formula>AND(IF($Q111=3,1,IF($Q111=4,1,0)),IF($F111&lt;=85,1,0))</formula>
    </cfRule>
  </conditionalFormatting>
  <conditionalFormatting sqref="X111">
    <cfRule type="expression" dxfId="4411" priority="229">
      <formula>AND(IF(OR($Q111=1,$Q111=2),1,0),IF($X111&lt;=20,1,0))</formula>
    </cfRule>
    <cfRule type="expression" dxfId="4410" priority="230">
      <formula>AND(IF($Q111=2,1,0),IF($X111&lt;30,1,0))</formula>
    </cfRule>
    <cfRule type="expression" dxfId="4409" priority="231">
      <formula>AND(IF($Q111=3,1,0),IF($X111&lt;30,1,0))</formula>
    </cfRule>
    <cfRule type="expression" dxfId="4408" priority="232">
      <formula>AND(IF($Q111=3,1,IF($Q111=4,1,0)),IF($F111&lt;=85,1,0))</formula>
    </cfRule>
  </conditionalFormatting>
  <conditionalFormatting sqref="AI111">
    <cfRule type="expression" dxfId="4407" priority="225">
      <formula>AND(IF(OR($Q111=1,$Q111=2),1,0),IF($X111&lt;=20,1,0))</formula>
    </cfRule>
    <cfRule type="expression" dxfId="4406" priority="226">
      <formula>AND(IF($Q111=2,1,0),IF($X111&lt;30,1,0))</formula>
    </cfRule>
    <cfRule type="expression" dxfId="4405" priority="227">
      <formula>AND(IF($Q111=3,1,0),IF($X111&lt;30,1,0))</formula>
    </cfRule>
    <cfRule type="expression" dxfId="4404" priority="228">
      <formula>AND(IF($Q111=3,1,IF($Q111=4,1,0)),IF($F111&lt;=85,1,0))</formula>
    </cfRule>
  </conditionalFormatting>
  <conditionalFormatting sqref="AV112">
    <cfRule type="expression" dxfId="4403" priority="223">
      <formula>AV112="X"</formula>
    </cfRule>
    <cfRule type="expression" dxfId="4402" priority="224">
      <formula>AV112="후보"</formula>
    </cfRule>
  </conditionalFormatting>
  <conditionalFormatting sqref="Z112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4401" priority="220" operator="greaterThan">
      <formula>0.9</formula>
    </cfRule>
    <cfRule type="cellIs" dxfId="4400" priority="221" operator="greaterThan">
      <formula>0.85</formula>
    </cfRule>
  </conditionalFormatting>
  <conditionalFormatting sqref="N112">
    <cfRule type="cellIs" dxfId="4399" priority="218" operator="greaterThan">
      <formula>0.9</formula>
    </cfRule>
    <cfRule type="cellIs" dxfId="4398" priority="219" operator="greaterThan">
      <formula>0.85</formula>
    </cfRule>
  </conditionalFormatting>
  <conditionalFormatting sqref="E112">
    <cfRule type="expression" dxfId="4397" priority="214">
      <formula>AND(IF(OR($Q112=1,$Q112=2),1,0),IF($X112&lt;=20,1,0))</formula>
    </cfRule>
    <cfRule type="expression" dxfId="4396" priority="215">
      <formula>AND(IF($Q112=2,1,0),IF($X112&lt;30,1,0))</formula>
    </cfRule>
    <cfRule type="expression" dxfId="4395" priority="216">
      <formula>AND(IF($Q112=3,1,0),IF($X112&lt;30,1,0))</formula>
    </cfRule>
    <cfRule type="expression" dxfId="4394" priority="217">
      <formula>AND(IF($Q112=3,1,IF($Q112=4,1,0)),IF($F112&lt;=85,1,0))</formula>
    </cfRule>
  </conditionalFormatting>
  <conditionalFormatting sqref="X112">
    <cfRule type="expression" dxfId="4393" priority="210">
      <formula>AND(IF(OR($Q112=1,$Q112=2),1,0),IF($X112&lt;=20,1,0))</formula>
    </cfRule>
    <cfRule type="expression" dxfId="4392" priority="211">
      <formula>AND(IF($Q112=2,1,0),IF($X112&lt;30,1,0))</formula>
    </cfRule>
    <cfRule type="expression" dxfId="4391" priority="212">
      <formula>AND(IF($Q112=3,1,0),IF($X112&lt;30,1,0))</formula>
    </cfRule>
    <cfRule type="expression" dxfId="4390" priority="213">
      <formula>AND(IF($Q112=3,1,IF($Q112=4,1,0)),IF($F112&lt;=85,1,0))</formula>
    </cfRule>
  </conditionalFormatting>
  <conditionalFormatting sqref="AI112">
    <cfRule type="expression" dxfId="4389" priority="206">
      <formula>AND(IF(OR($Q112=1,$Q112=2),1,0),IF($X112&lt;=20,1,0))</formula>
    </cfRule>
    <cfRule type="expression" dxfId="4388" priority="207">
      <formula>AND(IF($Q112=2,1,0),IF($X112&lt;30,1,0))</formula>
    </cfRule>
    <cfRule type="expression" dxfId="4387" priority="208">
      <formula>AND(IF($Q112=3,1,0),IF($X112&lt;30,1,0))</formula>
    </cfRule>
    <cfRule type="expression" dxfId="4386" priority="209">
      <formula>AND(IF($Q112=3,1,IF($Q112=4,1,0)),IF($F112&lt;=85,1,0))</formula>
    </cfRule>
  </conditionalFormatting>
  <conditionalFormatting sqref="AV113">
    <cfRule type="expression" dxfId="4385" priority="204">
      <formula>AV113="X"</formula>
    </cfRule>
    <cfRule type="expression" dxfId="4384" priority="205">
      <formula>AV113="후보"</formula>
    </cfRule>
  </conditionalFormatting>
  <conditionalFormatting sqref="Z113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4383" priority="201" operator="greaterThan">
      <formula>0.9</formula>
    </cfRule>
    <cfRule type="cellIs" dxfId="4382" priority="202" operator="greaterThan">
      <formula>0.85</formula>
    </cfRule>
  </conditionalFormatting>
  <conditionalFormatting sqref="N113">
    <cfRule type="cellIs" dxfId="4381" priority="199" operator="greaterThan">
      <formula>0.9</formula>
    </cfRule>
    <cfRule type="cellIs" dxfId="4380" priority="200" operator="greaterThan">
      <formula>0.85</formula>
    </cfRule>
  </conditionalFormatting>
  <conditionalFormatting sqref="E113">
    <cfRule type="expression" dxfId="4379" priority="195">
      <formula>AND(IF(OR($Q113=1,$Q113=2),1,0),IF($X113&lt;=20,1,0))</formula>
    </cfRule>
    <cfRule type="expression" dxfId="4378" priority="196">
      <formula>AND(IF($Q113=2,1,0),IF($X113&lt;30,1,0))</formula>
    </cfRule>
    <cfRule type="expression" dxfId="4377" priority="197">
      <formula>AND(IF($Q113=3,1,0),IF($X113&lt;30,1,0))</formula>
    </cfRule>
    <cfRule type="expression" dxfId="4376" priority="198">
      <formula>AND(IF($Q113=3,1,IF($Q113=4,1,0)),IF($F113&lt;=85,1,0))</formula>
    </cfRule>
  </conditionalFormatting>
  <conditionalFormatting sqref="X113">
    <cfRule type="expression" dxfId="4375" priority="191">
      <formula>AND(IF(OR($Q113=1,$Q113=2),1,0),IF($X113&lt;=20,1,0))</formula>
    </cfRule>
    <cfRule type="expression" dxfId="4374" priority="192">
      <formula>AND(IF($Q113=2,1,0),IF($X113&lt;30,1,0))</formula>
    </cfRule>
    <cfRule type="expression" dxfId="4373" priority="193">
      <formula>AND(IF($Q113=3,1,0),IF($X113&lt;30,1,0))</formula>
    </cfRule>
    <cfRule type="expression" dxfId="4372" priority="194">
      <formula>AND(IF($Q113=3,1,IF($Q113=4,1,0)),IF($F113&lt;=85,1,0))</formula>
    </cfRule>
  </conditionalFormatting>
  <conditionalFormatting sqref="AI113">
    <cfRule type="expression" dxfId="4371" priority="187">
      <formula>AND(IF(OR($Q113=1,$Q113=2),1,0),IF($X113&lt;=20,1,0))</formula>
    </cfRule>
    <cfRule type="expression" dxfId="4370" priority="188">
      <formula>AND(IF($Q113=2,1,0),IF($X113&lt;30,1,0))</formula>
    </cfRule>
    <cfRule type="expression" dxfId="4369" priority="189">
      <formula>AND(IF($Q113=3,1,0),IF($X113&lt;30,1,0))</formula>
    </cfRule>
    <cfRule type="expression" dxfId="4368" priority="190">
      <formula>AND(IF($Q113=3,1,IF($Q113=4,1,0)),IF($F113&lt;=85,1,0))</formula>
    </cfRule>
  </conditionalFormatting>
  <conditionalFormatting sqref="AV114">
    <cfRule type="expression" dxfId="4367" priority="185">
      <formula>AV114="X"</formula>
    </cfRule>
    <cfRule type="expression" dxfId="4366" priority="186">
      <formula>AV114="후보"</formula>
    </cfRule>
  </conditionalFormatting>
  <conditionalFormatting sqref="Z114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 N114">
    <cfRule type="cellIs" dxfId="4365" priority="182" operator="greaterThan">
      <formula>0.9</formula>
    </cfRule>
    <cfRule type="cellIs" dxfId="4364" priority="183" operator="greaterThan">
      <formula>0.85</formula>
    </cfRule>
  </conditionalFormatting>
  <conditionalFormatting sqref="AV115">
    <cfRule type="expression" dxfId="4363" priority="180">
      <formula>AV115="X"</formula>
    </cfRule>
    <cfRule type="expression" dxfId="4362" priority="181">
      <formula>AV115="후보"</formula>
    </cfRule>
  </conditionalFormatting>
  <conditionalFormatting sqref="Z115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4361" priority="177" operator="greaterThan">
      <formula>0.9</formula>
    </cfRule>
    <cfRule type="cellIs" dxfId="4360" priority="178" operator="greaterThan">
      <formula>0.85</formula>
    </cfRule>
  </conditionalFormatting>
  <conditionalFormatting sqref="N115">
    <cfRule type="cellIs" dxfId="4359" priority="175" operator="greaterThan">
      <formula>0.9</formula>
    </cfRule>
    <cfRule type="cellIs" dxfId="4358" priority="176" operator="greaterThan">
      <formula>0.85</formula>
    </cfRule>
  </conditionalFormatting>
  <conditionalFormatting sqref="E115">
    <cfRule type="expression" dxfId="4357" priority="171">
      <formula>AND(IF(OR($Q115=1,$Q115=2),1,0),IF($X115&lt;=20,1,0))</formula>
    </cfRule>
    <cfRule type="expression" dxfId="4356" priority="172">
      <formula>AND(IF($Q115=2,1,0),IF($X115&lt;30,1,0))</formula>
    </cfRule>
    <cfRule type="expression" dxfId="4355" priority="173">
      <formula>AND(IF($Q115=3,1,0),IF($X115&lt;30,1,0))</formula>
    </cfRule>
    <cfRule type="expression" dxfId="4354" priority="174">
      <formula>AND(IF($Q115=3,1,IF($Q115=4,1,0)),IF($F115&lt;=85,1,0))</formula>
    </cfRule>
  </conditionalFormatting>
  <conditionalFormatting sqref="X115">
    <cfRule type="expression" dxfId="4353" priority="167">
      <formula>AND(IF(OR($Q115=1,$Q115=2),1,0),IF($X115&lt;=20,1,0))</formula>
    </cfRule>
    <cfRule type="expression" dxfId="4352" priority="168">
      <formula>AND(IF($Q115=2,1,0),IF($X115&lt;30,1,0))</formula>
    </cfRule>
    <cfRule type="expression" dxfId="4351" priority="169">
      <formula>AND(IF($Q115=3,1,0),IF($X115&lt;30,1,0))</formula>
    </cfRule>
    <cfRule type="expression" dxfId="4350" priority="170">
      <formula>AND(IF($Q115=3,1,IF($Q115=4,1,0)),IF($F115&lt;=85,1,0))</formula>
    </cfRule>
  </conditionalFormatting>
  <conditionalFormatting sqref="AI115">
    <cfRule type="expression" dxfId="4349" priority="163">
      <formula>AND(IF(OR($Q115=1,$Q115=2),1,0),IF($X115&lt;=20,1,0))</formula>
    </cfRule>
    <cfRule type="expression" dxfId="4348" priority="164">
      <formula>AND(IF($Q115=2,1,0),IF($X115&lt;30,1,0))</formula>
    </cfRule>
    <cfRule type="expression" dxfId="4347" priority="165">
      <formula>AND(IF($Q115=3,1,0),IF($X115&lt;30,1,0))</formula>
    </cfRule>
    <cfRule type="expression" dxfId="4346" priority="166">
      <formula>AND(IF($Q115=3,1,IF($Q115=4,1,0)),IF($F115&lt;=85,1,0))</formula>
    </cfRule>
  </conditionalFormatting>
  <conditionalFormatting sqref="AV116">
    <cfRule type="expression" dxfId="4345" priority="161">
      <formula>AV116="X"</formula>
    </cfRule>
    <cfRule type="expression" dxfId="4344" priority="162">
      <formula>AV116="후보"</formula>
    </cfRule>
  </conditionalFormatting>
  <conditionalFormatting sqref="Z116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4343" priority="158" operator="greaterThan">
      <formula>0.9</formula>
    </cfRule>
    <cfRule type="cellIs" dxfId="4342" priority="159" operator="greaterThan">
      <formula>0.85</formula>
    </cfRule>
  </conditionalFormatting>
  <conditionalFormatting sqref="N116">
    <cfRule type="cellIs" dxfId="4341" priority="156" operator="greaterThan">
      <formula>0.9</formula>
    </cfRule>
    <cfRule type="cellIs" dxfId="4340" priority="157" operator="greaterThan">
      <formula>0.85</formula>
    </cfRule>
  </conditionalFormatting>
  <conditionalFormatting sqref="E116">
    <cfRule type="expression" dxfId="4339" priority="152">
      <formula>AND(IF(OR($Q116=1,$Q116=2),1,0),IF($X116&lt;=20,1,0))</formula>
    </cfRule>
    <cfRule type="expression" dxfId="4338" priority="153">
      <formula>AND(IF($Q116=2,1,0),IF($X116&lt;30,1,0))</formula>
    </cfRule>
    <cfRule type="expression" dxfId="4337" priority="154">
      <formula>AND(IF($Q116=3,1,0),IF($X116&lt;30,1,0))</formula>
    </cfRule>
    <cfRule type="expression" dxfId="4336" priority="155">
      <formula>AND(IF($Q116=3,1,IF($Q116=4,1,0)),IF($F116&lt;=85,1,0))</formula>
    </cfRule>
  </conditionalFormatting>
  <conditionalFormatting sqref="X116">
    <cfRule type="expression" dxfId="4335" priority="148">
      <formula>AND(IF(OR($Q116=1,$Q116=2),1,0),IF($X116&lt;=20,1,0))</formula>
    </cfRule>
    <cfRule type="expression" dxfId="4334" priority="149">
      <formula>AND(IF($Q116=2,1,0),IF($X116&lt;30,1,0))</formula>
    </cfRule>
    <cfRule type="expression" dxfId="4333" priority="150">
      <formula>AND(IF($Q116=3,1,0),IF($X116&lt;30,1,0))</formula>
    </cfRule>
    <cfRule type="expression" dxfId="4332" priority="151">
      <formula>AND(IF($Q116=3,1,IF($Q116=4,1,0)),IF($F116&lt;=85,1,0))</formula>
    </cfRule>
  </conditionalFormatting>
  <conditionalFormatting sqref="AI116">
    <cfRule type="expression" dxfId="4331" priority="144">
      <formula>AND(IF(OR($Q116=1,$Q116=2),1,0),IF($X116&lt;=20,1,0))</formula>
    </cfRule>
    <cfRule type="expression" dxfId="4330" priority="145">
      <formula>AND(IF($Q116=2,1,0),IF($X116&lt;30,1,0))</formula>
    </cfRule>
    <cfRule type="expression" dxfId="4329" priority="146">
      <formula>AND(IF($Q116=3,1,0),IF($X116&lt;30,1,0))</formula>
    </cfRule>
    <cfRule type="expression" dxfId="4328" priority="147">
      <formula>AND(IF($Q116=3,1,IF($Q116=4,1,0)),IF($F116&lt;=85,1,0))</formula>
    </cfRule>
  </conditionalFormatting>
  <conditionalFormatting sqref="AV117">
    <cfRule type="expression" dxfId="4327" priority="142">
      <formula>AV117="X"</formula>
    </cfRule>
    <cfRule type="expression" dxfId="4326" priority="143">
      <formula>AV117="후보"</formula>
    </cfRule>
  </conditionalFormatting>
  <conditionalFormatting sqref="Z117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 N117">
    <cfRule type="cellIs" dxfId="4325" priority="139" operator="greaterThan">
      <formula>0.9</formula>
    </cfRule>
    <cfRule type="cellIs" dxfId="4324" priority="140" operator="greaterThan">
      <formula>0.85</formula>
    </cfRule>
  </conditionalFormatting>
  <conditionalFormatting sqref="AV118">
    <cfRule type="expression" dxfId="4323" priority="137">
      <formula>AV118="X"</formula>
    </cfRule>
    <cfRule type="expression" dxfId="4322" priority="138">
      <formula>AV118="후보"</formula>
    </cfRule>
  </conditionalFormatting>
  <conditionalFormatting sqref="Z118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4321" priority="134" operator="greaterThan">
      <formula>0.9</formula>
    </cfRule>
    <cfRule type="cellIs" dxfId="4320" priority="135" operator="greaterThan">
      <formula>0.85</formula>
    </cfRule>
  </conditionalFormatting>
  <conditionalFormatting sqref="N118">
    <cfRule type="cellIs" dxfId="4319" priority="132" operator="greaterThan">
      <formula>0.9</formula>
    </cfRule>
    <cfRule type="cellIs" dxfId="4318" priority="133" operator="greaterThan">
      <formula>0.85</formula>
    </cfRule>
  </conditionalFormatting>
  <conditionalFormatting sqref="E118">
    <cfRule type="expression" dxfId="4317" priority="128">
      <formula>AND(IF(OR($Q118=1,$Q118=2),1,0),IF($X118&lt;=20,1,0))</formula>
    </cfRule>
    <cfRule type="expression" dxfId="4316" priority="129">
      <formula>AND(IF($Q118=2,1,0),IF($X118&lt;30,1,0))</formula>
    </cfRule>
    <cfRule type="expression" dxfId="4315" priority="130">
      <formula>AND(IF($Q118=3,1,0),IF($X118&lt;30,1,0))</formula>
    </cfRule>
    <cfRule type="expression" dxfId="4314" priority="131">
      <formula>AND(IF($Q118=3,1,IF($Q118=4,1,0)),IF($F118&lt;=85,1,0))</formula>
    </cfRule>
  </conditionalFormatting>
  <conditionalFormatting sqref="X118">
    <cfRule type="expression" dxfId="4313" priority="124">
      <formula>AND(IF(OR($Q118=1,$Q118=2),1,0),IF($X118&lt;=20,1,0))</formula>
    </cfRule>
    <cfRule type="expression" dxfId="4312" priority="125">
      <formula>AND(IF($Q118=2,1,0),IF($X118&lt;30,1,0))</formula>
    </cfRule>
    <cfRule type="expression" dxfId="4311" priority="126">
      <formula>AND(IF($Q118=3,1,0),IF($X118&lt;30,1,0))</formula>
    </cfRule>
    <cfRule type="expression" dxfId="4310" priority="127">
      <formula>AND(IF($Q118=3,1,IF($Q118=4,1,0)),IF($F118&lt;=85,1,0))</formula>
    </cfRule>
  </conditionalFormatting>
  <conditionalFormatting sqref="AI118">
    <cfRule type="expression" dxfId="4309" priority="120">
      <formula>AND(IF(OR($Q118=1,$Q118=2),1,0),IF($X118&lt;=20,1,0))</formula>
    </cfRule>
    <cfRule type="expression" dxfId="4308" priority="121">
      <formula>AND(IF($Q118=2,1,0),IF($X118&lt;30,1,0))</formula>
    </cfRule>
    <cfRule type="expression" dxfId="4307" priority="122">
      <formula>AND(IF($Q118=3,1,0),IF($X118&lt;30,1,0))</formula>
    </cfRule>
    <cfRule type="expression" dxfId="4306" priority="123">
      <formula>AND(IF($Q118=3,1,IF($Q118=4,1,0)),IF($F118&lt;=85,1,0))</formula>
    </cfRule>
  </conditionalFormatting>
  <conditionalFormatting sqref="AV119">
    <cfRule type="expression" dxfId="4305" priority="118">
      <formula>AV119="X"</formula>
    </cfRule>
    <cfRule type="expression" dxfId="4304" priority="119">
      <formula>AV119="후보"</formula>
    </cfRule>
  </conditionalFormatting>
  <conditionalFormatting sqref="Z119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4303" priority="115" operator="greaterThan">
      <formula>0.9</formula>
    </cfRule>
    <cfRule type="cellIs" dxfId="4302" priority="116" operator="greaterThan">
      <formula>0.85</formula>
    </cfRule>
  </conditionalFormatting>
  <conditionalFormatting sqref="N119">
    <cfRule type="cellIs" dxfId="4301" priority="113" operator="greaterThan">
      <formula>0.9</formula>
    </cfRule>
    <cfRule type="cellIs" dxfId="4300" priority="114" operator="greaterThan">
      <formula>0.85</formula>
    </cfRule>
  </conditionalFormatting>
  <conditionalFormatting sqref="E119">
    <cfRule type="expression" dxfId="4299" priority="109">
      <formula>AND(IF(OR($Q119=1,$Q119=2),1,0),IF($X119&lt;=20,1,0))</formula>
    </cfRule>
    <cfRule type="expression" dxfId="4298" priority="110">
      <formula>AND(IF($Q119=2,1,0),IF($X119&lt;30,1,0))</formula>
    </cfRule>
    <cfRule type="expression" dxfId="4297" priority="111">
      <formula>AND(IF($Q119=3,1,0),IF($X119&lt;30,1,0))</formula>
    </cfRule>
    <cfRule type="expression" dxfId="4296" priority="112">
      <formula>AND(IF($Q119=3,1,IF($Q119=4,1,0)),IF($F119&lt;=85,1,0))</formula>
    </cfRule>
  </conditionalFormatting>
  <conditionalFormatting sqref="X119">
    <cfRule type="expression" dxfId="4295" priority="105">
      <formula>AND(IF(OR($Q119=1,$Q119=2),1,0),IF($X119&lt;=20,1,0))</formula>
    </cfRule>
    <cfRule type="expression" dxfId="4294" priority="106">
      <formula>AND(IF($Q119=2,1,0),IF($X119&lt;30,1,0))</formula>
    </cfRule>
    <cfRule type="expression" dxfId="4293" priority="107">
      <formula>AND(IF($Q119=3,1,0),IF($X119&lt;30,1,0))</formula>
    </cfRule>
    <cfRule type="expression" dxfId="4292" priority="108">
      <formula>AND(IF($Q119=3,1,IF($Q119=4,1,0)),IF($F119&lt;=85,1,0))</formula>
    </cfRule>
  </conditionalFormatting>
  <conditionalFormatting sqref="AI119">
    <cfRule type="expression" dxfId="4291" priority="101">
      <formula>AND(IF(OR($Q119=1,$Q119=2),1,0),IF($X119&lt;=20,1,0))</formula>
    </cfRule>
    <cfRule type="expression" dxfId="4290" priority="102">
      <formula>AND(IF($Q119=2,1,0),IF($X119&lt;30,1,0))</formula>
    </cfRule>
    <cfRule type="expression" dxfId="4289" priority="103">
      <formula>AND(IF($Q119=3,1,0),IF($X119&lt;30,1,0))</formula>
    </cfRule>
    <cfRule type="expression" dxfId="4288" priority="104">
      <formula>AND(IF($Q119=3,1,IF($Q119=4,1,0)),IF($F119&lt;=85,1,0))</formula>
    </cfRule>
  </conditionalFormatting>
  <conditionalFormatting sqref="AV120">
    <cfRule type="expression" dxfId="4287" priority="99">
      <formula>AV120="X"</formula>
    </cfRule>
    <cfRule type="expression" dxfId="4286" priority="100">
      <formula>AV120="후보"</formula>
    </cfRule>
  </conditionalFormatting>
  <conditionalFormatting sqref="Z120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 N120">
    <cfRule type="cellIs" dxfId="4285" priority="96" operator="greaterThan">
      <formula>0.9</formula>
    </cfRule>
    <cfRule type="cellIs" dxfId="4284" priority="97" operator="greaterThan">
      <formula>0.85</formula>
    </cfRule>
  </conditionalFormatting>
  <conditionalFormatting sqref="AV121">
    <cfRule type="expression" dxfId="4283" priority="94">
      <formula>AV121="X"</formula>
    </cfRule>
    <cfRule type="expression" dxfId="4282" priority="95">
      <formula>AV121="후보"</formula>
    </cfRule>
  </conditionalFormatting>
  <conditionalFormatting sqref="Z121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4281" priority="91" operator="greaterThan">
      <formula>0.9</formula>
    </cfRule>
    <cfRule type="cellIs" dxfId="4280" priority="92" operator="greaterThan">
      <formula>0.85</formula>
    </cfRule>
  </conditionalFormatting>
  <conditionalFormatting sqref="N121">
    <cfRule type="cellIs" dxfId="4279" priority="89" operator="greaterThan">
      <formula>0.9</formula>
    </cfRule>
    <cfRule type="cellIs" dxfId="4278" priority="90" operator="greaterThan">
      <formula>0.85</formula>
    </cfRule>
  </conditionalFormatting>
  <conditionalFormatting sqref="E121">
    <cfRule type="expression" dxfId="4277" priority="85">
      <formula>AND(IF(OR($Q121=1,$Q121=2),1,0),IF($X121&lt;=20,1,0))</formula>
    </cfRule>
    <cfRule type="expression" dxfId="4276" priority="86">
      <formula>AND(IF($Q121=2,1,0),IF($X121&lt;30,1,0))</formula>
    </cfRule>
    <cfRule type="expression" dxfId="4275" priority="87">
      <formula>AND(IF($Q121=3,1,0),IF($X121&lt;30,1,0))</formula>
    </cfRule>
    <cfRule type="expression" dxfId="4274" priority="88">
      <formula>AND(IF($Q121=3,1,IF($Q121=4,1,0)),IF($F121&lt;=85,1,0))</formula>
    </cfRule>
  </conditionalFormatting>
  <conditionalFormatting sqref="X121">
    <cfRule type="expression" dxfId="4273" priority="81">
      <formula>AND(IF(OR($Q121=1,$Q121=2),1,0),IF($X121&lt;=20,1,0))</formula>
    </cfRule>
    <cfRule type="expression" dxfId="4272" priority="82">
      <formula>AND(IF($Q121=2,1,0),IF($X121&lt;30,1,0))</formula>
    </cfRule>
    <cfRule type="expression" dxfId="4271" priority="83">
      <formula>AND(IF($Q121=3,1,0),IF($X121&lt;30,1,0))</formula>
    </cfRule>
    <cfRule type="expression" dxfId="4270" priority="84">
      <formula>AND(IF($Q121=3,1,IF($Q121=4,1,0)),IF($F121&lt;=85,1,0))</formula>
    </cfRule>
  </conditionalFormatting>
  <conditionalFormatting sqref="AI121">
    <cfRule type="expression" dxfId="4269" priority="77">
      <formula>AND(IF(OR($Q121=1,$Q121=2),1,0),IF($X121&lt;=20,1,0))</formula>
    </cfRule>
    <cfRule type="expression" dxfId="4268" priority="78">
      <formula>AND(IF($Q121=2,1,0),IF($X121&lt;30,1,0))</formula>
    </cfRule>
    <cfRule type="expression" dxfId="4267" priority="79">
      <formula>AND(IF($Q121=3,1,0),IF($X121&lt;30,1,0))</formula>
    </cfRule>
    <cfRule type="expression" dxfId="4266" priority="80">
      <formula>AND(IF($Q121=3,1,IF($Q121=4,1,0)),IF($F121&lt;=85,1,0))</formula>
    </cfRule>
  </conditionalFormatting>
  <conditionalFormatting sqref="AV122">
    <cfRule type="expression" dxfId="4265" priority="75">
      <formula>AV122="X"</formula>
    </cfRule>
    <cfRule type="expression" dxfId="4264" priority="76">
      <formula>AV122="후보"</formula>
    </cfRule>
  </conditionalFormatting>
  <conditionalFormatting sqref="Z122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4263" priority="72" operator="greaterThan">
      <formula>0.9</formula>
    </cfRule>
    <cfRule type="cellIs" dxfId="4262" priority="73" operator="greaterThan">
      <formula>0.85</formula>
    </cfRule>
  </conditionalFormatting>
  <conditionalFormatting sqref="N122">
    <cfRule type="cellIs" dxfId="4261" priority="70" operator="greaterThan">
      <formula>0.9</formula>
    </cfRule>
    <cfRule type="cellIs" dxfId="4260" priority="71" operator="greaterThan">
      <formula>0.85</formula>
    </cfRule>
  </conditionalFormatting>
  <conditionalFormatting sqref="E122">
    <cfRule type="expression" dxfId="4259" priority="66">
      <formula>AND(IF(OR($Q122=1,$Q122=2),1,0),IF($X122&lt;=20,1,0))</formula>
    </cfRule>
    <cfRule type="expression" dxfId="4258" priority="67">
      <formula>AND(IF($Q122=2,1,0),IF($X122&lt;30,1,0))</formula>
    </cfRule>
    <cfRule type="expression" dxfId="4257" priority="68">
      <formula>AND(IF($Q122=3,1,0),IF($X122&lt;30,1,0))</formula>
    </cfRule>
    <cfRule type="expression" dxfId="4256" priority="69">
      <formula>AND(IF($Q122=3,1,IF($Q122=4,1,0)),IF($F122&lt;=85,1,0))</formula>
    </cfRule>
  </conditionalFormatting>
  <conditionalFormatting sqref="X122">
    <cfRule type="expression" dxfId="4255" priority="62">
      <formula>AND(IF(OR($Q122=1,$Q122=2),1,0),IF($X122&lt;=20,1,0))</formula>
    </cfRule>
    <cfRule type="expression" dxfId="4254" priority="63">
      <formula>AND(IF($Q122=2,1,0),IF($X122&lt;30,1,0))</formula>
    </cfRule>
    <cfRule type="expression" dxfId="4253" priority="64">
      <formula>AND(IF($Q122=3,1,0),IF($X122&lt;30,1,0))</formula>
    </cfRule>
    <cfRule type="expression" dxfId="4252" priority="65">
      <formula>AND(IF($Q122=3,1,IF($Q122=4,1,0)),IF($F122&lt;=85,1,0))</formula>
    </cfRule>
  </conditionalFormatting>
  <conditionalFormatting sqref="AI122">
    <cfRule type="expression" dxfId="4251" priority="58">
      <formula>AND(IF(OR($Q122=1,$Q122=2),1,0),IF($X122&lt;=20,1,0))</formula>
    </cfRule>
    <cfRule type="expression" dxfId="4250" priority="59">
      <formula>AND(IF($Q122=2,1,0),IF($X122&lt;30,1,0))</formula>
    </cfRule>
    <cfRule type="expression" dxfId="4249" priority="60">
      <formula>AND(IF($Q122=3,1,0),IF($X122&lt;30,1,0))</formula>
    </cfRule>
    <cfRule type="expression" dxfId="4248" priority="61">
      <formula>AND(IF($Q122=3,1,IF($Q122=4,1,0)),IF($F122&lt;=85,1,0))</formula>
    </cfRule>
  </conditionalFormatting>
  <conditionalFormatting sqref="AV123">
    <cfRule type="expression" dxfId="4247" priority="56">
      <formula>AV123="X"</formula>
    </cfRule>
    <cfRule type="expression" dxfId="4246" priority="57">
      <formula>AV123="후보"</formula>
    </cfRule>
  </conditionalFormatting>
  <conditionalFormatting sqref="Z12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4245" priority="53" operator="greaterThan">
      <formula>0.9</formula>
    </cfRule>
    <cfRule type="cellIs" dxfId="4244" priority="54" operator="greaterThan">
      <formula>0.85</formula>
    </cfRule>
  </conditionalFormatting>
  <conditionalFormatting sqref="N123">
    <cfRule type="cellIs" dxfId="4243" priority="51" operator="greaterThan">
      <formula>0.9</formula>
    </cfRule>
    <cfRule type="cellIs" dxfId="4242" priority="52" operator="greaterThan">
      <formula>0.85</formula>
    </cfRule>
  </conditionalFormatting>
  <conditionalFormatting sqref="E123">
    <cfRule type="expression" dxfId="4241" priority="47">
      <formula>AND(IF(OR($Q123=1,$Q123=2),1,0),IF($X123&lt;=20,1,0))</formula>
    </cfRule>
    <cfRule type="expression" dxfId="4240" priority="48">
      <formula>AND(IF($Q123=2,1,0),IF($X123&lt;30,1,0))</formula>
    </cfRule>
    <cfRule type="expression" dxfId="4239" priority="49">
      <formula>AND(IF($Q123=3,1,0),IF($X123&lt;30,1,0))</formula>
    </cfRule>
    <cfRule type="expression" dxfId="4238" priority="50">
      <formula>AND(IF($Q123=3,1,IF($Q123=4,1,0)),IF($F123&lt;=85,1,0))</formula>
    </cfRule>
  </conditionalFormatting>
  <conditionalFormatting sqref="X123">
    <cfRule type="expression" dxfId="4237" priority="43">
      <formula>AND(IF(OR($Q123=1,$Q123=2),1,0),IF($X123&lt;=20,1,0))</formula>
    </cfRule>
    <cfRule type="expression" dxfId="4236" priority="44">
      <formula>AND(IF($Q123=2,1,0),IF($X123&lt;30,1,0))</formula>
    </cfRule>
    <cfRule type="expression" dxfId="4235" priority="45">
      <formula>AND(IF($Q123=3,1,0),IF($X123&lt;30,1,0))</formula>
    </cfRule>
    <cfRule type="expression" dxfId="4234" priority="46">
      <formula>AND(IF($Q123=3,1,IF($Q123=4,1,0)),IF($F123&lt;=85,1,0))</formula>
    </cfRule>
  </conditionalFormatting>
  <conditionalFormatting sqref="AI123">
    <cfRule type="expression" dxfId="4233" priority="39">
      <formula>AND(IF(OR($Q123=1,$Q123=2),1,0),IF($X123&lt;=20,1,0))</formula>
    </cfRule>
    <cfRule type="expression" dxfId="4232" priority="40">
      <formula>AND(IF($Q123=2,1,0),IF($X123&lt;30,1,0))</formula>
    </cfRule>
    <cfRule type="expression" dxfId="4231" priority="41">
      <formula>AND(IF($Q123=3,1,0),IF($X123&lt;30,1,0))</formula>
    </cfRule>
    <cfRule type="expression" dxfId="4230" priority="42">
      <formula>AND(IF($Q123=3,1,IF($Q123=4,1,0)),IF($F123&lt;=85,1,0))</formula>
    </cfRule>
  </conditionalFormatting>
  <conditionalFormatting sqref="AV124">
    <cfRule type="expression" dxfId="4229" priority="37">
      <formula>AV124="X"</formula>
    </cfRule>
    <cfRule type="expression" dxfId="4228" priority="38">
      <formula>AV124="후보"</formula>
    </cfRule>
  </conditionalFormatting>
  <conditionalFormatting sqref="Z12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4227" priority="34" operator="greaterThan">
      <formula>0.9</formula>
    </cfRule>
    <cfRule type="cellIs" dxfId="4226" priority="35" operator="greaterThan">
      <formula>0.85</formula>
    </cfRule>
  </conditionalFormatting>
  <conditionalFormatting sqref="N124">
    <cfRule type="cellIs" dxfId="4225" priority="32" operator="greaterThan">
      <formula>0.9</formula>
    </cfRule>
    <cfRule type="cellIs" dxfId="4224" priority="33" operator="greaterThan">
      <formula>0.85</formula>
    </cfRule>
  </conditionalFormatting>
  <conditionalFormatting sqref="E124">
    <cfRule type="expression" dxfId="4223" priority="28">
      <formula>AND(IF(OR($Q124=1,$Q124=2),1,0),IF($X124&lt;=20,1,0))</formula>
    </cfRule>
    <cfRule type="expression" dxfId="4222" priority="29">
      <formula>AND(IF($Q124=2,1,0),IF($X124&lt;30,1,0))</formula>
    </cfRule>
    <cfRule type="expression" dxfId="4221" priority="30">
      <formula>AND(IF($Q124=3,1,0),IF($X124&lt;30,1,0))</formula>
    </cfRule>
    <cfRule type="expression" dxfId="4220" priority="31">
      <formula>AND(IF($Q124=3,1,IF($Q124=4,1,0)),IF($F124&lt;=85,1,0))</formula>
    </cfRule>
  </conditionalFormatting>
  <conditionalFormatting sqref="X124">
    <cfRule type="expression" dxfId="4219" priority="24">
      <formula>AND(IF(OR($Q124=1,$Q124=2),1,0),IF($X124&lt;=20,1,0))</formula>
    </cfRule>
    <cfRule type="expression" dxfId="4218" priority="25">
      <formula>AND(IF($Q124=2,1,0),IF($X124&lt;30,1,0))</formula>
    </cfRule>
    <cfRule type="expression" dxfId="4217" priority="26">
      <formula>AND(IF($Q124=3,1,0),IF($X124&lt;30,1,0))</formula>
    </cfRule>
    <cfRule type="expression" dxfId="4216" priority="27">
      <formula>AND(IF($Q124=3,1,IF($Q124=4,1,0)),IF($F124&lt;=85,1,0))</formula>
    </cfRule>
  </conditionalFormatting>
  <conditionalFormatting sqref="AI124">
    <cfRule type="expression" dxfId="4215" priority="20">
      <formula>AND(IF(OR($Q124=1,$Q124=2),1,0),IF($X124&lt;=20,1,0))</formula>
    </cfRule>
    <cfRule type="expression" dxfId="4214" priority="21">
      <formula>AND(IF($Q124=2,1,0),IF($X124&lt;30,1,0))</formula>
    </cfRule>
    <cfRule type="expression" dxfId="4213" priority="22">
      <formula>AND(IF($Q124=3,1,0),IF($X124&lt;30,1,0))</formula>
    </cfRule>
    <cfRule type="expression" dxfId="4212" priority="23">
      <formula>AND(IF($Q124=3,1,IF($Q124=4,1,0)),IF($F124&lt;=85,1,0))</formula>
    </cfRule>
  </conditionalFormatting>
  <conditionalFormatting sqref="AV125">
    <cfRule type="expression" dxfId="4211" priority="18">
      <formula>AV125="X"</formula>
    </cfRule>
    <cfRule type="expression" dxfId="4210" priority="19">
      <formula>AV125="후보"</formula>
    </cfRule>
  </conditionalFormatting>
  <conditionalFormatting sqref="Z12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4209" priority="15" operator="greaterThan">
      <formula>0.9</formula>
    </cfRule>
    <cfRule type="cellIs" dxfId="4208" priority="16" operator="greaterThan">
      <formula>0.85</formula>
    </cfRule>
  </conditionalFormatting>
  <conditionalFormatting sqref="N125">
    <cfRule type="cellIs" dxfId="4207" priority="13" operator="greaterThan">
      <formula>0.9</formula>
    </cfRule>
    <cfRule type="cellIs" dxfId="4206" priority="14" operator="greaterThan">
      <formula>0.85</formula>
    </cfRule>
  </conditionalFormatting>
  <conditionalFormatting sqref="E125">
    <cfRule type="expression" dxfId="4205" priority="9">
      <formula>AND(IF(OR($Q125=1,$Q125=2),1,0),IF($X125&lt;=20,1,0))</formula>
    </cfRule>
    <cfRule type="expression" dxfId="4204" priority="10">
      <formula>AND(IF($Q125=2,1,0),IF($X125&lt;30,1,0))</formula>
    </cfRule>
    <cfRule type="expression" dxfId="4203" priority="11">
      <formula>AND(IF($Q125=3,1,0),IF($X125&lt;30,1,0))</formula>
    </cfRule>
    <cfRule type="expression" dxfId="4202" priority="12">
      <formula>AND(IF($Q125=3,1,IF($Q125=4,1,0)),IF($F125&lt;=85,1,0))</formula>
    </cfRule>
  </conditionalFormatting>
  <conditionalFormatting sqref="X125">
    <cfRule type="expression" dxfId="4201" priority="5">
      <formula>AND(IF(OR($Q125=1,$Q125=2),1,0),IF($X125&lt;=20,1,0))</formula>
    </cfRule>
    <cfRule type="expression" dxfId="4200" priority="6">
      <formula>AND(IF($Q125=2,1,0),IF($X125&lt;30,1,0))</formula>
    </cfRule>
    <cfRule type="expression" dxfId="4199" priority="7">
      <formula>AND(IF($Q125=3,1,0),IF($X125&lt;30,1,0))</formula>
    </cfRule>
    <cfRule type="expression" dxfId="4198" priority="8">
      <formula>AND(IF($Q125=3,1,IF($Q125=4,1,0)),IF($F125&lt;=85,1,0))</formula>
    </cfRule>
  </conditionalFormatting>
  <conditionalFormatting sqref="AI125">
    <cfRule type="expression" dxfId="4197" priority="1">
      <formula>AND(IF(OR($Q125=1,$Q125=2),1,0),IF($X125&lt;=20,1,0))</formula>
    </cfRule>
    <cfRule type="expression" dxfId="4196" priority="2">
      <formula>AND(IF($Q125=2,1,0),IF($X125&lt;30,1,0))</formula>
    </cfRule>
    <cfRule type="expression" dxfId="4195" priority="3">
      <formula>AND(IF($Q125=3,1,0),IF($X125&lt;30,1,0))</formula>
    </cfRule>
    <cfRule type="expression" dxfId="4194" priority="4">
      <formula>AND(IF($Q125=3,1,IF($Q125=4,1,0)),IF($F125&lt;=85,1,0))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주안동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3239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주안동 포레나인천미추홀('22.08.,864^)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3240</v>
      </c>
      <c r="B6" s="16" t="s">
        <v>3241</v>
      </c>
      <c r="C6" s="28">
        <v>864</v>
      </c>
      <c r="D6" s="25">
        <v>83.9</v>
      </c>
      <c r="E6" s="106">
        <v>25</v>
      </c>
      <c r="F6" s="25">
        <v>59.9</v>
      </c>
      <c r="G6" s="27">
        <v>18</v>
      </c>
      <c r="H6" s="28">
        <v>70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83</v>
      </c>
      <c r="U6" s="13"/>
      <c r="W6" s="25">
        <f>D6</f>
        <v>83.9</v>
      </c>
      <c r="X6" s="106">
        <f>E6</f>
        <v>25</v>
      </c>
      <c r="Y6" s="32">
        <f>H6</f>
        <v>70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포레나인천미추홀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3242</v>
      </c>
      <c r="B7" s="16" t="s">
        <v>3243</v>
      </c>
      <c r="C7" s="28">
        <v>864</v>
      </c>
      <c r="D7" s="25">
        <v>101.6</v>
      </c>
      <c r="E7" s="106">
        <v>31</v>
      </c>
      <c r="F7" s="25">
        <v>71</v>
      </c>
      <c r="G7" s="27">
        <v>21</v>
      </c>
      <c r="H7" s="28">
        <v>218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3206</v>
      </c>
      <c r="T7" s="8">
        <v>101</v>
      </c>
      <c r="U7" s="13"/>
      <c r="W7" s="25">
        <f>D7</f>
        <v>101.6</v>
      </c>
      <c r="X7" s="106">
        <f>E7</f>
        <v>31</v>
      </c>
      <c r="Y7" s="32">
        <f>H7</f>
        <v>218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포레나인천미추홀</v>
      </c>
      <c r="AI7" s="106">
        <f>IF(E7="","",E7)</f>
        <v>31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3242</v>
      </c>
      <c r="B8" s="16" t="s">
        <v>3243</v>
      </c>
      <c r="C8" s="28">
        <v>864</v>
      </c>
      <c r="D8" s="25">
        <v>106.6</v>
      </c>
      <c r="E8" s="106">
        <v>32</v>
      </c>
      <c r="F8" s="25">
        <v>76.5</v>
      </c>
      <c r="G8" s="27">
        <v>23</v>
      </c>
      <c r="H8" s="28">
        <v>288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3206</v>
      </c>
      <c r="T8" s="8">
        <v>106</v>
      </c>
      <c r="U8" s="13"/>
      <c r="W8" s="25">
        <f>D8</f>
        <v>106.6</v>
      </c>
      <c r="X8" s="106">
        <f>E8</f>
        <v>32</v>
      </c>
      <c r="Y8" s="32">
        <f>H8</f>
        <v>288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포레나인천미추홀</v>
      </c>
      <c r="AI8" s="106">
        <f>IF(E8="","",E8)</f>
        <v>32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3242</v>
      </c>
      <c r="B9" s="16" t="s">
        <v>3243</v>
      </c>
      <c r="C9" s="28">
        <v>864</v>
      </c>
      <c r="D9" s="25">
        <v>116.9</v>
      </c>
      <c r="E9" s="106">
        <v>35</v>
      </c>
      <c r="F9" s="25">
        <v>84.7</v>
      </c>
      <c r="G9" s="27">
        <v>26</v>
      </c>
      <c r="H9" s="28">
        <v>72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3206</v>
      </c>
      <c r="T9" s="8" t="s">
        <v>1850</v>
      </c>
      <c r="U9" s="13"/>
      <c r="W9" s="25">
        <f>D9</f>
        <v>116.9</v>
      </c>
      <c r="X9" s="106">
        <f>E9</f>
        <v>35</v>
      </c>
      <c r="Y9" s="32">
        <f>H9</f>
        <v>72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포레나인천미추홀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3242</v>
      </c>
      <c r="B10" s="16" t="s">
        <v>3243</v>
      </c>
      <c r="C10" s="28">
        <v>864</v>
      </c>
      <c r="D10" s="25">
        <v>117.8</v>
      </c>
      <c r="E10" s="106">
        <v>36</v>
      </c>
      <c r="F10" s="25">
        <v>84.7</v>
      </c>
      <c r="G10" s="27">
        <v>26</v>
      </c>
      <c r="H10" s="28">
        <v>70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3206</v>
      </c>
      <c r="T10" s="8" t="s">
        <v>1228</v>
      </c>
      <c r="U10" s="13"/>
      <c r="W10" s="25">
        <f>D10</f>
        <v>117.8</v>
      </c>
      <c r="X10" s="106">
        <f>E10</f>
        <v>36</v>
      </c>
      <c r="Y10" s="32">
        <f>H10</f>
        <v>70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포레나인천미추홀</v>
      </c>
      <c r="AI10" s="106">
        <f>IF(E10="","",E10)</f>
        <v>36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3242</v>
      </c>
      <c r="B11" s="16" t="s">
        <v>3243</v>
      </c>
      <c r="C11" s="28">
        <v>864</v>
      </c>
      <c r="D11" s="25">
        <v>117.8</v>
      </c>
      <c r="E11" s="106">
        <v>36</v>
      </c>
      <c r="F11" s="25">
        <v>84.9</v>
      </c>
      <c r="G11" s="27">
        <v>26</v>
      </c>
      <c r="H11" s="28">
        <v>70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3206</v>
      </c>
      <c r="T11" s="8" t="s">
        <v>1229</v>
      </c>
      <c r="U11" s="13"/>
      <c r="W11" s="25">
        <f>D11</f>
        <v>117.8</v>
      </c>
      <c r="X11" s="106">
        <f>E11</f>
        <v>36</v>
      </c>
      <c r="Y11" s="32">
        <f>H11</f>
        <v>70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포레나인천미추홀</v>
      </c>
      <c r="AI11" s="106">
        <f>IF(E11="","",E11)</f>
        <v>36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3242</v>
      </c>
      <c r="B12" s="16" t="s">
        <v>3243</v>
      </c>
      <c r="C12" s="28">
        <v>864</v>
      </c>
      <c r="D12" s="25">
        <v>135.6</v>
      </c>
      <c r="E12" s="106">
        <v>41</v>
      </c>
      <c r="F12" s="25">
        <v>98.8</v>
      </c>
      <c r="G12" s="27">
        <v>30</v>
      </c>
      <c r="H12" s="28">
        <v>72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3206</v>
      </c>
      <c r="T12" s="8">
        <v>135</v>
      </c>
      <c r="U12" s="13"/>
      <c r="W12" s="25">
        <f>D12</f>
        <v>135.6</v>
      </c>
      <c r="X12" s="106">
        <f>E12</f>
        <v>41</v>
      </c>
      <c r="Y12" s="32">
        <f>H12</f>
        <v>72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포레나인천미추홀</v>
      </c>
      <c r="AI12" s="106">
        <f>IF(E12="","",E12)</f>
        <v>41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3240</v>
      </c>
      <c r="B13" s="16" t="s">
        <v>3241</v>
      </c>
      <c r="C13" s="28">
        <v>864</v>
      </c>
      <c r="D13" s="25">
        <v>195.7</v>
      </c>
      <c r="E13" s="106">
        <v>59</v>
      </c>
      <c r="F13" s="25">
        <v>140.30000000000001</v>
      </c>
      <c r="G13" s="27">
        <v>42</v>
      </c>
      <c r="H13" s="28">
        <v>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3</v>
      </c>
      <c r="S13" s="113" t="s">
        <v>64</v>
      </c>
      <c r="T13" s="8">
        <v>195</v>
      </c>
      <c r="U13" s="13"/>
      <c r="W13" s="25">
        <f>D13</f>
        <v>195.7</v>
      </c>
      <c r="X13" s="106">
        <f>E13</f>
        <v>59</v>
      </c>
      <c r="Y13" s="32">
        <f>H13</f>
        <v>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4/3</v>
      </c>
      <c r="AH13" s="36" t="str">
        <f>IF(A13="","",A13)</f>
        <v>포레나인천미추홀</v>
      </c>
      <c r="AI13" s="106">
        <f>IF(E13="","",E13)</f>
        <v>59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3244</v>
      </c>
      <c r="B14" s="16" t="s">
        <v>3245</v>
      </c>
      <c r="C14" s="28">
        <v>864</v>
      </c>
      <c r="D14" s="25">
        <v>205.4</v>
      </c>
      <c r="E14" s="106">
        <v>62</v>
      </c>
      <c r="F14" s="25">
        <v>147.9</v>
      </c>
      <c r="G14" s="27">
        <v>45</v>
      </c>
      <c r="H14" s="28">
        <v>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3</v>
      </c>
      <c r="S14" s="113" t="s">
        <v>3246</v>
      </c>
      <c r="T14" s="8">
        <v>205</v>
      </c>
      <c r="U14" s="13"/>
      <c r="W14" s="25">
        <f>D14</f>
        <v>205.4</v>
      </c>
      <c r="X14" s="106">
        <f>E14</f>
        <v>62</v>
      </c>
      <c r="Y14" s="32">
        <f>H14</f>
        <v>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4/3</v>
      </c>
      <c r="AH14" s="36" t="str">
        <f>IF(A14="","",A14)</f>
        <v>포레나인천미추홀</v>
      </c>
      <c r="AI14" s="106">
        <f>IF(E14="","",E14)</f>
        <v>62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주안동 신비마을('94.03.,720^)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3247</v>
      </c>
      <c r="B16" s="16" t="s">
        <v>3248</v>
      </c>
      <c r="C16" s="28">
        <v>720</v>
      </c>
      <c r="D16" s="25">
        <v>69.8</v>
      </c>
      <c r="E16" s="106">
        <v>21</v>
      </c>
      <c r="F16" s="25">
        <v>49.4</v>
      </c>
      <c r="G16" s="27">
        <v>15</v>
      </c>
      <c r="H16" s="28">
        <v>430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3249</v>
      </c>
      <c r="T16" s="8">
        <v>69</v>
      </c>
      <c r="U16" s="13"/>
      <c r="W16" s="25">
        <f>D16</f>
        <v>69.8</v>
      </c>
      <c r="X16" s="106">
        <f>E16</f>
        <v>21</v>
      </c>
      <c r="Y16" s="32">
        <f>H16</f>
        <v>430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복</v>
      </c>
      <c r="AF16" s="15" t="str">
        <f>Q16&amp;"/"&amp;R16</f>
        <v>3/1</v>
      </c>
      <c r="AH16" s="36" t="str">
        <f>IF(A16="","",A16)</f>
        <v>신비마을</v>
      </c>
      <c r="AI16" s="106">
        <f>IF(E16="","",E16)</f>
        <v>21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3247</v>
      </c>
      <c r="B17" s="16" t="s">
        <v>3248</v>
      </c>
      <c r="C17" s="28">
        <v>720</v>
      </c>
      <c r="D17" s="25">
        <v>84.8</v>
      </c>
      <c r="E17" s="106">
        <v>26</v>
      </c>
      <c r="F17" s="25">
        <v>60</v>
      </c>
      <c r="G17" s="27">
        <v>18</v>
      </c>
      <c r="H17" s="28">
        <v>290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3249</v>
      </c>
      <c r="T17" s="8">
        <v>84</v>
      </c>
      <c r="U17" s="13"/>
      <c r="W17" s="25">
        <f>D17</f>
        <v>84.8</v>
      </c>
      <c r="X17" s="106">
        <f>E17</f>
        <v>26</v>
      </c>
      <c r="Y17" s="32">
        <f>H17</f>
        <v>290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복</v>
      </c>
      <c r="AF17" s="15" t="str">
        <f>Q17&amp;"/"&amp;R17</f>
        <v>3/1</v>
      </c>
      <c r="AH17" s="36" t="str">
        <f>IF(A17="","",A17)</f>
        <v>신비마을</v>
      </c>
      <c r="AI17" s="106">
        <f>IF(E17="","",E17)</f>
        <v>26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주안동 태평('89.10.,252^)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3250</v>
      </c>
      <c r="B19" s="16" t="s">
        <v>3251</v>
      </c>
      <c r="C19" s="28">
        <v>252</v>
      </c>
      <c r="D19" s="25">
        <v>55</v>
      </c>
      <c r="E19" s="106">
        <v>17</v>
      </c>
      <c r="F19" s="25">
        <v>42.2</v>
      </c>
      <c r="G19" s="27">
        <v>13</v>
      </c>
      <c r="H19" s="28">
        <v>108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3246</v>
      </c>
      <c r="T19" s="8">
        <v>54</v>
      </c>
      <c r="U19" s="13"/>
      <c r="W19" s="25">
        <f>D19</f>
        <v>55</v>
      </c>
      <c r="X19" s="106">
        <f>E19</f>
        <v>17</v>
      </c>
      <c r="Y19" s="32">
        <f>H19</f>
        <v>108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2/1</v>
      </c>
      <c r="AH19" s="36" t="str">
        <f>IF(A19="","",A19)</f>
        <v>태평</v>
      </c>
      <c r="AI19" s="106">
        <f>IF(E19="","",E19)</f>
        <v>17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5" t="s">
        <v>3250</v>
      </c>
      <c r="B20" s="16" t="s">
        <v>3251</v>
      </c>
      <c r="C20" s="28">
        <v>252</v>
      </c>
      <c r="D20" s="25">
        <v>65.599999999999994</v>
      </c>
      <c r="E20" s="106">
        <v>20</v>
      </c>
      <c r="F20" s="25">
        <v>51.1</v>
      </c>
      <c r="G20" s="27">
        <v>15</v>
      </c>
      <c r="H20" s="28">
        <v>48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3246</v>
      </c>
      <c r="T20" s="8">
        <v>65</v>
      </c>
      <c r="U20" s="13"/>
      <c r="W20" s="25">
        <f>D20</f>
        <v>65.599999999999994</v>
      </c>
      <c r="X20" s="106">
        <f>E20</f>
        <v>20</v>
      </c>
      <c r="Y20" s="32">
        <f>H20</f>
        <v>48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태평</v>
      </c>
      <c r="AI20" s="106">
        <f>IF(E20="","",E20)</f>
        <v>20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X</v>
      </c>
      <c r="AV20" s="113" t="str">
        <f>IF(AO20="","",IF(AND(AO20="O",AP20="O",AR20="O",AT20="O",AU20="O"),"후보","X"))</f>
        <v/>
      </c>
    </row>
    <row r="21" spans="1:48" x14ac:dyDescent="0.3">
      <c r="A21" s="5" t="s">
        <v>3250</v>
      </c>
      <c r="B21" s="16" t="s">
        <v>3251</v>
      </c>
      <c r="C21" s="28">
        <v>252</v>
      </c>
      <c r="D21" s="25">
        <v>72.2</v>
      </c>
      <c r="E21" s="106">
        <v>22</v>
      </c>
      <c r="F21" s="25">
        <v>50.8</v>
      </c>
      <c r="G21" s="27">
        <v>15</v>
      </c>
      <c r="H21" s="28">
        <v>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3246</v>
      </c>
      <c r="T21" s="8" t="s">
        <v>282</v>
      </c>
      <c r="U21" s="13"/>
      <c r="W21" s="25">
        <f>D21</f>
        <v>72.2</v>
      </c>
      <c r="X21" s="106">
        <f>E21</f>
        <v>22</v>
      </c>
      <c r="Y21" s="32">
        <f>H21</f>
        <v>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태평</v>
      </c>
      <c r="AI21" s="106">
        <f>IF(E21="","",E21)</f>
        <v>22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3250</v>
      </c>
      <c r="B22" s="16" t="s">
        <v>3251</v>
      </c>
      <c r="C22" s="28">
        <v>252</v>
      </c>
      <c r="D22" s="25">
        <v>73.2</v>
      </c>
      <c r="E22" s="106">
        <v>22</v>
      </c>
      <c r="F22" s="25">
        <v>57.9</v>
      </c>
      <c r="G22" s="27">
        <v>18</v>
      </c>
      <c r="H22" s="28">
        <v>42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3246</v>
      </c>
      <c r="T22" s="8" t="s">
        <v>903</v>
      </c>
      <c r="U22" s="13"/>
      <c r="W22" s="25">
        <f>D22</f>
        <v>73.2</v>
      </c>
      <c r="X22" s="106">
        <f>E22</f>
        <v>22</v>
      </c>
      <c r="Y22" s="32">
        <f>H22</f>
        <v>42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태평</v>
      </c>
      <c r="AI22" s="106">
        <f>IF(E22="","",E22)</f>
        <v>22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5" t="s">
        <v>3250</v>
      </c>
      <c r="B23" s="16" t="s">
        <v>3251</v>
      </c>
      <c r="C23" s="28">
        <v>252</v>
      </c>
      <c r="D23" s="25">
        <v>73.900000000000006</v>
      </c>
      <c r="E23" s="106">
        <v>22</v>
      </c>
      <c r="F23" s="25">
        <v>57.7</v>
      </c>
      <c r="G23" s="27">
        <v>17</v>
      </c>
      <c r="H23" s="28">
        <v>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3246</v>
      </c>
      <c r="T23" s="8" t="s">
        <v>286</v>
      </c>
      <c r="U23" s="13"/>
      <c r="W23" s="25">
        <f>D23</f>
        <v>73.900000000000006</v>
      </c>
      <c r="X23" s="106">
        <f>E23</f>
        <v>22</v>
      </c>
      <c r="Y23" s="32">
        <f>H23</f>
        <v>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태평</v>
      </c>
      <c r="AI23" s="106">
        <f>IF(E23="","",E23)</f>
        <v>22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5" t="s">
        <v>3250</v>
      </c>
      <c r="B24" s="16" t="s">
        <v>3251</v>
      </c>
      <c r="C24" s="28">
        <v>252</v>
      </c>
      <c r="D24" s="25">
        <v>75.8</v>
      </c>
      <c r="E24" s="106">
        <v>23</v>
      </c>
      <c r="F24" s="25">
        <v>59.9</v>
      </c>
      <c r="G24" s="27">
        <v>18</v>
      </c>
      <c r="H24" s="28">
        <v>36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3246</v>
      </c>
      <c r="T24" s="8">
        <v>75</v>
      </c>
      <c r="U24" s="13"/>
      <c r="W24" s="25">
        <f>D24</f>
        <v>75.8</v>
      </c>
      <c r="X24" s="106">
        <f>E24</f>
        <v>23</v>
      </c>
      <c r="Y24" s="32">
        <f>H24</f>
        <v>36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태평</v>
      </c>
      <c r="AI24" s="106">
        <f>IF(E24="","",E24)</f>
        <v>23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5" t="s">
        <v>3250</v>
      </c>
      <c r="B25" s="16" t="s">
        <v>3251</v>
      </c>
      <c r="C25" s="28">
        <v>252</v>
      </c>
      <c r="D25" s="25">
        <v>101.9</v>
      </c>
      <c r="E25" s="106">
        <v>31</v>
      </c>
      <c r="F25" s="25">
        <v>82.1</v>
      </c>
      <c r="G25" s="27">
        <v>25</v>
      </c>
      <c r="H25" s="28">
        <v>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3246</v>
      </c>
      <c r="T25" s="8">
        <v>101</v>
      </c>
      <c r="U25" s="13"/>
      <c r="W25" s="25">
        <f>D25</f>
        <v>101.9</v>
      </c>
      <c r="X25" s="106">
        <f>E25</f>
        <v>31</v>
      </c>
      <c r="Y25" s="32">
        <f>H25</f>
        <v>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3/1</v>
      </c>
      <c r="AH25" s="36" t="str">
        <f>IF(A25="","",A25)</f>
        <v>태평</v>
      </c>
      <c r="AI25" s="106">
        <f>IF(E25="","",E25)</f>
        <v>31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주안동 우정(18-141)('82.12.,230^)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3252</v>
      </c>
      <c r="B27" s="16" t="s">
        <v>3253</v>
      </c>
      <c r="C27" s="28">
        <v>230</v>
      </c>
      <c r="D27" s="25">
        <v>53.9</v>
      </c>
      <c r="E27" s="106">
        <v>16</v>
      </c>
      <c r="F27" s="25">
        <v>48.5</v>
      </c>
      <c r="G27" s="27">
        <v>15</v>
      </c>
      <c r="H27" s="28">
        <v>80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2</v>
      </c>
      <c r="R27" s="15">
        <v>1</v>
      </c>
      <c r="S27" s="113" t="s">
        <v>3246</v>
      </c>
      <c r="T27" s="8">
        <v>53</v>
      </c>
      <c r="U27" s="13"/>
      <c r="W27" s="25">
        <f>D27</f>
        <v>53.9</v>
      </c>
      <c r="X27" s="106">
        <f>E27</f>
        <v>16</v>
      </c>
      <c r="Y27" s="32">
        <f>H27</f>
        <v>80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2/1</v>
      </c>
      <c r="AH27" s="36" t="str">
        <f>IF(A27="","",A27)</f>
        <v>우정(18-141)</v>
      </c>
      <c r="AI27" s="106">
        <f>IF(E27="","",E27)</f>
        <v>16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5" t="s">
        <v>3252</v>
      </c>
      <c r="B28" s="16" t="s">
        <v>3253</v>
      </c>
      <c r="C28" s="28">
        <v>230</v>
      </c>
      <c r="D28" s="25">
        <v>59.3</v>
      </c>
      <c r="E28" s="106">
        <v>18</v>
      </c>
      <c r="F28" s="25">
        <v>55.2</v>
      </c>
      <c r="G28" s="27">
        <v>17</v>
      </c>
      <c r="H28" s="28">
        <v>150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3246</v>
      </c>
      <c r="T28" s="8">
        <v>59</v>
      </c>
      <c r="U28" s="13"/>
      <c r="W28" s="25">
        <f>D28</f>
        <v>59.3</v>
      </c>
      <c r="X28" s="106">
        <f>E28</f>
        <v>18</v>
      </c>
      <c r="Y28" s="32">
        <f>H28</f>
        <v>150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2/1</v>
      </c>
      <c r="AH28" s="36" t="str">
        <f>IF(A28="","",A28)</f>
        <v>우정(18-141)</v>
      </c>
      <c r="AI28" s="106">
        <f>IF(E28="","",E28)</f>
        <v>18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주안동 인천관교한신휴플러스('10.07.,1509^)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3254</v>
      </c>
      <c r="B30" s="16" t="s">
        <v>3255</v>
      </c>
      <c r="C30" s="28">
        <v>1509</v>
      </c>
      <c r="D30" s="25">
        <v>65.599999999999994</v>
      </c>
      <c r="E30" s="106">
        <v>20</v>
      </c>
      <c r="F30" s="25">
        <v>47.1</v>
      </c>
      <c r="G30" s="27">
        <v>14</v>
      </c>
      <c r="H30" s="28">
        <v>43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2</v>
      </c>
      <c r="R30" s="15">
        <v>1</v>
      </c>
      <c r="S30" s="113" t="s">
        <v>3246</v>
      </c>
      <c r="T30" s="8">
        <v>65</v>
      </c>
      <c r="U30" s="13"/>
      <c r="W30" s="25">
        <f>D30</f>
        <v>65.599999999999994</v>
      </c>
      <c r="X30" s="106">
        <f>E30</f>
        <v>20</v>
      </c>
      <c r="Y30" s="32">
        <f>H30</f>
        <v>43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2/1</v>
      </c>
      <c r="AH30" s="36" t="str">
        <f>IF(A30="","",A30)</f>
        <v>인천관교한신휴플러스</v>
      </c>
      <c r="AI30" s="106">
        <f>IF(E30="","",E30)</f>
        <v>20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3254</v>
      </c>
      <c r="B31" s="16" t="s">
        <v>3255</v>
      </c>
      <c r="C31" s="28">
        <v>1509</v>
      </c>
      <c r="D31" s="25">
        <v>80.2</v>
      </c>
      <c r="E31" s="106">
        <v>24</v>
      </c>
      <c r="F31" s="25">
        <v>60</v>
      </c>
      <c r="G31" s="27">
        <v>18</v>
      </c>
      <c r="H31" s="28">
        <v>471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3246</v>
      </c>
      <c r="T31" s="8">
        <v>80</v>
      </c>
      <c r="U31" s="13"/>
      <c r="W31" s="25">
        <f>D31</f>
        <v>80.2</v>
      </c>
      <c r="X31" s="106">
        <f>E31</f>
        <v>24</v>
      </c>
      <c r="Y31" s="32">
        <f>H31</f>
        <v>471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인천관교한신휴플러스</v>
      </c>
      <c r="AI31" s="106">
        <f>IF(E31="","",E31)</f>
        <v>24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3254</v>
      </c>
      <c r="B32" s="16" t="s">
        <v>3255</v>
      </c>
      <c r="C32" s="28">
        <v>1509</v>
      </c>
      <c r="D32" s="25">
        <v>110.8</v>
      </c>
      <c r="E32" s="106">
        <v>34</v>
      </c>
      <c r="F32" s="25">
        <v>84.6</v>
      </c>
      <c r="G32" s="27">
        <v>26</v>
      </c>
      <c r="H32" s="28">
        <v>261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3246</v>
      </c>
      <c r="T32" s="8" t="s">
        <v>440</v>
      </c>
      <c r="U32" s="13"/>
      <c r="W32" s="25">
        <f>D32</f>
        <v>110.8</v>
      </c>
      <c r="X32" s="106">
        <f>E32</f>
        <v>34</v>
      </c>
      <c r="Y32" s="32">
        <f>H32</f>
        <v>261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인천관교한신휴플러스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3254</v>
      </c>
      <c r="B33" s="16" t="s">
        <v>3255</v>
      </c>
      <c r="C33" s="28">
        <v>1509</v>
      </c>
      <c r="D33" s="25">
        <v>110.5</v>
      </c>
      <c r="E33" s="106">
        <v>33</v>
      </c>
      <c r="F33" s="25">
        <v>84.7</v>
      </c>
      <c r="G33" s="27">
        <v>26</v>
      </c>
      <c r="H33" s="28">
        <v>247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3246</v>
      </c>
      <c r="T33" s="8" t="s">
        <v>157</v>
      </c>
      <c r="U33" s="13"/>
      <c r="W33" s="25">
        <f>D33</f>
        <v>110.5</v>
      </c>
      <c r="X33" s="106">
        <f>E33</f>
        <v>33</v>
      </c>
      <c r="Y33" s="32">
        <f>H33</f>
        <v>247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인천관교한신휴플러스</v>
      </c>
      <c r="AI33" s="106">
        <f>IF(E33="","",E33)</f>
        <v>33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3254</v>
      </c>
      <c r="B34" s="16" t="s">
        <v>3255</v>
      </c>
      <c r="C34" s="28">
        <v>1509</v>
      </c>
      <c r="D34" s="25">
        <v>114.5</v>
      </c>
      <c r="E34" s="106">
        <v>35</v>
      </c>
      <c r="F34" s="25">
        <v>85</v>
      </c>
      <c r="G34" s="27">
        <v>26</v>
      </c>
      <c r="H34" s="28">
        <v>286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3246</v>
      </c>
      <c r="T34" s="8">
        <v>114</v>
      </c>
      <c r="U34" s="13"/>
      <c r="W34" s="25">
        <f>D34</f>
        <v>114.5</v>
      </c>
      <c r="X34" s="106">
        <f>E34</f>
        <v>35</v>
      </c>
      <c r="Y34" s="32">
        <f>H34</f>
        <v>286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인천관교한신휴플러스</v>
      </c>
      <c r="AI34" s="106">
        <f>IF(E34="","",E34)</f>
        <v>35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3254</v>
      </c>
      <c r="B35" s="16" t="s">
        <v>3255</v>
      </c>
      <c r="C35" s="28">
        <v>1509</v>
      </c>
      <c r="D35" s="25">
        <v>148.4</v>
      </c>
      <c r="E35" s="106">
        <v>45</v>
      </c>
      <c r="F35" s="25">
        <v>115</v>
      </c>
      <c r="G35" s="27">
        <v>35</v>
      </c>
      <c r="H35" s="28">
        <v>119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3246</v>
      </c>
      <c r="T35" s="8">
        <v>148</v>
      </c>
      <c r="U35" s="13"/>
      <c r="W35" s="25">
        <f>D35</f>
        <v>148.4</v>
      </c>
      <c r="X35" s="106">
        <f>E35</f>
        <v>45</v>
      </c>
      <c r="Y35" s="32">
        <f>H35</f>
        <v>119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인천관교한신휴플러스</v>
      </c>
      <c r="AI35" s="106">
        <f>IF(E35="","",E35)</f>
        <v>45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주안동 주안캐슬앤더샵에듀포레('22.07.,1856^)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3256</v>
      </c>
      <c r="B37" s="16" t="s">
        <v>3257</v>
      </c>
      <c r="C37" s="28">
        <v>1856</v>
      </c>
      <c r="D37" s="25">
        <v>62.2</v>
      </c>
      <c r="E37" s="106">
        <v>19</v>
      </c>
      <c r="F37" s="25">
        <v>38.9</v>
      </c>
      <c r="G37" s="27">
        <v>12</v>
      </c>
      <c r="H37" s="28">
        <v>49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2</v>
      </c>
      <c r="R37" s="15">
        <v>1</v>
      </c>
      <c r="S37" s="113" t="s">
        <v>3246</v>
      </c>
      <c r="T37" s="8">
        <v>62</v>
      </c>
      <c r="U37" s="13"/>
      <c r="W37" s="25">
        <f>D37</f>
        <v>62.2</v>
      </c>
      <c r="X37" s="106">
        <f>E37</f>
        <v>19</v>
      </c>
      <c r="Y37" s="32">
        <f>H37</f>
        <v>49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2/1</v>
      </c>
      <c r="AH37" s="36" t="str">
        <f>IF(A37="","",A37)</f>
        <v>주안캐슬앤더샵에듀포레</v>
      </c>
      <c r="AI37" s="106">
        <f>IF(E37="","",E37)</f>
        <v>19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3256</v>
      </c>
      <c r="B38" s="16" t="s">
        <v>3257</v>
      </c>
      <c r="C38" s="28">
        <v>1856</v>
      </c>
      <c r="D38" s="25">
        <v>68.7</v>
      </c>
      <c r="E38" s="106">
        <v>21</v>
      </c>
      <c r="F38" s="25">
        <v>42.8</v>
      </c>
      <c r="G38" s="27">
        <v>13</v>
      </c>
      <c r="H38" s="28">
        <v>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2</v>
      </c>
      <c r="R38" s="15">
        <v>1</v>
      </c>
      <c r="S38" s="113" t="s">
        <v>3246</v>
      </c>
      <c r="T38" s="8">
        <v>68</v>
      </c>
      <c r="U38" s="13"/>
      <c r="W38" s="25">
        <f>D38</f>
        <v>68.7</v>
      </c>
      <c r="X38" s="106">
        <f>E38</f>
        <v>21</v>
      </c>
      <c r="Y38" s="32">
        <f>H38</f>
        <v>8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2/1</v>
      </c>
      <c r="AH38" s="36" t="str">
        <f>IF(A38="","",A38)</f>
        <v>주안캐슬앤더샵에듀포레</v>
      </c>
      <c r="AI38" s="106">
        <f>IF(E38="","",E38)</f>
        <v>21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3256</v>
      </c>
      <c r="B39" s="16" t="s">
        <v>3257</v>
      </c>
      <c r="C39" s="28">
        <v>1856</v>
      </c>
      <c r="D39" s="25">
        <v>74.8</v>
      </c>
      <c r="E39" s="106">
        <v>23</v>
      </c>
      <c r="F39" s="25">
        <v>49.4</v>
      </c>
      <c r="G39" s="27">
        <v>15</v>
      </c>
      <c r="H39" s="28">
        <v>32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2</v>
      </c>
      <c r="R39" s="15">
        <v>1</v>
      </c>
      <c r="S39" s="113" t="s">
        <v>3246</v>
      </c>
      <c r="T39" s="8">
        <v>74</v>
      </c>
      <c r="U39" s="13"/>
      <c r="W39" s="25">
        <f>D39</f>
        <v>74.8</v>
      </c>
      <c r="X39" s="106">
        <f>E39</f>
        <v>23</v>
      </c>
      <c r="Y39" s="32">
        <f>H39</f>
        <v>32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2/1</v>
      </c>
      <c r="AH39" s="36" t="str">
        <f>IF(A39="","",A39)</f>
        <v>주안캐슬앤더샵에듀포레</v>
      </c>
      <c r="AI39" s="106">
        <f>IF(E39="","",E39)</f>
        <v>23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3256</v>
      </c>
      <c r="B40" s="16" t="s">
        <v>3257</v>
      </c>
      <c r="C40" s="28">
        <v>1856</v>
      </c>
      <c r="D40" s="25">
        <v>85.7</v>
      </c>
      <c r="E40" s="106">
        <v>26</v>
      </c>
      <c r="F40" s="25">
        <v>60</v>
      </c>
      <c r="G40" s="27">
        <v>18</v>
      </c>
      <c r="H40" s="28">
        <v>565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3246</v>
      </c>
      <c r="T40" s="8" t="s">
        <v>222</v>
      </c>
      <c r="U40" s="13"/>
      <c r="W40" s="25">
        <f>D40</f>
        <v>85.7</v>
      </c>
      <c r="X40" s="106">
        <f>E40</f>
        <v>26</v>
      </c>
      <c r="Y40" s="32">
        <f>H40</f>
        <v>565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주안캐슬앤더샵에듀포레</v>
      </c>
      <c r="AI40" s="106">
        <f>IF(E40="","",E40)</f>
        <v>26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3256</v>
      </c>
      <c r="B41" s="16" t="s">
        <v>3257</v>
      </c>
      <c r="C41" s="28">
        <v>1856</v>
      </c>
      <c r="D41" s="25">
        <v>85.8</v>
      </c>
      <c r="E41" s="106">
        <v>26</v>
      </c>
      <c r="F41" s="25">
        <v>59.6</v>
      </c>
      <c r="G41" s="27">
        <v>18</v>
      </c>
      <c r="H41" s="28">
        <v>363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3246</v>
      </c>
      <c r="T41" s="8" t="s">
        <v>434</v>
      </c>
      <c r="U41" s="13"/>
      <c r="W41" s="25">
        <f>D41</f>
        <v>85.8</v>
      </c>
      <c r="X41" s="106">
        <f>E41</f>
        <v>26</v>
      </c>
      <c r="Y41" s="32">
        <f>H41</f>
        <v>363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주안캐슬앤더샵에듀포레</v>
      </c>
      <c r="AI41" s="106">
        <f>IF(E41="","",E41)</f>
        <v>26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3258</v>
      </c>
      <c r="B42" s="16" t="s">
        <v>3259</v>
      </c>
      <c r="C42" s="28">
        <v>1856</v>
      </c>
      <c r="D42" s="25">
        <v>98.5</v>
      </c>
      <c r="E42" s="106">
        <v>30</v>
      </c>
      <c r="F42" s="25">
        <v>72.8</v>
      </c>
      <c r="G42" s="27">
        <v>22</v>
      </c>
      <c r="H42" s="28">
        <v>137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64</v>
      </c>
      <c r="T42" s="8" t="s">
        <v>360</v>
      </c>
      <c r="U42" s="13"/>
      <c r="W42" s="25">
        <f>D42</f>
        <v>98.5</v>
      </c>
      <c r="X42" s="106">
        <f>E42</f>
        <v>30</v>
      </c>
      <c r="Y42" s="32">
        <f>H42</f>
        <v>137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주안캐슬앤더샵에듀포레</v>
      </c>
      <c r="AI42" s="106">
        <f>IF(E42="","",E42)</f>
        <v>30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3258</v>
      </c>
      <c r="B43" s="16" t="s">
        <v>3259</v>
      </c>
      <c r="C43" s="28">
        <v>1856</v>
      </c>
      <c r="D43" s="25">
        <v>98.6</v>
      </c>
      <c r="E43" s="106">
        <v>30</v>
      </c>
      <c r="F43" s="25">
        <v>72.2</v>
      </c>
      <c r="G43" s="27">
        <v>22</v>
      </c>
      <c r="H43" s="28">
        <v>34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3260</v>
      </c>
      <c r="T43" s="8" t="s">
        <v>2064</v>
      </c>
      <c r="U43" s="13"/>
      <c r="W43" s="25">
        <f>D43</f>
        <v>98.6</v>
      </c>
      <c r="X43" s="106">
        <f>E43</f>
        <v>30</v>
      </c>
      <c r="Y43" s="32">
        <f>H43</f>
        <v>34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주안캐슬앤더샵에듀포레</v>
      </c>
      <c r="AI43" s="106">
        <f>IF(E43="","",E43)</f>
        <v>30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3261</v>
      </c>
      <c r="B44" s="16" t="s">
        <v>3259</v>
      </c>
      <c r="C44" s="28">
        <v>1856</v>
      </c>
      <c r="D44" s="25">
        <v>99.1</v>
      </c>
      <c r="E44" s="106">
        <v>30</v>
      </c>
      <c r="F44" s="25">
        <v>72.2</v>
      </c>
      <c r="G44" s="27">
        <v>22</v>
      </c>
      <c r="H44" s="28">
        <v>101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3260</v>
      </c>
      <c r="T44" s="8" t="s">
        <v>1053</v>
      </c>
      <c r="U44" s="13"/>
      <c r="W44" s="25">
        <f>D44</f>
        <v>99.1</v>
      </c>
      <c r="X44" s="106">
        <f>E44</f>
        <v>30</v>
      </c>
      <c r="Y44" s="32">
        <f>H44</f>
        <v>101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주안캐슬앤더샵에듀포레</v>
      </c>
      <c r="AI44" s="106">
        <f>IF(E44="","",E44)</f>
        <v>30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3258</v>
      </c>
      <c r="B45" s="16" t="s">
        <v>3259</v>
      </c>
      <c r="C45" s="28">
        <v>1856</v>
      </c>
      <c r="D45" s="25">
        <v>114</v>
      </c>
      <c r="E45" s="106">
        <v>34</v>
      </c>
      <c r="F45" s="25">
        <v>85</v>
      </c>
      <c r="G45" s="27">
        <v>26</v>
      </c>
      <c r="H45" s="28">
        <v>513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3260</v>
      </c>
      <c r="T45" s="8" t="s">
        <v>187</v>
      </c>
      <c r="U45" s="13"/>
      <c r="W45" s="25">
        <f>D45</f>
        <v>114</v>
      </c>
      <c r="X45" s="106">
        <f>E45</f>
        <v>34</v>
      </c>
      <c r="Y45" s="32">
        <f>H45</f>
        <v>513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주안캐슬앤더샵에듀포레</v>
      </c>
      <c r="AI45" s="106">
        <f>IF(E45="","",E45)</f>
        <v>34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3261</v>
      </c>
      <c r="B46" s="16" t="s">
        <v>3262</v>
      </c>
      <c r="C46" s="28">
        <v>1856</v>
      </c>
      <c r="D46" s="25">
        <v>114.4</v>
      </c>
      <c r="E46" s="106">
        <v>35</v>
      </c>
      <c r="F46" s="25">
        <v>84.8</v>
      </c>
      <c r="G46" s="27">
        <v>26</v>
      </c>
      <c r="H46" s="28">
        <v>35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188</v>
      </c>
      <c r="U46" s="13"/>
      <c r="W46" s="25">
        <f>D46</f>
        <v>114.4</v>
      </c>
      <c r="X46" s="106">
        <f>E46</f>
        <v>35</v>
      </c>
      <c r="Y46" s="32">
        <f>H46</f>
        <v>35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주안캐슬앤더샵에듀포레</v>
      </c>
      <c r="AI46" s="106">
        <f>IF(E46="","",E46)</f>
        <v>35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주안동 현광고층('95.10.,273^)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3263</v>
      </c>
      <c r="B48" s="16" t="s">
        <v>3264</v>
      </c>
      <c r="C48" s="28">
        <v>273</v>
      </c>
      <c r="D48" s="25">
        <v>80.7</v>
      </c>
      <c r="E48" s="106">
        <v>24</v>
      </c>
      <c r="F48" s="25">
        <v>60</v>
      </c>
      <c r="G48" s="27">
        <v>18</v>
      </c>
      <c r="H48" s="28">
        <v>180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1</v>
      </c>
      <c r="S48" s="113" t="s">
        <v>3265</v>
      </c>
      <c r="T48" s="8">
        <v>80</v>
      </c>
      <c r="U48" s="13"/>
      <c r="W48" s="25">
        <f>D48</f>
        <v>80.7</v>
      </c>
      <c r="X48" s="106">
        <f>E48</f>
        <v>24</v>
      </c>
      <c r="Y48" s="32">
        <f>H48</f>
        <v>180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복</v>
      </c>
      <c r="AF48" s="15" t="str">
        <f>Q48&amp;"/"&amp;R48</f>
        <v>3/1</v>
      </c>
      <c r="AH48" s="36" t="str">
        <f>IF(A48="","",A48)</f>
        <v>현광고층</v>
      </c>
      <c r="AI48" s="106">
        <f>IF(E48="","",E48)</f>
        <v>24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X</v>
      </c>
      <c r="AV48" s="113" t="str">
        <f>IF(AO48="","",IF(AND(AO48="O",AP48="O",AR48="O",AT48="O",AU48="O"),"후보","X"))</f>
        <v/>
      </c>
    </row>
    <row r="49" spans="1:48" x14ac:dyDescent="0.3">
      <c r="A49" s="5" t="s">
        <v>3263</v>
      </c>
      <c r="B49" s="16" t="s">
        <v>3264</v>
      </c>
      <c r="C49" s="28">
        <v>273</v>
      </c>
      <c r="D49" s="25">
        <v>85.1</v>
      </c>
      <c r="E49" s="106">
        <v>26</v>
      </c>
      <c r="F49" s="25">
        <v>63.2</v>
      </c>
      <c r="G49" s="27">
        <v>19</v>
      </c>
      <c r="H49" s="28">
        <v>75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1</v>
      </c>
      <c r="S49" s="113" t="s">
        <v>3265</v>
      </c>
      <c r="T49" s="8">
        <v>85</v>
      </c>
      <c r="U49" s="13"/>
      <c r="W49" s="25">
        <f>D49</f>
        <v>85.1</v>
      </c>
      <c r="X49" s="106">
        <f>E49</f>
        <v>26</v>
      </c>
      <c r="Y49" s="32">
        <f>H49</f>
        <v>75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복</v>
      </c>
      <c r="AF49" s="15" t="str">
        <f>Q49&amp;"/"&amp;R49</f>
        <v>3/1</v>
      </c>
      <c r="AH49" s="36" t="str">
        <f>IF(A49="","",A49)</f>
        <v>현광고층</v>
      </c>
      <c r="AI49" s="106">
        <f>IF(E49="","",E49)</f>
        <v>26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X</v>
      </c>
      <c r="AV49" s="113" t="str">
        <f>IF(AO49="","",IF(AND(AO49="O",AP49="O",AR49="O",AT49="O",AU49="O"),"후보","X"))</f>
        <v/>
      </c>
    </row>
    <row r="50" spans="1:48" x14ac:dyDescent="0.3">
      <c r="A50" s="5" t="s">
        <v>3266</v>
      </c>
      <c r="B50" s="16" t="s">
        <v>3267</v>
      </c>
      <c r="C50" s="28">
        <v>273</v>
      </c>
      <c r="D50" s="25">
        <v>98.6</v>
      </c>
      <c r="E50" s="106">
        <v>30</v>
      </c>
      <c r="F50" s="25">
        <v>73.3</v>
      </c>
      <c r="G50" s="27">
        <v>22</v>
      </c>
      <c r="H50" s="28">
        <v>18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1</v>
      </c>
      <c r="S50" s="113" t="s">
        <v>3118</v>
      </c>
      <c r="T50" s="8">
        <v>98</v>
      </c>
      <c r="U50" s="13"/>
      <c r="W50" s="25">
        <f>D50</f>
        <v>98.6</v>
      </c>
      <c r="X50" s="106">
        <f>E50</f>
        <v>30</v>
      </c>
      <c r="Y50" s="32">
        <f>H50</f>
        <v>18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복</v>
      </c>
      <c r="AF50" s="15" t="str">
        <f>Q50&amp;"/"&amp;R50</f>
        <v>3/1</v>
      </c>
      <c r="AH50" s="36" t="str">
        <f>IF(A50="","",A50)</f>
        <v>현광고층</v>
      </c>
      <c r="AI50" s="106">
        <f>IF(E50="","",E50)</f>
        <v>30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주안동 현대('85.12.,338^)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3268</v>
      </c>
      <c r="B52" s="16" t="s">
        <v>3269</v>
      </c>
      <c r="C52" s="28">
        <v>338</v>
      </c>
      <c r="D52" s="25">
        <v>87.1</v>
      </c>
      <c r="E52" s="106">
        <v>26</v>
      </c>
      <c r="F52" s="25">
        <v>62.1</v>
      </c>
      <c r="G52" s="27">
        <v>19</v>
      </c>
      <c r="H52" s="28">
        <v>117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1</v>
      </c>
      <c r="S52" s="113" t="s">
        <v>3118</v>
      </c>
      <c r="T52" s="8">
        <v>87</v>
      </c>
      <c r="U52" s="13"/>
      <c r="W52" s="25">
        <f>D52</f>
        <v>87.1</v>
      </c>
      <c r="X52" s="106">
        <f>E52</f>
        <v>26</v>
      </c>
      <c r="Y52" s="32">
        <f>H52</f>
        <v>117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복</v>
      </c>
      <c r="AF52" s="15" t="str">
        <f>Q52&amp;"/"&amp;R52</f>
        <v>3/1</v>
      </c>
      <c r="AH52" s="36" t="str">
        <f>IF(A52="","",A52)</f>
        <v>현대</v>
      </c>
      <c r="AI52" s="106">
        <f>IF(E52="","",E52)</f>
        <v>26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3268</v>
      </c>
      <c r="B53" s="16" t="s">
        <v>3270</v>
      </c>
      <c r="C53" s="28">
        <v>338</v>
      </c>
      <c r="D53" s="25">
        <v>113.5</v>
      </c>
      <c r="E53" s="106">
        <v>34</v>
      </c>
      <c r="F53" s="25">
        <v>84.3</v>
      </c>
      <c r="G53" s="27">
        <v>26</v>
      </c>
      <c r="H53" s="28">
        <v>169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3265</v>
      </c>
      <c r="T53" s="8">
        <v>113</v>
      </c>
      <c r="U53" s="13"/>
      <c r="W53" s="25">
        <f>D53</f>
        <v>113.5</v>
      </c>
      <c r="X53" s="106">
        <f>E53</f>
        <v>34</v>
      </c>
      <c r="Y53" s="32">
        <f>H53</f>
        <v>169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복</v>
      </c>
      <c r="AF53" s="15" t="str">
        <f>Q53&amp;"/"&amp;R53</f>
        <v>3/1</v>
      </c>
      <c r="AH53" s="36" t="str">
        <f>IF(A53="","",A53)</f>
        <v>현대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3271</v>
      </c>
      <c r="B54" s="16" t="s">
        <v>3270</v>
      </c>
      <c r="C54" s="28">
        <v>338</v>
      </c>
      <c r="D54" s="25">
        <v>152.9</v>
      </c>
      <c r="E54" s="106">
        <v>46</v>
      </c>
      <c r="F54" s="25">
        <v>113</v>
      </c>
      <c r="G54" s="27">
        <v>34</v>
      </c>
      <c r="H54" s="28">
        <v>52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3265</v>
      </c>
      <c r="T54" s="8">
        <v>152</v>
      </c>
      <c r="U54" s="13"/>
      <c r="W54" s="25">
        <f>D54</f>
        <v>152.9</v>
      </c>
      <c r="X54" s="106">
        <f>E54</f>
        <v>46</v>
      </c>
      <c r="Y54" s="32">
        <f>H54</f>
        <v>52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복</v>
      </c>
      <c r="AF54" s="15" t="str">
        <f>Q54&amp;"/"&amp;R54</f>
        <v>4/2</v>
      </c>
      <c r="AH54" s="36" t="str">
        <f>IF(A54="","",A54)</f>
        <v>현대</v>
      </c>
      <c r="AI54" s="106">
        <f>IF(E54="","",E54)</f>
        <v>46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주안동 진흥('95.12.,828^)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3272</v>
      </c>
      <c r="B56" s="16" t="s">
        <v>3273</v>
      </c>
      <c r="C56" s="28">
        <v>828</v>
      </c>
      <c r="D56" s="25">
        <v>80.099999999999994</v>
      </c>
      <c r="E56" s="106">
        <v>24</v>
      </c>
      <c r="F56" s="25">
        <v>60</v>
      </c>
      <c r="G56" s="27">
        <v>18</v>
      </c>
      <c r="H56" s="28">
        <v>358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64</v>
      </c>
      <c r="T56" s="8">
        <v>80</v>
      </c>
      <c r="U56" s="13"/>
      <c r="W56" s="25">
        <f>D56</f>
        <v>80.099999999999994</v>
      </c>
      <c r="X56" s="106">
        <f>E56</f>
        <v>24</v>
      </c>
      <c r="Y56" s="32">
        <f>H56</f>
        <v>358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3/1</v>
      </c>
      <c r="AH56" s="36" t="str">
        <f>IF(A56="","",A56)</f>
        <v>진흥</v>
      </c>
      <c r="AI56" s="106">
        <f>IF(E56="","",E56)</f>
        <v>24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3274</v>
      </c>
      <c r="B57" s="16" t="s">
        <v>3273</v>
      </c>
      <c r="C57" s="28">
        <v>828</v>
      </c>
      <c r="D57" s="25">
        <v>108.4</v>
      </c>
      <c r="E57" s="106">
        <v>33</v>
      </c>
      <c r="F57" s="25">
        <v>84.6</v>
      </c>
      <c r="G57" s="27">
        <v>26</v>
      </c>
      <c r="H57" s="28">
        <v>278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64</v>
      </c>
      <c r="T57" s="8">
        <v>108</v>
      </c>
      <c r="U57" s="13"/>
      <c r="W57" s="25">
        <f>D57</f>
        <v>108.4</v>
      </c>
      <c r="X57" s="106">
        <f>E57</f>
        <v>33</v>
      </c>
      <c r="Y57" s="32">
        <f>H57</f>
        <v>278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진흥</v>
      </c>
      <c r="AI57" s="106">
        <f>IF(E57="","",E57)</f>
        <v>33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3274</v>
      </c>
      <c r="B58" s="16" t="s">
        <v>3275</v>
      </c>
      <c r="C58" s="28">
        <v>828</v>
      </c>
      <c r="D58" s="25">
        <v>129.30000000000001</v>
      </c>
      <c r="E58" s="106">
        <v>39</v>
      </c>
      <c r="F58" s="25">
        <v>103.7</v>
      </c>
      <c r="G58" s="27">
        <v>31</v>
      </c>
      <c r="H58" s="28">
        <v>96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3260</v>
      </c>
      <c r="T58" s="8">
        <v>129</v>
      </c>
      <c r="U58" s="13"/>
      <c r="W58" s="25">
        <f>D58</f>
        <v>129.30000000000001</v>
      </c>
      <c r="X58" s="106">
        <f>E58</f>
        <v>39</v>
      </c>
      <c r="Y58" s="32">
        <f>H58</f>
        <v>96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진흥</v>
      </c>
      <c r="AI58" s="106">
        <f>IF(E58="","",E58)</f>
        <v>39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3272</v>
      </c>
      <c r="B59" s="16" t="s">
        <v>3273</v>
      </c>
      <c r="C59" s="28">
        <v>828</v>
      </c>
      <c r="D59" s="25">
        <v>149.69999999999999</v>
      </c>
      <c r="E59" s="106">
        <v>45</v>
      </c>
      <c r="F59" s="25">
        <v>122.2</v>
      </c>
      <c r="G59" s="27">
        <v>37</v>
      </c>
      <c r="H59" s="28">
        <v>96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64</v>
      </c>
      <c r="T59" s="8">
        <v>149</v>
      </c>
      <c r="U59" s="13"/>
      <c r="W59" s="25">
        <f>D59</f>
        <v>149.69999999999999</v>
      </c>
      <c r="X59" s="106">
        <f>E59</f>
        <v>45</v>
      </c>
      <c r="Y59" s="32">
        <f>H59</f>
        <v>96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진흥</v>
      </c>
      <c r="AI59" s="106">
        <f>IF(E59="","",E59)</f>
        <v>45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주안동 주안파크자이더플래티넘('23.02.,2054^)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3276</v>
      </c>
      <c r="B61" s="16" t="s">
        <v>3277</v>
      </c>
      <c r="C61" s="28">
        <v>2054</v>
      </c>
      <c r="D61" s="25">
        <v>55.1</v>
      </c>
      <c r="E61" s="106">
        <v>17</v>
      </c>
      <c r="F61" s="25">
        <v>36.799999999999997</v>
      </c>
      <c r="G61" s="27">
        <v>11</v>
      </c>
      <c r="H61" s="28">
        <v>103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1</v>
      </c>
      <c r="R61" s="15">
        <v>1</v>
      </c>
      <c r="S61" s="113" t="s">
        <v>64</v>
      </c>
      <c r="T61" s="8">
        <v>55</v>
      </c>
      <c r="U61" s="13"/>
      <c r="W61" s="25">
        <f>D61</f>
        <v>55.1</v>
      </c>
      <c r="X61" s="106">
        <f>E61</f>
        <v>17</v>
      </c>
      <c r="Y61" s="32">
        <f>H61</f>
        <v>103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1/1</v>
      </c>
      <c r="AH61" s="36" t="str">
        <f>IF(A61="","",A61)</f>
        <v>주안파크자이더플래티넘</v>
      </c>
      <c r="AI61" s="106">
        <f>IF(E61="","",E61)</f>
        <v>17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3278</v>
      </c>
      <c r="B62" s="16" t="s">
        <v>3277</v>
      </c>
      <c r="C62" s="28">
        <v>2054</v>
      </c>
      <c r="D62" s="25">
        <v>64.099999999999994</v>
      </c>
      <c r="E62" s="106">
        <v>19</v>
      </c>
      <c r="F62" s="25">
        <v>44.8</v>
      </c>
      <c r="G62" s="27">
        <v>14</v>
      </c>
      <c r="H62" s="28">
        <v>174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2</v>
      </c>
      <c r="R62" s="15">
        <v>1</v>
      </c>
      <c r="S62" s="113" t="s">
        <v>3279</v>
      </c>
      <c r="T62" s="8">
        <v>64</v>
      </c>
      <c r="U62" s="13"/>
      <c r="W62" s="25">
        <f>D62</f>
        <v>64.099999999999994</v>
      </c>
      <c r="X62" s="106">
        <f>E62</f>
        <v>19</v>
      </c>
      <c r="Y62" s="32">
        <f>H62</f>
        <v>174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2/1</v>
      </c>
      <c r="AH62" s="36" t="str">
        <f>IF(A62="","",A62)</f>
        <v>주안파크자이더플래티넘</v>
      </c>
      <c r="AI62" s="106">
        <f>IF(E62="","",E62)</f>
        <v>19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3276</v>
      </c>
      <c r="B63" s="16" t="s">
        <v>3280</v>
      </c>
      <c r="C63" s="28">
        <v>2054</v>
      </c>
      <c r="D63" s="25">
        <v>81.5</v>
      </c>
      <c r="E63" s="106">
        <v>25</v>
      </c>
      <c r="F63" s="25">
        <v>59.9</v>
      </c>
      <c r="G63" s="27">
        <v>18</v>
      </c>
      <c r="H63" s="28">
        <v>422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 t="s">
        <v>502</v>
      </c>
      <c r="U63" s="13"/>
      <c r="W63" s="25">
        <f>D63</f>
        <v>81.5</v>
      </c>
      <c r="X63" s="106">
        <f>E63</f>
        <v>25</v>
      </c>
      <c r="Y63" s="32">
        <f>H63</f>
        <v>422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주안파크자이더플래티넘</v>
      </c>
      <c r="AI63" s="106">
        <f>IF(E63="","",E63)</f>
        <v>25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3276</v>
      </c>
      <c r="B64" s="16" t="s">
        <v>3280</v>
      </c>
      <c r="C64" s="28">
        <v>2054</v>
      </c>
      <c r="D64" s="25">
        <v>81.8</v>
      </c>
      <c r="E64" s="106">
        <v>25</v>
      </c>
      <c r="F64" s="25">
        <v>60</v>
      </c>
      <c r="G64" s="27">
        <v>18</v>
      </c>
      <c r="H64" s="28">
        <v>344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 t="s">
        <v>747</v>
      </c>
      <c r="U64" s="13"/>
      <c r="W64" s="25">
        <f>D64</f>
        <v>81.8</v>
      </c>
      <c r="X64" s="106">
        <f>E64</f>
        <v>25</v>
      </c>
      <c r="Y64" s="32">
        <f>H64</f>
        <v>344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주안파크자이더플래티넘</v>
      </c>
      <c r="AI64" s="106">
        <f>IF(E64="","",E64)</f>
        <v>25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3276</v>
      </c>
      <c r="B65" s="16" t="s">
        <v>3280</v>
      </c>
      <c r="C65" s="28">
        <v>2054</v>
      </c>
      <c r="D65" s="25">
        <v>81.5</v>
      </c>
      <c r="E65" s="106">
        <v>25</v>
      </c>
      <c r="F65" s="25">
        <v>60</v>
      </c>
      <c r="G65" s="27">
        <v>18</v>
      </c>
      <c r="H65" s="28">
        <v>195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746</v>
      </c>
      <c r="U65" s="13"/>
      <c r="W65" s="25">
        <f>D65</f>
        <v>81.5</v>
      </c>
      <c r="X65" s="106">
        <f>E65</f>
        <v>25</v>
      </c>
      <c r="Y65" s="32">
        <f>H65</f>
        <v>195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주안파크자이더플래티넘</v>
      </c>
      <c r="AI65" s="106">
        <f>IF(E65="","",E65)</f>
        <v>25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3278</v>
      </c>
      <c r="B66" s="16" t="s">
        <v>3277</v>
      </c>
      <c r="C66" s="28">
        <v>2054</v>
      </c>
      <c r="D66" s="25">
        <v>98</v>
      </c>
      <c r="E66" s="106">
        <v>30</v>
      </c>
      <c r="F66" s="25">
        <v>74</v>
      </c>
      <c r="G66" s="27">
        <v>22</v>
      </c>
      <c r="H66" s="28">
        <v>391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3279</v>
      </c>
      <c r="T66" s="8" t="s">
        <v>1297</v>
      </c>
      <c r="U66" s="13"/>
      <c r="W66" s="25">
        <f>D66</f>
        <v>98</v>
      </c>
      <c r="X66" s="106">
        <f>E66</f>
        <v>30</v>
      </c>
      <c r="Y66" s="32">
        <f>H66</f>
        <v>391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주안파크자이더플래티넘</v>
      </c>
      <c r="AI66" s="106">
        <f>IF(E66="","",E66)</f>
        <v>30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3276</v>
      </c>
      <c r="B67" s="16" t="s">
        <v>3277</v>
      </c>
      <c r="C67" s="28">
        <v>2054</v>
      </c>
      <c r="D67" s="25">
        <v>98.8</v>
      </c>
      <c r="E67" s="106">
        <v>30</v>
      </c>
      <c r="F67" s="25">
        <v>73.900000000000006</v>
      </c>
      <c r="G67" s="27">
        <v>22</v>
      </c>
      <c r="H67" s="28">
        <v>87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356</v>
      </c>
      <c r="U67" s="13"/>
      <c r="W67" s="25">
        <f>D67</f>
        <v>98.8</v>
      </c>
      <c r="X67" s="106">
        <f>E67</f>
        <v>30</v>
      </c>
      <c r="Y67" s="32">
        <f>H67</f>
        <v>87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주안파크자이더플래티넘</v>
      </c>
      <c r="AI67" s="106">
        <f>IF(E67="","",E67)</f>
        <v>30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3276</v>
      </c>
      <c r="B68" s="16" t="s">
        <v>3280</v>
      </c>
      <c r="C68" s="28">
        <v>2054</v>
      </c>
      <c r="D68" s="25">
        <v>109.7</v>
      </c>
      <c r="E68" s="106">
        <v>33</v>
      </c>
      <c r="F68" s="25">
        <v>85</v>
      </c>
      <c r="G68" s="27">
        <v>26</v>
      </c>
      <c r="H68" s="28">
        <v>169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2</v>
      </c>
      <c r="S68" s="113" t="s">
        <v>64</v>
      </c>
      <c r="T68" s="8" t="s">
        <v>156</v>
      </c>
      <c r="U68" s="13"/>
      <c r="W68" s="25">
        <f>D68</f>
        <v>109.7</v>
      </c>
      <c r="X68" s="106">
        <f>E68</f>
        <v>33</v>
      </c>
      <c r="Y68" s="32">
        <f>H68</f>
        <v>169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4/2</v>
      </c>
      <c r="AH68" s="36" t="str">
        <f>IF(A68="","",A68)</f>
        <v>주안파크자이더플래티넘</v>
      </c>
      <c r="AI68" s="106">
        <f>IF(E68="","",E68)</f>
        <v>33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3276</v>
      </c>
      <c r="B69" s="16" t="s">
        <v>3280</v>
      </c>
      <c r="C69" s="28">
        <v>2054</v>
      </c>
      <c r="D69" s="25">
        <v>109.7</v>
      </c>
      <c r="E69" s="106">
        <v>33</v>
      </c>
      <c r="F69" s="25">
        <v>84.8</v>
      </c>
      <c r="G69" s="27">
        <v>26</v>
      </c>
      <c r="H69" s="28">
        <v>169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3" t="s">
        <v>3279</v>
      </c>
      <c r="T69" s="8" t="s">
        <v>864</v>
      </c>
      <c r="U69" s="13"/>
      <c r="W69" s="25">
        <f>D69</f>
        <v>109.7</v>
      </c>
      <c r="X69" s="106">
        <f>E69</f>
        <v>33</v>
      </c>
      <c r="Y69" s="32">
        <f>H69</f>
        <v>169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4/2</v>
      </c>
      <c r="AH69" s="36" t="str">
        <f>IF(A69="","",A69)</f>
        <v>주안파크자이더플래티넘</v>
      </c>
      <c r="AI69" s="106">
        <f>IF(E69="","",E69)</f>
        <v>33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9"/>
      <c r="B70" s="113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70"/>
      <c r="U70" s="13"/>
      <c r="W70" s="107" t="str">
        <f>$A$4&amp;" "&amp;A71&amp;"("&amp;B71&amp;","&amp;C71&amp;"^)"</f>
        <v>주안동 쌍용주안('84.11.,768^)</v>
      </c>
      <c r="X70" s="108"/>
      <c r="Y70" s="108"/>
      <c r="Z70" s="108"/>
      <c r="AA70" s="108"/>
      <c r="AB70" s="108"/>
      <c r="AC70" s="108"/>
      <c r="AD70" s="108"/>
      <c r="AE70" s="108"/>
      <c r="AF70" s="109"/>
      <c r="AH70" s="36" t="str">
        <f>IF(A70="","",A70)</f>
        <v/>
      </c>
      <c r="AI70" s="37" t="str">
        <f>IF(E70="","",E70)</f>
        <v/>
      </c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</row>
    <row r="71" spans="1:48" x14ac:dyDescent="0.3">
      <c r="A71" s="5" t="s">
        <v>3281</v>
      </c>
      <c r="B71" s="16" t="s">
        <v>3282</v>
      </c>
      <c r="C71" s="28">
        <v>768</v>
      </c>
      <c r="D71" s="25">
        <v>76.8</v>
      </c>
      <c r="E71" s="106">
        <v>23</v>
      </c>
      <c r="F71" s="25">
        <v>71.400000000000006</v>
      </c>
      <c r="G71" s="27">
        <v>22</v>
      </c>
      <c r="H71" s="28">
        <v>75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1</v>
      </c>
      <c r="S71" s="113" t="s">
        <v>3279</v>
      </c>
      <c r="T71" s="8" t="s">
        <v>1126</v>
      </c>
      <c r="U71" s="13"/>
      <c r="W71" s="25">
        <f>D71</f>
        <v>76.8</v>
      </c>
      <c r="X71" s="106">
        <f>E71</f>
        <v>23</v>
      </c>
      <c r="Y71" s="32">
        <f>H71</f>
        <v>75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3/1</v>
      </c>
      <c r="AH71" s="36" t="str">
        <f>IF(A71="","",A71)</f>
        <v>쌍용주안</v>
      </c>
      <c r="AI71" s="106">
        <f>IF(E71="","",E71)</f>
        <v>23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3283</v>
      </c>
      <c r="B72" s="16" t="s">
        <v>3284</v>
      </c>
      <c r="C72" s="28">
        <v>768</v>
      </c>
      <c r="D72" s="25">
        <v>76.8</v>
      </c>
      <c r="E72" s="106">
        <v>23</v>
      </c>
      <c r="F72" s="25">
        <v>71.400000000000006</v>
      </c>
      <c r="G72" s="27">
        <v>22</v>
      </c>
      <c r="H72" s="28">
        <v>69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1</v>
      </c>
      <c r="S72" s="113" t="s">
        <v>3118</v>
      </c>
      <c r="T72" s="8" t="s">
        <v>1413</v>
      </c>
      <c r="U72" s="13"/>
      <c r="W72" s="25">
        <f>D72</f>
        <v>76.8</v>
      </c>
      <c r="X72" s="106">
        <f>E72</f>
        <v>23</v>
      </c>
      <c r="Y72" s="32">
        <f>H72</f>
        <v>69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복</v>
      </c>
      <c r="AF72" s="15" t="str">
        <f>Q72&amp;"/"&amp;R72</f>
        <v>3/1</v>
      </c>
      <c r="AH72" s="36" t="str">
        <f>IF(A72="","",A72)</f>
        <v>쌍용주안</v>
      </c>
      <c r="AI72" s="106">
        <f>IF(E72="","",E72)</f>
        <v>23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3283</v>
      </c>
      <c r="B73" s="16" t="s">
        <v>3282</v>
      </c>
      <c r="C73" s="28">
        <v>768</v>
      </c>
      <c r="D73" s="25">
        <v>89.6</v>
      </c>
      <c r="E73" s="106">
        <v>27</v>
      </c>
      <c r="F73" s="25">
        <v>83.4</v>
      </c>
      <c r="G73" s="27">
        <v>25</v>
      </c>
      <c r="H73" s="28">
        <v>75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3279</v>
      </c>
      <c r="T73" s="8" t="s">
        <v>139</v>
      </c>
      <c r="U73" s="13"/>
      <c r="W73" s="25">
        <f>D73</f>
        <v>89.6</v>
      </c>
      <c r="X73" s="106">
        <f>E73</f>
        <v>27</v>
      </c>
      <c r="Y73" s="32">
        <f>H73</f>
        <v>75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쌍용주안</v>
      </c>
      <c r="AI73" s="106">
        <f>IF(E73="","",E73)</f>
        <v>27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3281</v>
      </c>
      <c r="B74" s="16" t="s">
        <v>3284</v>
      </c>
      <c r="C74" s="28">
        <v>768</v>
      </c>
      <c r="D74" s="25">
        <v>89.6</v>
      </c>
      <c r="E74" s="106">
        <v>27</v>
      </c>
      <c r="F74" s="25">
        <v>83.4</v>
      </c>
      <c r="G74" s="27">
        <v>25</v>
      </c>
      <c r="H74" s="28">
        <v>69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1</v>
      </c>
      <c r="S74" s="113" t="s">
        <v>3118</v>
      </c>
      <c r="T74" s="8" t="s">
        <v>305</v>
      </c>
      <c r="U74" s="13"/>
      <c r="W74" s="25">
        <f>D74</f>
        <v>89.6</v>
      </c>
      <c r="X74" s="106">
        <f>E74</f>
        <v>27</v>
      </c>
      <c r="Y74" s="32">
        <f>H74</f>
        <v>69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복</v>
      </c>
      <c r="AF74" s="15" t="str">
        <f>Q74&amp;"/"&amp;R74</f>
        <v>3/1</v>
      </c>
      <c r="AH74" s="36" t="str">
        <f>IF(A74="","",A74)</f>
        <v>쌍용주안</v>
      </c>
      <c r="AI74" s="106">
        <f>IF(E74="","",E74)</f>
        <v>27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3283</v>
      </c>
      <c r="B75" s="16" t="s">
        <v>3282</v>
      </c>
      <c r="C75" s="28">
        <v>768</v>
      </c>
      <c r="D75" s="25">
        <v>90.9</v>
      </c>
      <c r="E75" s="106">
        <v>28</v>
      </c>
      <c r="F75" s="25">
        <v>84.1</v>
      </c>
      <c r="G75" s="27">
        <v>25</v>
      </c>
      <c r="H75" s="28">
        <v>96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1</v>
      </c>
      <c r="S75" s="113" t="s">
        <v>3279</v>
      </c>
      <c r="T75" s="8">
        <v>90</v>
      </c>
      <c r="U75" s="13"/>
      <c r="W75" s="25">
        <f>D75</f>
        <v>90.9</v>
      </c>
      <c r="X75" s="106">
        <f>E75</f>
        <v>28</v>
      </c>
      <c r="Y75" s="32">
        <f>H75</f>
        <v>96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3/1</v>
      </c>
      <c r="AH75" s="36" t="str">
        <f>IF(A75="","",A75)</f>
        <v>쌍용주안</v>
      </c>
      <c r="AI75" s="106">
        <f>IF(E75="","",E75)</f>
        <v>28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3281</v>
      </c>
      <c r="B76" s="16" t="s">
        <v>3282</v>
      </c>
      <c r="C76" s="28">
        <v>768</v>
      </c>
      <c r="D76" s="25">
        <v>102.9</v>
      </c>
      <c r="E76" s="106">
        <v>31</v>
      </c>
      <c r="F76" s="25">
        <v>95.1</v>
      </c>
      <c r="G76" s="27">
        <v>29</v>
      </c>
      <c r="H76" s="28">
        <v>140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3279</v>
      </c>
      <c r="T76" s="8" t="s">
        <v>634</v>
      </c>
      <c r="U76" s="13"/>
      <c r="W76" s="25">
        <f>D76</f>
        <v>102.9</v>
      </c>
      <c r="X76" s="106">
        <f>E76</f>
        <v>31</v>
      </c>
      <c r="Y76" s="32">
        <f>H76</f>
        <v>140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쌍용주안</v>
      </c>
      <c r="AI76" s="106">
        <f>IF(E76="","",E76)</f>
        <v>31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3283</v>
      </c>
      <c r="B77" s="16" t="s">
        <v>3284</v>
      </c>
      <c r="C77" s="28">
        <v>768</v>
      </c>
      <c r="D77" s="25">
        <v>102.8</v>
      </c>
      <c r="E77" s="106">
        <v>31</v>
      </c>
      <c r="F77" s="25">
        <v>95</v>
      </c>
      <c r="G77" s="27">
        <v>29</v>
      </c>
      <c r="H77" s="28">
        <v>72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1</v>
      </c>
      <c r="S77" s="113" t="s">
        <v>64</v>
      </c>
      <c r="T77" s="8" t="s">
        <v>186</v>
      </c>
      <c r="U77" s="13"/>
      <c r="W77" s="25">
        <f>D77</f>
        <v>102.8</v>
      </c>
      <c r="X77" s="106">
        <f>E77</f>
        <v>31</v>
      </c>
      <c r="Y77" s="32">
        <f>H77</f>
        <v>72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3/1</v>
      </c>
      <c r="AH77" s="36" t="str">
        <f>IF(A77="","",A77)</f>
        <v>쌍용주안</v>
      </c>
      <c r="AI77" s="106">
        <f>IF(E77="","",E77)</f>
        <v>31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3283</v>
      </c>
      <c r="B78" s="16" t="s">
        <v>3284</v>
      </c>
      <c r="C78" s="28">
        <v>768</v>
      </c>
      <c r="D78" s="25">
        <v>103</v>
      </c>
      <c r="E78" s="106">
        <v>31</v>
      </c>
      <c r="F78" s="25">
        <v>95.1</v>
      </c>
      <c r="G78" s="27">
        <v>29</v>
      </c>
      <c r="H78" s="28">
        <v>28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1</v>
      </c>
      <c r="S78" s="113" t="s">
        <v>64</v>
      </c>
      <c r="T78" s="8" t="s">
        <v>1262</v>
      </c>
      <c r="U78" s="13"/>
      <c r="W78" s="25">
        <f>D78</f>
        <v>103</v>
      </c>
      <c r="X78" s="106">
        <f>E78</f>
        <v>31</v>
      </c>
      <c r="Y78" s="32">
        <f>H78</f>
        <v>28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3/1</v>
      </c>
      <c r="AH78" s="36" t="str">
        <f>IF(A78="","",A78)</f>
        <v>쌍용주안</v>
      </c>
      <c r="AI78" s="106">
        <f>IF(E78="","",E78)</f>
        <v>31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3281</v>
      </c>
      <c r="B79" s="16" t="s">
        <v>3282</v>
      </c>
      <c r="C79" s="28">
        <v>768</v>
      </c>
      <c r="D79" s="25">
        <v>138.80000000000001</v>
      </c>
      <c r="E79" s="106">
        <v>42</v>
      </c>
      <c r="F79" s="25">
        <v>128.19999999999999</v>
      </c>
      <c r="G79" s="27">
        <v>39</v>
      </c>
      <c r="H79" s="28">
        <v>120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3279</v>
      </c>
      <c r="T79" s="8" t="s">
        <v>2339</v>
      </c>
      <c r="U79" s="13"/>
      <c r="W79" s="25">
        <f>D79</f>
        <v>138.80000000000001</v>
      </c>
      <c r="X79" s="106">
        <f>E79</f>
        <v>42</v>
      </c>
      <c r="Y79" s="32">
        <f>H79</f>
        <v>120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쌍용주안</v>
      </c>
      <c r="AI79" s="106">
        <f>IF(E79="","",E79)</f>
        <v>42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3281</v>
      </c>
      <c r="B80" s="16" t="s">
        <v>3282</v>
      </c>
      <c r="C80" s="28">
        <v>768</v>
      </c>
      <c r="D80" s="25">
        <v>138.80000000000001</v>
      </c>
      <c r="E80" s="106">
        <v>42</v>
      </c>
      <c r="F80" s="25">
        <v>128.19999999999999</v>
      </c>
      <c r="G80" s="27">
        <v>39</v>
      </c>
      <c r="H80" s="28">
        <v>24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4</v>
      </c>
      <c r="R80" s="15">
        <v>2</v>
      </c>
      <c r="S80" s="113" t="s">
        <v>3279</v>
      </c>
      <c r="T80" s="8" t="s">
        <v>363</v>
      </c>
      <c r="U80" s="13"/>
      <c r="W80" s="25">
        <f>D80</f>
        <v>138.80000000000001</v>
      </c>
      <c r="X80" s="106">
        <f>E80</f>
        <v>42</v>
      </c>
      <c r="Y80" s="32">
        <f>H80</f>
        <v>24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4/2</v>
      </c>
      <c r="AH80" s="36" t="str">
        <f>IF(A80="","",A80)</f>
        <v>쌍용주안</v>
      </c>
      <c r="AI80" s="106">
        <f>IF(E80="","",E80)</f>
        <v>42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주안동 주안역신일해피트리('21.09.,244^)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3285</v>
      </c>
      <c r="B82" s="16" t="s">
        <v>3286</v>
      </c>
      <c r="C82" s="28">
        <v>244</v>
      </c>
      <c r="D82" s="25">
        <v>87.5</v>
      </c>
      <c r="E82" s="106">
        <v>26</v>
      </c>
      <c r="F82" s="25">
        <v>64.8</v>
      </c>
      <c r="G82" s="27">
        <v>20</v>
      </c>
      <c r="H82" s="28">
        <v>93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64</v>
      </c>
      <c r="T82" s="8">
        <v>87</v>
      </c>
      <c r="U82" s="13"/>
      <c r="W82" s="25">
        <f>D82</f>
        <v>87.5</v>
      </c>
      <c r="X82" s="106">
        <f>E82</f>
        <v>26</v>
      </c>
      <c r="Y82" s="32">
        <f>H82</f>
        <v>93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주안역신일해피트리</v>
      </c>
      <c r="AI82" s="106">
        <f>IF(E82="","",E82)</f>
        <v>26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X</v>
      </c>
      <c r="AV82" s="113" t="str">
        <f>IF(AO82="","",IF(AND(AO82="O",AP82="O",AR82="O",AT82="O",AU82="O"),"후보","X"))</f>
        <v/>
      </c>
    </row>
    <row r="83" spans="1:48" x14ac:dyDescent="0.3">
      <c r="A83" s="5" t="s">
        <v>3285</v>
      </c>
      <c r="B83" s="16" t="s">
        <v>3287</v>
      </c>
      <c r="C83" s="28">
        <v>244</v>
      </c>
      <c r="D83" s="25">
        <v>92.1</v>
      </c>
      <c r="E83" s="106">
        <v>28</v>
      </c>
      <c r="F83" s="25">
        <v>67.400000000000006</v>
      </c>
      <c r="G83" s="27">
        <v>20</v>
      </c>
      <c r="H83" s="28">
        <v>68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3279</v>
      </c>
      <c r="T83" s="8">
        <v>92</v>
      </c>
      <c r="U83" s="13"/>
      <c r="W83" s="25">
        <f>D83</f>
        <v>92.1</v>
      </c>
      <c r="X83" s="106">
        <f>E83</f>
        <v>28</v>
      </c>
      <c r="Y83" s="32">
        <f>H83</f>
        <v>68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주안역신일해피트리</v>
      </c>
      <c r="AI83" s="106">
        <f>IF(E83="","",E83)</f>
        <v>28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X</v>
      </c>
      <c r="AV83" s="113" t="str">
        <f>IF(AO83="","",IF(AND(AO83="O",AP83="O",AR83="O",AT83="O",AU83="O"),"후보","X"))</f>
        <v/>
      </c>
    </row>
    <row r="84" spans="1:48" x14ac:dyDescent="0.3">
      <c r="A84" s="5" t="s">
        <v>3288</v>
      </c>
      <c r="B84" s="16" t="s">
        <v>3287</v>
      </c>
      <c r="C84" s="28">
        <v>244</v>
      </c>
      <c r="D84" s="25">
        <v>98.1</v>
      </c>
      <c r="E84" s="106">
        <v>30</v>
      </c>
      <c r="F84" s="25">
        <v>72.599999999999994</v>
      </c>
      <c r="G84" s="27">
        <v>22</v>
      </c>
      <c r="H84" s="28">
        <v>45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3279</v>
      </c>
      <c r="T84" s="8">
        <v>98</v>
      </c>
      <c r="U84" s="13"/>
      <c r="W84" s="25">
        <f>D84</f>
        <v>98.1</v>
      </c>
      <c r="X84" s="106">
        <f>E84</f>
        <v>30</v>
      </c>
      <c r="Y84" s="32">
        <f>H84</f>
        <v>45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주안역신일해피트리</v>
      </c>
      <c r="AI84" s="106">
        <f>IF(E84="","",E84)</f>
        <v>30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X</v>
      </c>
      <c r="AV84" s="113" t="str">
        <f>IF(AO84="","",IF(AND(AO84="O",AP84="O",AR84="O",AT84="O",AU84="O"),"후보","X"))</f>
        <v/>
      </c>
    </row>
    <row r="85" spans="1:48" x14ac:dyDescent="0.3">
      <c r="A85" s="5" t="s">
        <v>3288</v>
      </c>
      <c r="B85" s="16" t="s">
        <v>3286</v>
      </c>
      <c r="C85" s="28">
        <v>244</v>
      </c>
      <c r="D85" s="25">
        <v>109.1</v>
      </c>
      <c r="E85" s="106">
        <v>33</v>
      </c>
      <c r="F85" s="25">
        <v>85</v>
      </c>
      <c r="G85" s="27">
        <v>26</v>
      </c>
      <c r="H85" s="28">
        <v>19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64</v>
      </c>
      <c r="T85" s="8" t="s">
        <v>156</v>
      </c>
      <c r="U85" s="13"/>
      <c r="W85" s="25">
        <f>D85</f>
        <v>109.1</v>
      </c>
      <c r="X85" s="106">
        <f>E85</f>
        <v>33</v>
      </c>
      <c r="Y85" s="32">
        <f>H85</f>
        <v>19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주안역신일해피트리</v>
      </c>
      <c r="AI85" s="106">
        <f>IF(E85="","",E85)</f>
        <v>33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X</v>
      </c>
      <c r="AV85" s="113" t="str">
        <f>IF(AO85="","",IF(AND(AO85="O",AP85="O",AR85="O",AT85="O",AU85="O"),"후보","X"))</f>
        <v/>
      </c>
    </row>
    <row r="86" spans="1:48" x14ac:dyDescent="0.3">
      <c r="A86" s="5" t="s">
        <v>3288</v>
      </c>
      <c r="B86" s="16" t="s">
        <v>3286</v>
      </c>
      <c r="C86" s="28">
        <v>244</v>
      </c>
      <c r="D86" s="25">
        <v>109.1</v>
      </c>
      <c r="E86" s="106">
        <v>33</v>
      </c>
      <c r="F86" s="25">
        <v>85</v>
      </c>
      <c r="G86" s="27">
        <v>26</v>
      </c>
      <c r="H86" s="28">
        <v>19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3279</v>
      </c>
      <c r="T86" s="8" t="s">
        <v>864</v>
      </c>
      <c r="U86" s="13"/>
      <c r="W86" s="25">
        <f>D86</f>
        <v>109.1</v>
      </c>
      <c r="X86" s="106">
        <f>E86</f>
        <v>33</v>
      </c>
      <c r="Y86" s="32">
        <f>H86</f>
        <v>19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주안역신일해피트리</v>
      </c>
      <c r="AI86" s="106">
        <f>IF(E86="","",E86)</f>
        <v>33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X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주안동 힐스테이트푸르지오주안('23.06.,2958^)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3289</v>
      </c>
      <c r="B88" s="16" t="s">
        <v>3290</v>
      </c>
      <c r="C88" s="28">
        <v>2958</v>
      </c>
      <c r="D88" s="25">
        <v>65</v>
      </c>
      <c r="E88" s="106">
        <v>20</v>
      </c>
      <c r="F88" s="25">
        <v>40</v>
      </c>
      <c r="G88" s="27">
        <v>12</v>
      </c>
      <c r="H88" s="28">
        <v>28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2</v>
      </c>
      <c r="R88" s="15">
        <v>1</v>
      </c>
      <c r="S88" s="113" t="s">
        <v>64</v>
      </c>
      <c r="T88" s="8">
        <v>64</v>
      </c>
      <c r="U88" s="13"/>
      <c r="W88" s="25">
        <f>D88</f>
        <v>65</v>
      </c>
      <c r="X88" s="106">
        <f>E88</f>
        <v>20</v>
      </c>
      <c r="Y88" s="32">
        <f>H88</f>
        <v>28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2/1</v>
      </c>
      <c r="AH88" s="36" t="str">
        <f>IF(A88="","",A88)</f>
        <v>힐스테이트푸르지오주안</v>
      </c>
      <c r="AI88" s="106">
        <f>IF(E88="","",E88)</f>
        <v>20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3291</v>
      </c>
      <c r="B89" s="16" t="s">
        <v>3290</v>
      </c>
      <c r="C89" s="28">
        <v>2958</v>
      </c>
      <c r="D89" s="25">
        <v>74.5</v>
      </c>
      <c r="E89" s="106">
        <v>23</v>
      </c>
      <c r="F89" s="25">
        <v>46</v>
      </c>
      <c r="G89" s="27">
        <v>14</v>
      </c>
      <c r="H89" s="28">
        <v>57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2</v>
      </c>
      <c r="R89" s="15">
        <v>1</v>
      </c>
      <c r="S89" s="113" t="s">
        <v>64</v>
      </c>
      <c r="T89" s="8">
        <v>74</v>
      </c>
      <c r="U89" s="13"/>
      <c r="W89" s="25">
        <f>D89</f>
        <v>74.5</v>
      </c>
      <c r="X89" s="106">
        <f>E89</f>
        <v>23</v>
      </c>
      <c r="Y89" s="32">
        <f>H89</f>
        <v>57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2/1</v>
      </c>
      <c r="AH89" s="36" t="str">
        <f>IF(A89="","",A89)</f>
        <v>힐스테이트푸르지오주안</v>
      </c>
      <c r="AI89" s="106">
        <f>IF(E89="","",E89)</f>
        <v>23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3289</v>
      </c>
      <c r="B90" s="16" t="s">
        <v>3290</v>
      </c>
      <c r="C90" s="28">
        <v>2958</v>
      </c>
      <c r="D90" s="25">
        <v>80</v>
      </c>
      <c r="E90" s="106">
        <v>24</v>
      </c>
      <c r="F90" s="25">
        <v>60</v>
      </c>
      <c r="G90" s="27">
        <v>18</v>
      </c>
      <c r="H90" s="28">
        <v>502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3279</v>
      </c>
      <c r="T90" s="8" t="s">
        <v>474</v>
      </c>
      <c r="U90" s="13"/>
      <c r="W90" s="25">
        <f>D90</f>
        <v>80</v>
      </c>
      <c r="X90" s="106">
        <f>E90</f>
        <v>24</v>
      </c>
      <c r="Y90" s="32">
        <f>H90</f>
        <v>502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힐스테이트푸르지오주안</v>
      </c>
      <c r="AI90" s="106">
        <f>IF(E90="","",E90)</f>
        <v>24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3291</v>
      </c>
      <c r="B91" s="16" t="s">
        <v>3290</v>
      </c>
      <c r="C91" s="28">
        <v>2958</v>
      </c>
      <c r="D91" s="25">
        <v>79.8</v>
      </c>
      <c r="E91" s="106">
        <v>24</v>
      </c>
      <c r="F91" s="25">
        <v>60</v>
      </c>
      <c r="G91" s="27">
        <v>18</v>
      </c>
      <c r="H91" s="28">
        <v>186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3279</v>
      </c>
      <c r="T91" s="8" t="s">
        <v>794</v>
      </c>
      <c r="U91" s="13"/>
      <c r="W91" s="25">
        <f>D91</f>
        <v>79.8</v>
      </c>
      <c r="X91" s="106">
        <f>E91</f>
        <v>24</v>
      </c>
      <c r="Y91" s="32">
        <f>H91</f>
        <v>186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힐스테이트푸르지오주안</v>
      </c>
      <c r="AI91" s="106">
        <f>IF(E91="","",E91)</f>
        <v>24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3289</v>
      </c>
      <c r="B92" s="16" t="s">
        <v>3292</v>
      </c>
      <c r="C92" s="28">
        <v>2958</v>
      </c>
      <c r="D92" s="25">
        <v>80.400000000000006</v>
      </c>
      <c r="E92" s="106">
        <v>24</v>
      </c>
      <c r="F92" s="25">
        <v>59.7</v>
      </c>
      <c r="G92" s="27">
        <v>18</v>
      </c>
      <c r="H92" s="28">
        <v>454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3279</v>
      </c>
      <c r="T92" s="8" t="s">
        <v>322</v>
      </c>
      <c r="U92" s="13"/>
      <c r="W92" s="25">
        <f>D92</f>
        <v>80.400000000000006</v>
      </c>
      <c r="X92" s="106">
        <f>E92</f>
        <v>24</v>
      </c>
      <c r="Y92" s="32">
        <f>H92</f>
        <v>454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힐스테이트푸르지오주안</v>
      </c>
      <c r="AI92" s="106">
        <f>IF(E92="","",E92)</f>
        <v>24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3289</v>
      </c>
      <c r="B93" s="16" t="s">
        <v>3290</v>
      </c>
      <c r="C93" s="28">
        <v>2958</v>
      </c>
      <c r="D93" s="25">
        <v>86.2</v>
      </c>
      <c r="E93" s="106">
        <v>26</v>
      </c>
      <c r="F93" s="25">
        <v>64.8</v>
      </c>
      <c r="G93" s="27">
        <v>20</v>
      </c>
      <c r="H93" s="28">
        <v>145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>
        <v>86</v>
      </c>
      <c r="U93" s="13"/>
      <c r="W93" s="25">
        <f>D93</f>
        <v>86.2</v>
      </c>
      <c r="X93" s="106">
        <f>E93</f>
        <v>26</v>
      </c>
      <c r="Y93" s="32">
        <f>H93</f>
        <v>145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힐스테이트푸르지오주안</v>
      </c>
      <c r="AI93" s="106">
        <f>IF(E93="","",E93)</f>
        <v>26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3293</v>
      </c>
      <c r="B94" s="16" t="s">
        <v>3294</v>
      </c>
      <c r="C94" s="28">
        <v>2958</v>
      </c>
      <c r="D94" s="25">
        <v>99.4</v>
      </c>
      <c r="E94" s="106">
        <v>30</v>
      </c>
      <c r="F94" s="25">
        <v>75</v>
      </c>
      <c r="G94" s="27">
        <v>23</v>
      </c>
      <c r="H94" s="28">
        <v>165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3260</v>
      </c>
      <c r="T94" s="8" t="s">
        <v>1049</v>
      </c>
      <c r="U94" s="13"/>
      <c r="W94" s="25">
        <f>D94</f>
        <v>99.4</v>
      </c>
      <c r="X94" s="106">
        <f>E94</f>
        <v>30</v>
      </c>
      <c r="Y94" s="32">
        <f>H94</f>
        <v>165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힐스테이트푸르지오주안</v>
      </c>
      <c r="AI94" s="106">
        <f>IF(E94="","",E94)</f>
        <v>30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3289</v>
      </c>
      <c r="B95" s="16" t="s">
        <v>3292</v>
      </c>
      <c r="C95" s="28">
        <v>2958</v>
      </c>
      <c r="D95" s="25">
        <v>100.7</v>
      </c>
      <c r="E95" s="106">
        <v>30</v>
      </c>
      <c r="F95" s="25">
        <v>74.8</v>
      </c>
      <c r="G95" s="27">
        <v>23</v>
      </c>
      <c r="H95" s="28">
        <v>262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3279</v>
      </c>
      <c r="T95" s="8" t="s">
        <v>1640</v>
      </c>
      <c r="U95" s="13"/>
      <c r="W95" s="25">
        <f>D95</f>
        <v>100.7</v>
      </c>
      <c r="X95" s="106">
        <f>E95</f>
        <v>30</v>
      </c>
      <c r="Y95" s="32">
        <f>H95</f>
        <v>262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힐스테이트푸르지오주안</v>
      </c>
      <c r="AI95" s="106">
        <f>IF(E95="","",E95)</f>
        <v>30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3291</v>
      </c>
      <c r="B96" s="16" t="s">
        <v>3290</v>
      </c>
      <c r="C96" s="28">
        <v>2958</v>
      </c>
      <c r="D96" s="25">
        <v>112.2</v>
      </c>
      <c r="E96" s="106">
        <v>34</v>
      </c>
      <c r="F96" s="25">
        <v>85</v>
      </c>
      <c r="G96" s="27">
        <v>26</v>
      </c>
      <c r="H96" s="28">
        <v>49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4</v>
      </c>
      <c r="R96" s="15">
        <v>2</v>
      </c>
      <c r="S96" s="113" t="s">
        <v>3295</v>
      </c>
      <c r="T96" s="8" t="s">
        <v>729</v>
      </c>
      <c r="U96" s="13"/>
      <c r="W96" s="25">
        <f>D96</f>
        <v>112.2</v>
      </c>
      <c r="X96" s="106">
        <f>E96</f>
        <v>34</v>
      </c>
      <c r="Y96" s="32">
        <f>H96</f>
        <v>49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4/2</v>
      </c>
      <c r="AH96" s="36" t="str">
        <f>IF(A96="","",A96)</f>
        <v>힐스테이트푸르지오주안</v>
      </c>
      <c r="AI96" s="106">
        <f>IF(E96="","",E96)</f>
        <v>34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3296</v>
      </c>
      <c r="B97" s="16" t="s">
        <v>3290</v>
      </c>
      <c r="C97" s="28">
        <v>2958</v>
      </c>
      <c r="D97" s="25">
        <v>113.1</v>
      </c>
      <c r="E97" s="106">
        <v>34</v>
      </c>
      <c r="F97" s="25">
        <v>84.9</v>
      </c>
      <c r="G97" s="27">
        <v>26</v>
      </c>
      <c r="H97" s="28">
        <v>37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730</v>
      </c>
      <c r="U97" s="13"/>
      <c r="W97" s="25">
        <f>D97</f>
        <v>113.1</v>
      </c>
      <c r="X97" s="106">
        <f>E97</f>
        <v>34</v>
      </c>
      <c r="Y97" s="32">
        <f>H97</f>
        <v>37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힐스테이트푸르지오주안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3296</v>
      </c>
      <c r="B98" s="16" t="s">
        <v>3297</v>
      </c>
      <c r="C98" s="28">
        <v>2958</v>
      </c>
      <c r="D98" s="25">
        <v>123.6</v>
      </c>
      <c r="E98" s="106">
        <v>37</v>
      </c>
      <c r="F98" s="25">
        <v>94</v>
      </c>
      <c r="G98" s="27">
        <v>28</v>
      </c>
      <c r="H98" s="28">
        <v>30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4</v>
      </c>
      <c r="R98" s="15">
        <v>2</v>
      </c>
      <c r="S98" s="113" t="s">
        <v>3295</v>
      </c>
      <c r="T98" s="8">
        <v>123</v>
      </c>
      <c r="U98" s="13"/>
      <c r="W98" s="25">
        <f>D98</f>
        <v>123.6</v>
      </c>
      <c r="X98" s="106">
        <f>E98</f>
        <v>37</v>
      </c>
      <c r="Y98" s="32">
        <f>H98</f>
        <v>30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4/2</v>
      </c>
      <c r="AH98" s="36" t="str">
        <f>IF(A98="","",A98)</f>
        <v>힐스테이트푸르지오주안</v>
      </c>
      <c r="AI98" s="106">
        <f>IF(E98="","",E98)</f>
        <v>37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9"/>
      <c r="B99" s="113"/>
      <c r="C99" s="10"/>
      <c r="D99" s="13"/>
      <c r="E99" s="20"/>
      <c r="F99" s="26"/>
      <c r="G99" s="13"/>
      <c r="H99" s="13"/>
      <c r="I99" s="13"/>
      <c r="J99" s="13"/>
      <c r="K99" s="13"/>
      <c r="L99" s="13"/>
      <c r="M99" s="13"/>
      <c r="N99" s="13"/>
      <c r="O99" s="29"/>
      <c r="P99" s="29"/>
      <c r="Q99" s="23"/>
      <c r="R99" s="23"/>
      <c r="S99" s="13"/>
      <c r="T99" s="70"/>
      <c r="U99" s="13"/>
      <c r="W99" s="107" t="str">
        <f>$A$4&amp;" "&amp;A100&amp;"("&amp;B100&amp;","&amp;C100&amp;"^)"</f>
        <v>주안동 주안한신휴플러스('06.09.,494^)</v>
      </c>
      <c r="X99" s="108"/>
      <c r="Y99" s="108"/>
      <c r="Z99" s="108"/>
      <c r="AA99" s="108"/>
      <c r="AB99" s="108"/>
      <c r="AC99" s="108"/>
      <c r="AD99" s="108"/>
      <c r="AE99" s="108"/>
      <c r="AF99" s="109"/>
      <c r="AH99" s="36" t="str">
        <f>IF(A99="","",A99)</f>
        <v/>
      </c>
      <c r="AI99" s="37" t="str">
        <f>IF(E99="","",E99)</f>
        <v/>
      </c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</row>
    <row r="100" spans="1:48" x14ac:dyDescent="0.3">
      <c r="A100" s="5" t="s">
        <v>3298</v>
      </c>
      <c r="B100" s="16" t="s">
        <v>3299</v>
      </c>
      <c r="C100" s="28">
        <v>494</v>
      </c>
      <c r="D100" s="25">
        <v>56.3</v>
      </c>
      <c r="E100" s="106">
        <v>17</v>
      </c>
      <c r="F100" s="25">
        <v>40.799999999999997</v>
      </c>
      <c r="G100" s="27">
        <v>12</v>
      </c>
      <c r="H100" s="28">
        <v>55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2</v>
      </c>
      <c r="R100" s="15">
        <v>1</v>
      </c>
      <c r="S100" s="113" t="s">
        <v>3295</v>
      </c>
      <c r="T100" s="8">
        <v>56</v>
      </c>
      <c r="U100" s="13"/>
      <c r="W100" s="25">
        <f>D100</f>
        <v>56.3</v>
      </c>
      <c r="X100" s="106">
        <f>E100</f>
        <v>17</v>
      </c>
      <c r="Y100" s="32">
        <f>H100</f>
        <v>55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2/1</v>
      </c>
      <c r="AH100" s="36" t="str">
        <f>IF(A100="","",A100)</f>
        <v>주안한신휴플러스</v>
      </c>
      <c r="AI100" s="106">
        <f>IF(E100="","",E100)</f>
        <v>17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3298</v>
      </c>
      <c r="B101" s="16" t="s">
        <v>3299</v>
      </c>
      <c r="C101" s="28">
        <v>494</v>
      </c>
      <c r="D101" s="25">
        <v>78.5</v>
      </c>
      <c r="E101" s="106">
        <v>24</v>
      </c>
      <c r="F101" s="25">
        <v>59.8</v>
      </c>
      <c r="G101" s="27">
        <v>18</v>
      </c>
      <c r="H101" s="28">
        <v>81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3295</v>
      </c>
      <c r="T101" s="8">
        <v>78</v>
      </c>
      <c r="U101" s="13"/>
      <c r="W101" s="25">
        <f>D101</f>
        <v>78.5</v>
      </c>
      <c r="X101" s="106">
        <f>E101</f>
        <v>24</v>
      </c>
      <c r="Y101" s="32">
        <f>H101</f>
        <v>81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주안한신휴플러스</v>
      </c>
      <c r="AI101" s="106">
        <f>IF(E101="","",E101)</f>
        <v>24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3298</v>
      </c>
      <c r="B102" s="16" t="s">
        <v>3299</v>
      </c>
      <c r="C102" s="28">
        <v>494</v>
      </c>
      <c r="D102" s="25">
        <v>103.5</v>
      </c>
      <c r="E102" s="106">
        <v>31</v>
      </c>
      <c r="F102" s="25">
        <v>84.8</v>
      </c>
      <c r="G102" s="27">
        <v>26</v>
      </c>
      <c r="H102" s="28">
        <v>120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64</v>
      </c>
      <c r="T102" s="8" t="s">
        <v>1088</v>
      </c>
      <c r="U102" s="13"/>
      <c r="W102" s="25">
        <f>D102</f>
        <v>103.5</v>
      </c>
      <c r="X102" s="106">
        <f>E102</f>
        <v>31</v>
      </c>
      <c r="Y102" s="32">
        <f>H102</f>
        <v>120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주안한신휴플러스</v>
      </c>
      <c r="AI102" s="106">
        <f>IF(E102="","",E102)</f>
        <v>31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3298</v>
      </c>
      <c r="B103" s="16" t="s">
        <v>3299</v>
      </c>
      <c r="C103" s="28">
        <v>494</v>
      </c>
      <c r="D103" s="25">
        <v>103.5</v>
      </c>
      <c r="E103" s="106">
        <v>31</v>
      </c>
      <c r="F103" s="25">
        <v>84.8</v>
      </c>
      <c r="G103" s="27">
        <v>26</v>
      </c>
      <c r="H103" s="28">
        <v>120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 t="s">
        <v>602</v>
      </c>
      <c r="U103" s="13"/>
      <c r="W103" s="25">
        <f>D103</f>
        <v>103.5</v>
      </c>
      <c r="X103" s="106">
        <f>E103</f>
        <v>31</v>
      </c>
      <c r="Y103" s="32">
        <f>H103</f>
        <v>120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주안한신휴플러스</v>
      </c>
      <c r="AI103" s="106">
        <f>IF(E103="","",E103)</f>
        <v>31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3298</v>
      </c>
      <c r="B104" s="16" t="s">
        <v>3299</v>
      </c>
      <c r="C104" s="28">
        <v>494</v>
      </c>
      <c r="D104" s="25">
        <v>103.5</v>
      </c>
      <c r="E104" s="106">
        <v>31</v>
      </c>
      <c r="F104" s="25">
        <v>84.8</v>
      </c>
      <c r="G104" s="27">
        <v>26</v>
      </c>
      <c r="H104" s="28">
        <v>58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635</v>
      </c>
      <c r="U104" s="13"/>
      <c r="W104" s="25">
        <f>D104</f>
        <v>103.5</v>
      </c>
      <c r="X104" s="106">
        <f>E104</f>
        <v>31</v>
      </c>
      <c r="Y104" s="32">
        <f>H104</f>
        <v>58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주안한신휴플러스</v>
      </c>
      <c r="AI104" s="106">
        <f>IF(E104="","",E104)</f>
        <v>31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3298</v>
      </c>
      <c r="B105" s="16" t="s">
        <v>3299</v>
      </c>
      <c r="C105" s="28">
        <v>494</v>
      </c>
      <c r="D105" s="25">
        <v>103.3</v>
      </c>
      <c r="E105" s="106">
        <v>31</v>
      </c>
      <c r="F105" s="25">
        <v>84.7</v>
      </c>
      <c r="G105" s="27">
        <v>26</v>
      </c>
      <c r="H105" s="28">
        <v>30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3295</v>
      </c>
      <c r="T105" s="8">
        <v>103</v>
      </c>
      <c r="U105" s="13"/>
      <c r="W105" s="25">
        <f>D105</f>
        <v>103.3</v>
      </c>
      <c r="X105" s="106">
        <f>E105</f>
        <v>31</v>
      </c>
      <c r="Y105" s="32">
        <f>H105</f>
        <v>30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주안한신휴플러스</v>
      </c>
      <c r="AI105" s="106">
        <f>IF(E105="","",E105)</f>
        <v>31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3300</v>
      </c>
      <c r="B106" s="16" t="s">
        <v>3301</v>
      </c>
      <c r="C106" s="28">
        <v>494</v>
      </c>
      <c r="D106" s="25">
        <v>103.5</v>
      </c>
      <c r="E106" s="106">
        <v>31</v>
      </c>
      <c r="F106" s="25">
        <v>84.8</v>
      </c>
      <c r="G106" s="27">
        <v>26</v>
      </c>
      <c r="H106" s="28">
        <v>30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3295</v>
      </c>
      <c r="T106" s="8" t="s">
        <v>2445</v>
      </c>
      <c r="U106" s="13"/>
      <c r="W106" s="25">
        <f>D106</f>
        <v>103.5</v>
      </c>
      <c r="X106" s="106">
        <f>E106</f>
        <v>31</v>
      </c>
      <c r="Y106" s="32">
        <f>H106</f>
        <v>30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주안한신휴플러스</v>
      </c>
      <c r="AI106" s="106">
        <f>IF(E106="","",E106)</f>
        <v>31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9"/>
      <c r="B107" s="113"/>
      <c r="C107" s="10"/>
      <c r="D107" s="13"/>
      <c r="E107" s="20"/>
      <c r="F107" s="26"/>
      <c r="G107" s="13"/>
      <c r="H107" s="13"/>
      <c r="I107" s="13"/>
      <c r="J107" s="13"/>
      <c r="K107" s="13"/>
      <c r="L107" s="13"/>
      <c r="M107" s="13"/>
      <c r="N107" s="13"/>
      <c r="O107" s="29"/>
      <c r="P107" s="29"/>
      <c r="Q107" s="23"/>
      <c r="R107" s="23"/>
      <c r="S107" s="13"/>
      <c r="T107" s="70"/>
      <c r="U107" s="13"/>
      <c r="W107" s="107" t="str">
        <f>$A$4&amp;" "&amp;A108&amp;"("&amp;B108&amp;","&amp;C108&amp;"^)"</f>
        <v>주안동 남광로얄(1443)('80.02.,474^)</v>
      </c>
      <c r="X107" s="108"/>
      <c r="Y107" s="108"/>
      <c r="Z107" s="108"/>
      <c r="AA107" s="108"/>
      <c r="AB107" s="108"/>
      <c r="AC107" s="108"/>
      <c r="AD107" s="108"/>
      <c r="AE107" s="108"/>
      <c r="AF107" s="109"/>
      <c r="AH107" s="36" t="str">
        <f>IF(A107="","",A107)</f>
        <v/>
      </c>
      <c r="AI107" s="37" t="str">
        <f>IF(E107="","",E107)</f>
        <v/>
      </c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</row>
    <row r="108" spans="1:48" x14ac:dyDescent="0.3">
      <c r="A108" s="5" t="s">
        <v>3302</v>
      </c>
      <c r="B108" s="16" t="s">
        <v>3303</v>
      </c>
      <c r="C108" s="28">
        <v>474</v>
      </c>
      <c r="D108" s="25">
        <v>50.3</v>
      </c>
      <c r="E108" s="106">
        <v>15</v>
      </c>
      <c r="F108" s="25">
        <v>46.8</v>
      </c>
      <c r="G108" s="27">
        <v>14</v>
      </c>
      <c r="H108" s="28">
        <v>77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2</v>
      </c>
      <c r="R108" s="15">
        <v>1</v>
      </c>
      <c r="S108" s="113" t="s">
        <v>3295</v>
      </c>
      <c r="T108" s="8">
        <v>50</v>
      </c>
      <c r="U108" s="13"/>
      <c r="W108" s="25">
        <f>D108</f>
        <v>50.3</v>
      </c>
      <c r="X108" s="106">
        <f>E108</f>
        <v>15</v>
      </c>
      <c r="Y108" s="32">
        <f>H108</f>
        <v>77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2/1</v>
      </c>
      <c r="AH108" s="36" t="str">
        <f>IF(A108="","",A108)</f>
        <v>남광로얄(1443)</v>
      </c>
      <c r="AI108" s="106">
        <f>IF(E108="","",E108)</f>
        <v>15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3302</v>
      </c>
      <c r="B109" s="16" t="s">
        <v>3304</v>
      </c>
      <c r="C109" s="28">
        <v>474</v>
      </c>
      <c r="D109" s="25">
        <v>53.2</v>
      </c>
      <c r="E109" s="106">
        <v>16</v>
      </c>
      <c r="F109" s="25">
        <v>49.4</v>
      </c>
      <c r="G109" s="27">
        <v>15</v>
      </c>
      <c r="H109" s="28">
        <v>4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2</v>
      </c>
      <c r="R109" s="15">
        <v>1</v>
      </c>
      <c r="S109" s="113" t="s">
        <v>3096</v>
      </c>
      <c r="T109" s="8">
        <v>53</v>
      </c>
      <c r="U109" s="13"/>
      <c r="W109" s="25">
        <f>D109</f>
        <v>53.2</v>
      </c>
      <c r="X109" s="106">
        <f>E109</f>
        <v>16</v>
      </c>
      <c r="Y109" s="32">
        <f>H109</f>
        <v>4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합</v>
      </c>
      <c r="AF109" s="15" t="str">
        <f>Q109&amp;"/"&amp;R109</f>
        <v>2/1</v>
      </c>
      <c r="AH109" s="36" t="str">
        <f>IF(A109="","",A109)</f>
        <v>남광로얄(1443)</v>
      </c>
      <c r="AI109" s="106">
        <f>IF(E109="","",E109)</f>
        <v>16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3305</v>
      </c>
      <c r="B110" s="16" t="s">
        <v>3304</v>
      </c>
      <c r="C110" s="28">
        <v>474</v>
      </c>
      <c r="D110" s="25">
        <v>65.900000000000006</v>
      </c>
      <c r="E110" s="106">
        <v>20</v>
      </c>
      <c r="F110" s="25">
        <v>59.5</v>
      </c>
      <c r="G110" s="27">
        <v>18</v>
      </c>
      <c r="H110" s="28">
        <v>10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2</v>
      </c>
      <c r="R110" s="15">
        <v>1</v>
      </c>
      <c r="S110" s="113" t="s">
        <v>64</v>
      </c>
      <c r="T110" s="8" t="s">
        <v>197</v>
      </c>
      <c r="U110" s="13"/>
      <c r="W110" s="25">
        <f>D110</f>
        <v>65.900000000000006</v>
      </c>
      <c r="X110" s="106">
        <f>E110</f>
        <v>20</v>
      </c>
      <c r="Y110" s="32">
        <f>H110</f>
        <v>10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2/1</v>
      </c>
      <c r="AH110" s="36" t="str">
        <f>IF(A110="","",A110)</f>
        <v>남광로얄(1443)</v>
      </c>
      <c r="AI110" s="106">
        <f>IF(E110="","",E110)</f>
        <v>20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3302</v>
      </c>
      <c r="B111" s="16" t="s">
        <v>3303</v>
      </c>
      <c r="C111" s="28">
        <v>474</v>
      </c>
      <c r="D111" s="25">
        <v>67.3</v>
      </c>
      <c r="E111" s="106">
        <v>20</v>
      </c>
      <c r="F111" s="25">
        <v>60.8</v>
      </c>
      <c r="G111" s="27">
        <v>18</v>
      </c>
      <c r="H111" s="28">
        <v>5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2</v>
      </c>
      <c r="R111" s="15">
        <v>1</v>
      </c>
      <c r="S111" s="113" t="s">
        <v>64</v>
      </c>
      <c r="T111" s="8" t="s">
        <v>858</v>
      </c>
      <c r="U111" s="13"/>
      <c r="W111" s="25">
        <f>D111</f>
        <v>67.3</v>
      </c>
      <c r="X111" s="106">
        <f>E111</f>
        <v>20</v>
      </c>
      <c r="Y111" s="32">
        <f>H111</f>
        <v>5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2/1</v>
      </c>
      <c r="AH111" s="36" t="str">
        <f>IF(A111="","",A111)</f>
        <v>남광로얄(1443)</v>
      </c>
      <c r="AI111" s="106">
        <f>IF(E111="","",E111)</f>
        <v>20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3305</v>
      </c>
      <c r="B112" s="16" t="s">
        <v>3304</v>
      </c>
      <c r="C112" s="28">
        <v>474</v>
      </c>
      <c r="D112" s="25">
        <v>73.099999999999994</v>
      </c>
      <c r="E112" s="106">
        <v>22</v>
      </c>
      <c r="F112" s="25">
        <v>66.900000000000006</v>
      </c>
      <c r="G112" s="27">
        <v>20</v>
      </c>
      <c r="H112" s="28">
        <v>5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1</v>
      </c>
      <c r="S112" s="113" t="s">
        <v>64</v>
      </c>
      <c r="T112" s="8" t="s">
        <v>903</v>
      </c>
      <c r="U112" s="13"/>
      <c r="W112" s="25">
        <f>D112</f>
        <v>73.099999999999994</v>
      </c>
      <c r="X112" s="106">
        <f>E112</f>
        <v>22</v>
      </c>
      <c r="Y112" s="32">
        <f>H112</f>
        <v>5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3/1</v>
      </c>
      <c r="AH112" s="36" t="str">
        <f>IF(A112="","",A112)</f>
        <v>남광로얄(1443)</v>
      </c>
      <c r="AI112" s="106">
        <f>IF(E112="","",E112)</f>
        <v>22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3305</v>
      </c>
      <c r="B113" s="16" t="s">
        <v>3303</v>
      </c>
      <c r="C113" s="28">
        <v>474</v>
      </c>
      <c r="D113" s="25">
        <v>74.599999999999994</v>
      </c>
      <c r="E113" s="106">
        <v>23</v>
      </c>
      <c r="F113" s="25">
        <v>68.2</v>
      </c>
      <c r="G113" s="27">
        <v>21</v>
      </c>
      <c r="H113" s="28">
        <v>60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1</v>
      </c>
      <c r="S113" s="113" t="s">
        <v>64</v>
      </c>
      <c r="T113" s="8" t="s">
        <v>876</v>
      </c>
      <c r="U113" s="13"/>
      <c r="W113" s="25">
        <f>D113</f>
        <v>74.599999999999994</v>
      </c>
      <c r="X113" s="106">
        <f>E113</f>
        <v>23</v>
      </c>
      <c r="Y113" s="32">
        <f>H113</f>
        <v>60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3/1</v>
      </c>
      <c r="AH113" s="36" t="str">
        <f>IF(A113="","",A113)</f>
        <v>남광로얄(1443)</v>
      </c>
      <c r="AI113" s="106">
        <f>IF(E113="","",E113)</f>
        <v>23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3302</v>
      </c>
      <c r="B114" s="16" t="s">
        <v>3303</v>
      </c>
      <c r="C114" s="28">
        <v>474</v>
      </c>
      <c r="D114" s="25">
        <v>74.900000000000006</v>
      </c>
      <c r="E114" s="106">
        <v>23</v>
      </c>
      <c r="F114" s="25">
        <v>68.099999999999994</v>
      </c>
      <c r="G114" s="27">
        <v>21</v>
      </c>
      <c r="H114" s="28">
        <v>20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1</v>
      </c>
      <c r="S114" s="113" t="s">
        <v>3306</v>
      </c>
      <c r="T114" s="8" t="s">
        <v>406</v>
      </c>
      <c r="U114" s="13"/>
      <c r="W114" s="25">
        <f>D114</f>
        <v>74.900000000000006</v>
      </c>
      <c r="X114" s="106">
        <f>E114</f>
        <v>23</v>
      </c>
      <c r="Y114" s="32">
        <f>H114</f>
        <v>20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3/1</v>
      </c>
      <c r="AH114" s="36" t="str">
        <f>IF(A114="","",A114)</f>
        <v>남광로얄(1443)</v>
      </c>
      <c r="AI114" s="106">
        <f>IF(E114="","",E114)</f>
        <v>23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3302</v>
      </c>
      <c r="B115" s="16" t="s">
        <v>3307</v>
      </c>
      <c r="C115" s="28">
        <v>474</v>
      </c>
      <c r="D115" s="25">
        <v>83.2</v>
      </c>
      <c r="E115" s="106">
        <v>25</v>
      </c>
      <c r="F115" s="25">
        <v>75.599999999999994</v>
      </c>
      <c r="G115" s="27">
        <v>23</v>
      </c>
      <c r="H115" s="28">
        <v>36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1</v>
      </c>
      <c r="S115" s="113" t="s">
        <v>64</v>
      </c>
      <c r="T115" s="8" t="s">
        <v>505</v>
      </c>
      <c r="U115" s="13"/>
      <c r="W115" s="25">
        <f>D115</f>
        <v>83.2</v>
      </c>
      <c r="X115" s="106">
        <f>E115</f>
        <v>25</v>
      </c>
      <c r="Y115" s="32">
        <f>H115</f>
        <v>36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3/1</v>
      </c>
      <c r="AH115" s="36" t="str">
        <f>IF(A115="","",A115)</f>
        <v>남광로얄(1443)</v>
      </c>
      <c r="AI115" s="106">
        <f>IF(E115="","",E115)</f>
        <v>25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3308</v>
      </c>
      <c r="B116" s="16" t="s">
        <v>3303</v>
      </c>
      <c r="C116" s="28">
        <v>474</v>
      </c>
      <c r="D116" s="25">
        <v>83</v>
      </c>
      <c r="E116" s="106">
        <v>25</v>
      </c>
      <c r="F116" s="25">
        <v>75.5</v>
      </c>
      <c r="G116" s="27">
        <v>23</v>
      </c>
      <c r="H116" s="28">
        <v>4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1</v>
      </c>
      <c r="S116" s="113" t="s">
        <v>64</v>
      </c>
      <c r="T116" s="8" t="s">
        <v>990</v>
      </c>
      <c r="U116" s="13"/>
      <c r="W116" s="25">
        <f>D116</f>
        <v>83</v>
      </c>
      <c r="X116" s="106">
        <f>E116</f>
        <v>25</v>
      </c>
      <c r="Y116" s="32">
        <f>H116</f>
        <v>4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3/1</v>
      </c>
      <c r="AH116" s="36" t="str">
        <f>IF(A116="","",A116)</f>
        <v>남광로얄(1443)</v>
      </c>
      <c r="AI116" s="106">
        <f>IF(E116="","",E116)</f>
        <v>25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3302</v>
      </c>
      <c r="B117" s="16" t="s">
        <v>3303</v>
      </c>
      <c r="C117" s="28">
        <v>474</v>
      </c>
      <c r="D117" s="25">
        <v>84.2</v>
      </c>
      <c r="E117" s="106">
        <v>25</v>
      </c>
      <c r="F117" s="25">
        <v>74.5</v>
      </c>
      <c r="G117" s="27">
        <v>23</v>
      </c>
      <c r="H117" s="28">
        <v>30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1</v>
      </c>
      <c r="S117" s="113" t="s">
        <v>64</v>
      </c>
      <c r="T117" s="8" t="s">
        <v>383</v>
      </c>
      <c r="U117" s="13"/>
      <c r="W117" s="25">
        <f>D117</f>
        <v>84.2</v>
      </c>
      <c r="X117" s="106">
        <f>E117</f>
        <v>25</v>
      </c>
      <c r="Y117" s="32">
        <f>H117</f>
        <v>30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3/1</v>
      </c>
      <c r="AH117" s="36" t="str">
        <f>IF(A117="","",A117)</f>
        <v>남광로얄(1443)</v>
      </c>
      <c r="AI117" s="106">
        <f>IF(E117="","",E117)</f>
        <v>25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3302</v>
      </c>
      <c r="B118" s="16" t="s">
        <v>3307</v>
      </c>
      <c r="C118" s="28">
        <v>474</v>
      </c>
      <c r="D118" s="25">
        <v>84.8</v>
      </c>
      <c r="E118" s="106">
        <v>26</v>
      </c>
      <c r="F118" s="25">
        <v>74.7</v>
      </c>
      <c r="G118" s="27">
        <v>23</v>
      </c>
      <c r="H118" s="28">
        <v>29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1</v>
      </c>
      <c r="S118" s="113" t="s">
        <v>64</v>
      </c>
      <c r="T118" s="8" t="s">
        <v>383</v>
      </c>
      <c r="U118" s="13"/>
      <c r="W118" s="25">
        <f>D118</f>
        <v>84.8</v>
      </c>
      <c r="X118" s="106">
        <f>E118</f>
        <v>26</v>
      </c>
      <c r="Y118" s="32">
        <f>H118</f>
        <v>29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3/1</v>
      </c>
      <c r="AH118" s="36" t="str">
        <f>IF(A118="","",A118)</f>
        <v>남광로얄(1443)</v>
      </c>
      <c r="AI118" s="106">
        <f>IF(E118="","",E118)</f>
        <v>26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3308</v>
      </c>
      <c r="B119" s="16" t="s">
        <v>3303</v>
      </c>
      <c r="C119" s="28">
        <v>474</v>
      </c>
      <c r="D119" s="25">
        <v>86</v>
      </c>
      <c r="E119" s="106">
        <v>26</v>
      </c>
      <c r="F119" s="25">
        <v>75.5</v>
      </c>
      <c r="G119" s="27">
        <v>23</v>
      </c>
      <c r="H119" s="28">
        <v>35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1</v>
      </c>
      <c r="S119" s="113" t="s">
        <v>64</v>
      </c>
      <c r="T119" s="8" t="s">
        <v>384</v>
      </c>
      <c r="U119" s="13"/>
      <c r="W119" s="25">
        <f>D119</f>
        <v>86</v>
      </c>
      <c r="X119" s="106">
        <f>E119</f>
        <v>26</v>
      </c>
      <c r="Y119" s="32">
        <f>H119</f>
        <v>35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3/1</v>
      </c>
      <c r="AH119" s="36" t="str">
        <f>IF(A119="","",A119)</f>
        <v>남광로얄(1443)</v>
      </c>
      <c r="AI119" s="106">
        <f>IF(E119="","",E119)</f>
        <v>26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3302</v>
      </c>
      <c r="B120" s="16" t="s">
        <v>3307</v>
      </c>
      <c r="C120" s="28">
        <v>474</v>
      </c>
      <c r="D120" s="25">
        <v>86.8</v>
      </c>
      <c r="E120" s="106">
        <v>26</v>
      </c>
      <c r="F120" s="25">
        <v>79.5</v>
      </c>
      <c r="G120" s="27">
        <v>24</v>
      </c>
      <c r="H120" s="28">
        <v>29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1</v>
      </c>
      <c r="S120" s="113" t="s">
        <v>64</v>
      </c>
      <c r="T120" s="8" t="s">
        <v>2461</v>
      </c>
      <c r="U120" s="13"/>
      <c r="W120" s="25">
        <f>D120</f>
        <v>86.8</v>
      </c>
      <c r="X120" s="106">
        <f>E120</f>
        <v>26</v>
      </c>
      <c r="Y120" s="32">
        <f>H120</f>
        <v>29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3/1</v>
      </c>
      <c r="AH120" s="36" t="str">
        <f>IF(A120="","",A120)</f>
        <v>남광로얄(1443)</v>
      </c>
      <c r="AI120" s="106">
        <f>IF(E120="","",E120)</f>
        <v>26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3302</v>
      </c>
      <c r="B121" s="16" t="s">
        <v>3303</v>
      </c>
      <c r="C121" s="28">
        <v>474</v>
      </c>
      <c r="D121" s="25">
        <v>104</v>
      </c>
      <c r="E121" s="106">
        <v>31</v>
      </c>
      <c r="F121" s="25">
        <v>89</v>
      </c>
      <c r="G121" s="27">
        <v>27</v>
      </c>
      <c r="H121" s="28">
        <v>90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1</v>
      </c>
      <c r="S121" s="113" t="s">
        <v>3306</v>
      </c>
      <c r="T121" s="8">
        <v>103</v>
      </c>
      <c r="U121" s="13"/>
      <c r="W121" s="25">
        <f>D121</f>
        <v>104</v>
      </c>
      <c r="X121" s="106">
        <f>E121</f>
        <v>31</v>
      </c>
      <c r="Y121" s="32">
        <f>H121</f>
        <v>90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3/1</v>
      </c>
      <c r="AH121" s="36" t="str">
        <f>IF(A121="","",A121)</f>
        <v>남광로얄(1443)</v>
      </c>
      <c r="AI121" s="106">
        <f>IF(E121="","",E121)</f>
        <v>31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3308</v>
      </c>
      <c r="B122" s="16" t="s">
        <v>3307</v>
      </c>
      <c r="C122" s="28">
        <v>474</v>
      </c>
      <c r="D122" s="25">
        <v>132.4</v>
      </c>
      <c r="E122" s="106">
        <v>40</v>
      </c>
      <c r="F122" s="25">
        <v>117.8</v>
      </c>
      <c r="G122" s="27">
        <v>36</v>
      </c>
      <c r="H122" s="28">
        <v>38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4</v>
      </c>
      <c r="R122" s="15">
        <v>2</v>
      </c>
      <c r="S122" s="113" t="s">
        <v>3306</v>
      </c>
      <c r="T122" s="8" t="s">
        <v>2462</v>
      </c>
      <c r="U122" s="13"/>
      <c r="W122" s="25">
        <f>D122</f>
        <v>132.4</v>
      </c>
      <c r="X122" s="106">
        <f>E122</f>
        <v>40</v>
      </c>
      <c r="Y122" s="32">
        <f>H122</f>
        <v>38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4/2</v>
      </c>
      <c r="AH122" s="36" t="str">
        <f>IF(A122="","",A122)</f>
        <v>남광로얄(1443)</v>
      </c>
      <c r="AI122" s="106">
        <f>IF(E122="","",E122)</f>
        <v>40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3308</v>
      </c>
      <c r="B123" s="16" t="s">
        <v>3303</v>
      </c>
      <c r="C123" s="28">
        <v>474</v>
      </c>
      <c r="D123" s="25">
        <v>132.5</v>
      </c>
      <c r="E123" s="106">
        <v>40</v>
      </c>
      <c r="F123" s="25">
        <v>117.9</v>
      </c>
      <c r="G123" s="27">
        <v>36</v>
      </c>
      <c r="H123" s="28">
        <v>2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4</v>
      </c>
      <c r="R123" s="15">
        <v>2</v>
      </c>
      <c r="S123" s="113" t="s">
        <v>64</v>
      </c>
      <c r="T123" s="8" t="s">
        <v>2463</v>
      </c>
      <c r="U123" s="13"/>
      <c r="W123" s="25">
        <f>D123</f>
        <v>132.5</v>
      </c>
      <c r="X123" s="106">
        <f>E123</f>
        <v>40</v>
      </c>
      <c r="Y123" s="32">
        <f>H123</f>
        <v>2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4/2</v>
      </c>
      <c r="AH123" s="36" t="str">
        <f>IF(A123="","",A123)</f>
        <v>남광로얄(1443)</v>
      </c>
      <c r="AI123" s="106">
        <f>IF(E123="","",E123)</f>
        <v>40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X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9"/>
      <c r="B124" s="113"/>
      <c r="C124" s="10"/>
      <c r="D124" s="13"/>
      <c r="E124" s="20"/>
      <c r="F124" s="26"/>
      <c r="G124" s="13"/>
      <c r="H124" s="13"/>
      <c r="I124" s="13"/>
      <c r="J124" s="13"/>
      <c r="K124" s="13"/>
      <c r="L124" s="13"/>
      <c r="M124" s="13"/>
      <c r="N124" s="13"/>
      <c r="O124" s="29"/>
      <c r="P124" s="29"/>
      <c r="Q124" s="23"/>
      <c r="R124" s="23"/>
      <c r="S124" s="13"/>
      <c r="T124" s="70"/>
      <c r="U124" s="13"/>
      <c r="W124" s="107" t="str">
        <f>$A$4&amp;" "&amp;A125&amp;"("&amp;B125&amp;","&amp;C125&amp;"^)"</f>
        <v>주안동 광명8차('88.07.,462^)</v>
      </c>
      <c r="X124" s="108"/>
      <c r="Y124" s="108"/>
      <c r="Z124" s="108"/>
      <c r="AA124" s="108"/>
      <c r="AB124" s="108"/>
      <c r="AC124" s="108"/>
      <c r="AD124" s="108"/>
      <c r="AE124" s="108"/>
      <c r="AF124" s="109"/>
      <c r="AH124" s="36" t="str">
        <f>IF(A124="","",A124)</f>
        <v/>
      </c>
      <c r="AI124" s="37" t="str">
        <f>IF(E124="","",E124)</f>
        <v/>
      </c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</row>
    <row r="125" spans="1:48" x14ac:dyDescent="0.3">
      <c r="A125" s="5" t="s">
        <v>3309</v>
      </c>
      <c r="B125" s="16" t="s">
        <v>3310</v>
      </c>
      <c r="C125" s="28">
        <v>462</v>
      </c>
      <c r="D125" s="25">
        <v>57.4</v>
      </c>
      <c r="E125" s="106">
        <v>17</v>
      </c>
      <c r="F125" s="25">
        <v>44.2</v>
      </c>
      <c r="G125" s="27">
        <v>13</v>
      </c>
      <c r="H125" s="28">
        <v>180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1</v>
      </c>
      <c r="S125" s="113" t="s">
        <v>3306</v>
      </c>
      <c r="T125" s="8">
        <v>57</v>
      </c>
      <c r="U125" s="13"/>
      <c r="W125" s="25">
        <f>D125</f>
        <v>57.4</v>
      </c>
      <c r="X125" s="106">
        <f>E125</f>
        <v>17</v>
      </c>
      <c r="Y125" s="32">
        <f>H125</f>
        <v>180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3/1</v>
      </c>
      <c r="AH125" s="36" t="str">
        <f>IF(A125="","",A125)</f>
        <v>광명8차</v>
      </c>
      <c r="AI125" s="106">
        <f>IF(E125="","",E125)</f>
        <v>17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3309</v>
      </c>
      <c r="B126" s="16" t="s">
        <v>3311</v>
      </c>
      <c r="C126" s="28">
        <v>462</v>
      </c>
      <c r="D126" s="25">
        <v>62</v>
      </c>
      <c r="E126" s="106">
        <v>19</v>
      </c>
      <c r="F126" s="25">
        <v>48.6</v>
      </c>
      <c r="G126" s="27">
        <v>15</v>
      </c>
      <c r="H126" s="28">
        <v>276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1</v>
      </c>
      <c r="S126" s="113" t="s">
        <v>64</v>
      </c>
      <c r="T126" s="8">
        <v>61</v>
      </c>
      <c r="U126" s="13"/>
      <c r="W126" s="25">
        <f>D126</f>
        <v>62</v>
      </c>
      <c r="X126" s="106">
        <f>E126</f>
        <v>19</v>
      </c>
      <c r="Y126" s="32">
        <f>H126</f>
        <v>276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3/1</v>
      </c>
      <c r="AH126" s="36" t="str">
        <f>IF(A126="","",A126)</f>
        <v>광명8차</v>
      </c>
      <c r="AI126" s="106">
        <f>IF(E126="","",E126)</f>
        <v>19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3309</v>
      </c>
      <c r="B127" s="16" t="s">
        <v>3311</v>
      </c>
      <c r="C127" s="28">
        <v>462</v>
      </c>
      <c r="D127" s="25">
        <v>73.5</v>
      </c>
      <c r="E127" s="106">
        <v>22</v>
      </c>
      <c r="F127" s="25">
        <v>55</v>
      </c>
      <c r="G127" s="27">
        <v>17</v>
      </c>
      <c r="H127" s="28">
        <v>6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1</v>
      </c>
      <c r="S127" s="113" t="s">
        <v>64</v>
      </c>
      <c r="T127" s="8">
        <v>73</v>
      </c>
      <c r="U127" s="13"/>
      <c r="W127" s="25">
        <f>D127</f>
        <v>73.5</v>
      </c>
      <c r="X127" s="106">
        <f>E127</f>
        <v>22</v>
      </c>
      <c r="Y127" s="32">
        <f>H127</f>
        <v>6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3/1</v>
      </c>
      <c r="AH127" s="36" t="str">
        <f>IF(A127="","",A127)</f>
        <v>광명8차</v>
      </c>
      <c r="AI127" s="106">
        <f>IF(E127="","",E127)</f>
        <v>22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주안동 주안현대홈타운('02.11.,443^)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3312</v>
      </c>
      <c r="B129" s="16" t="s">
        <v>3313</v>
      </c>
      <c r="C129" s="28">
        <v>443</v>
      </c>
      <c r="D129" s="25">
        <v>87.6</v>
      </c>
      <c r="E129" s="106">
        <v>26</v>
      </c>
      <c r="F129" s="25">
        <v>66.7</v>
      </c>
      <c r="G129" s="27">
        <v>20</v>
      </c>
      <c r="H129" s="28">
        <v>170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1</v>
      </c>
      <c r="S129" s="113" t="s">
        <v>3306</v>
      </c>
      <c r="T129" s="8">
        <v>87</v>
      </c>
      <c r="U129" s="13"/>
      <c r="W129" s="25">
        <f>D129</f>
        <v>87.6</v>
      </c>
      <c r="X129" s="106">
        <f>E129</f>
        <v>26</v>
      </c>
      <c r="Y129" s="32">
        <f>H129</f>
        <v>170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3/1</v>
      </c>
      <c r="AH129" s="36" t="str">
        <f>IF(A129="","",A129)</f>
        <v>주안현대홈타운</v>
      </c>
      <c r="AI129" s="106">
        <f>IF(E129="","",E129)</f>
        <v>26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3314</v>
      </c>
      <c r="B130" s="16" t="s">
        <v>3313</v>
      </c>
      <c r="C130" s="28">
        <v>443</v>
      </c>
      <c r="D130" s="25">
        <v>99.4</v>
      </c>
      <c r="E130" s="106">
        <v>30</v>
      </c>
      <c r="F130" s="25">
        <v>78.8</v>
      </c>
      <c r="G130" s="27">
        <v>24</v>
      </c>
      <c r="H130" s="28">
        <v>159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64</v>
      </c>
      <c r="T130" s="8">
        <v>99</v>
      </c>
      <c r="U130" s="13"/>
      <c r="W130" s="25">
        <f>D130</f>
        <v>99.4</v>
      </c>
      <c r="X130" s="106">
        <f>E130</f>
        <v>30</v>
      </c>
      <c r="Y130" s="32">
        <f>H130</f>
        <v>159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주안현대홈타운</v>
      </c>
      <c r="AI130" s="106">
        <f>IF(E130="","",E130)</f>
        <v>30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3312</v>
      </c>
      <c r="B131" s="16" t="s">
        <v>3315</v>
      </c>
      <c r="C131" s="28">
        <v>443</v>
      </c>
      <c r="D131" s="25">
        <v>121.1</v>
      </c>
      <c r="E131" s="106">
        <v>37</v>
      </c>
      <c r="F131" s="25">
        <v>92.8</v>
      </c>
      <c r="G131" s="27">
        <v>28</v>
      </c>
      <c r="H131" s="28">
        <v>76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2</v>
      </c>
      <c r="S131" s="113" t="s">
        <v>64</v>
      </c>
      <c r="T131" s="8">
        <v>121</v>
      </c>
      <c r="U131" s="13"/>
      <c r="W131" s="25">
        <f>D131</f>
        <v>121.1</v>
      </c>
      <c r="X131" s="106">
        <f>E131</f>
        <v>37</v>
      </c>
      <c r="Y131" s="32">
        <f>H131</f>
        <v>76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3/2</v>
      </c>
      <c r="AH131" s="36" t="str">
        <f>IF(A131="","",A131)</f>
        <v>주안현대홈타운</v>
      </c>
      <c r="AI131" s="106">
        <f>IF(E131="","",E131)</f>
        <v>37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X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3314</v>
      </c>
      <c r="B132" s="16" t="s">
        <v>3315</v>
      </c>
      <c r="C132" s="28">
        <v>443</v>
      </c>
      <c r="D132" s="25">
        <v>136.80000000000001</v>
      </c>
      <c r="E132" s="106">
        <v>41</v>
      </c>
      <c r="F132" s="25">
        <v>115</v>
      </c>
      <c r="G132" s="27">
        <v>35</v>
      </c>
      <c r="H132" s="28">
        <v>38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4</v>
      </c>
      <c r="R132" s="15">
        <v>2</v>
      </c>
      <c r="S132" s="113" t="s">
        <v>64</v>
      </c>
      <c r="T132" s="8">
        <v>136</v>
      </c>
      <c r="U132" s="13"/>
      <c r="W132" s="25">
        <f>D132</f>
        <v>136.80000000000001</v>
      </c>
      <c r="X132" s="106">
        <f>E132</f>
        <v>41</v>
      </c>
      <c r="Y132" s="32">
        <f>H132</f>
        <v>38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4/2</v>
      </c>
      <c r="AH132" s="36" t="str">
        <f>IF(A132="","",A132)</f>
        <v>주안현대홈타운</v>
      </c>
      <c r="AI132" s="106">
        <f>IF(E132="","",E132)</f>
        <v>41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9"/>
      <c r="B133" s="113"/>
      <c r="C133" s="10"/>
      <c r="D133" s="13"/>
      <c r="E133" s="20"/>
      <c r="F133" s="26"/>
      <c r="G133" s="13"/>
      <c r="H133" s="13"/>
      <c r="I133" s="13"/>
      <c r="J133" s="13"/>
      <c r="K133" s="13"/>
      <c r="L133" s="13"/>
      <c r="M133" s="13"/>
      <c r="N133" s="13"/>
      <c r="O133" s="29"/>
      <c r="P133" s="29"/>
      <c r="Q133" s="23"/>
      <c r="R133" s="23"/>
      <c r="S133" s="13"/>
      <c r="T133" s="70"/>
      <c r="U133" s="13"/>
      <c r="W133" s="107" t="str">
        <f>$A$4&amp;" "&amp;A134&amp;"("&amp;B134&amp;","&amp;C134&amp;"^)"</f>
        <v>주안동 e편한세상주안에듀서밋('23.09.,386^)</v>
      </c>
      <c r="X133" s="108"/>
      <c r="Y133" s="108"/>
      <c r="Z133" s="108"/>
      <c r="AA133" s="108"/>
      <c r="AB133" s="108"/>
      <c r="AC133" s="108"/>
      <c r="AD133" s="108"/>
      <c r="AE133" s="108"/>
      <c r="AF133" s="109"/>
      <c r="AH133" s="36" t="str">
        <f>IF(A133="","",A133)</f>
        <v/>
      </c>
      <c r="AI133" s="37" t="str">
        <f>IF(E133="","",E133)</f>
        <v/>
      </c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</row>
    <row r="134" spans="1:48" x14ac:dyDescent="0.3">
      <c r="A134" s="5" t="s">
        <v>3316</v>
      </c>
      <c r="B134" s="16" t="s">
        <v>3120</v>
      </c>
      <c r="C134" s="28">
        <v>386</v>
      </c>
      <c r="D134" s="25">
        <v>86.5</v>
      </c>
      <c r="E134" s="106">
        <v>26</v>
      </c>
      <c r="F134" s="25">
        <v>63.9</v>
      </c>
      <c r="G134" s="27">
        <v>19</v>
      </c>
      <c r="H134" s="28">
        <v>114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3</v>
      </c>
      <c r="R134" s="15">
        <v>2</v>
      </c>
      <c r="S134" s="113" t="s">
        <v>64</v>
      </c>
      <c r="T134" s="8" t="s">
        <v>384</v>
      </c>
      <c r="U134" s="13"/>
      <c r="W134" s="25">
        <f>D134</f>
        <v>86.5</v>
      </c>
      <c r="X134" s="106">
        <f>E134</f>
        <v>26</v>
      </c>
      <c r="Y134" s="32">
        <f>H134</f>
        <v>114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3/2</v>
      </c>
      <c r="AH134" s="36" t="str">
        <f>IF(A134="","",A134)</f>
        <v>e편한세상주안에듀서밋</v>
      </c>
      <c r="AI134" s="106">
        <f>IF(E134="","",E134)</f>
        <v>26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O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3316</v>
      </c>
      <c r="B135" s="16" t="s">
        <v>3120</v>
      </c>
      <c r="C135" s="28">
        <v>386</v>
      </c>
      <c r="D135" s="25">
        <v>87.1</v>
      </c>
      <c r="E135" s="106">
        <v>26</v>
      </c>
      <c r="F135" s="25">
        <v>63.9</v>
      </c>
      <c r="G135" s="27">
        <v>19</v>
      </c>
      <c r="H135" s="28">
        <v>108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3</v>
      </c>
      <c r="R135" s="15">
        <v>2</v>
      </c>
      <c r="S135" s="113" t="s">
        <v>64</v>
      </c>
      <c r="T135" s="8" t="s">
        <v>725</v>
      </c>
      <c r="U135" s="13"/>
      <c r="W135" s="25">
        <f>D135</f>
        <v>87.1</v>
      </c>
      <c r="X135" s="106">
        <f>E135</f>
        <v>26</v>
      </c>
      <c r="Y135" s="32">
        <f>H135</f>
        <v>108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3/2</v>
      </c>
      <c r="AH135" s="36" t="str">
        <f>IF(A135="","",A135)</f>
        <v>e편한세상주안에듀서밋</v>
      </c>
      <c r="AI135" s="106">
        <f>IF(E135="","",E135)</f>
        <v>26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O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3316</v>
      </c>
      <c r="B136" s="16" t="s">
        <v>3120</v>
      </c>
      <c r="C136" s="28">
        <v>386</v>
      </c>
      <c r="D136" s="25">
        <v>114.5</v>
      </c>
      <c r="E136" s="106">
        <v>35</v>
      </c>
      <c r="F136" s="25">
        <v>84.8</v>
      </c>
      <c r="G136" s="27">
        <v>26</v>
      </c>
      <c r="H136" s="28">
        <v>164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3</v>
      </c>
      <c r="R136" s="15">
        <v>2</v>
      </c>
      <c r="S136" s="113" t="s">
        <v>64</v>
      </c>
      <c r="T136" s="8">
        <v>114</v>
      </c>
      <c r="U136" s="13"/>
      <c r="W136" s="25">
        <f>D136</f>
        <v>114.5</v>
      </c>
      <c r="X136" s="106">
        <f>E136</f>
        <v>35</v>
      </c>
      <c r="Y136" s="32">
        <f>H136</f>
        <v>164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3/2</v>
      </c>
      <c r="AH136" s="36" t="str">
        <f>IF(A136="","",A136)</f>
        <v>e편한세상주안에듀서밋</v>
      </c>
      <c r="AI136" s="106">
        <f>IF(E136="","",E136)</f>
        <v>35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O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9"/>
      <c r="B137" s="113"/>
      <c r="C137" s="10"/>
      <c r="D137" s="13"/>
      <c r="E137" s="20"/>
      <c r="F137" s="26"/>
      <c r="G137" s="13"/>
      <c r="H137" s="13"/>
      <c r="I137" s="13"/>
      <c r="J137" s="13"/>
      <c r="K137" s="13"/>
      <c r="L137" s="13"/>
      <c r="M137" s="13"/>
      <c r="N137" s="13"/>
      <c r="O137" s="29"/>
      <c r="P137" s="29"/>
      <c r="Q137" s="23"/>
      <c r="R137" s="23"/>
      <c r="S137" s="13"/>
      <c r="T137" s="70"/>
      <c r="U137" s="13"/>
      <c r="W137" s="107" t="str">
        <f>$A$4&amp;" "&amp;A138&amp;"("&amp;B138&amp;","&amp;C138&amp;"^)"</f>
        <v>주안동 주안더월드스테이트('08.05.,3158^)</v>
      </c>
      <c r="X137" s="108"/>
      <c r="Y137" s="108"/>
      <c r="Z137" s="108"/>
      <c r="AA137" s="108"/>
      <c r="AB137" s="108"/>
      <c r="AC137" s="108"/>
      <c r="AD137" s="108"/>
      <c r="AE137" s="108"/>
      <c r="AF137" s="109"/>
      <c r="AH137" s="36" t="str">
        <f>IF(A137="","",A137)</f>
        <v/>
      </c>
      <c r="AI137" s="37" t="str">
        <f>IF(E137="","",E137)</f>
        <v/>
      </c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</row>
    <row r="138" spans="1:48" x14ac:dyDescent="0.3">
      <c r="A138" s="5" t="s">
        <v>3317</v>
      </c>
      <c r="B138" s="16" t="s">
        <v>3318</v>
      </c>
      <c r="C138" s="28">
        <v>3158</v>
      </c>
      <c r="D138" s="25">
        <v>89.8</v>
      </c>
      <c r="E138" s="106">
        <v>27</v>
      </c>
      <c r="F138" s="25">
        <v>60</v>
      </c>
      <c r="G138" s="27">
        <v>18</v>
      </c>
      <c r="H138" s="28">
        <v>1232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3</v>
      </c>
      <c r="R138" s="15">
        <v>2</v>
      </c>
      <c r="S138" s="113" t="s">
        <v>64</v>
      </c>
      <c r="T138" s="8" t="s">
        <v>305</v>
      </c>
      <c r="U138" s="13"/>
      <c r="W138" s="25">
        <f>D138</f>
        <v>89.8</v>
      </c>
      <c r="X138" s="106">
        <f>E138</f>
        <v>27</v>
      </c>
      <c r="Y138" s="32">
        <f>H138</f>
        <v>1232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3/2</v>
      </c>
      <c r="AH138" s="36" t="str">
        <f>IF(A138="","",A138)</f>
        <v>주안더월드스테이트</v>
      </c>
      <c r="AI138" s="106">
        <f>IF(E138="","",E138)</f>
        <v>27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O</v>
      </c>
      <c r="AU138" s="113" t="str">
        <f>IF(C138="","",IF(C138&gt;=$AU$1,"O","X"))</f>
        <v>O</v>
      </c>
      <c r="AV138" s="113" t="str">
        <f>IF(AO138="","",IF(AND(AO138="O",AP138="O",AR138="O",AT138="O",AU138="O"),"후보","X"))</f>
        <v/>
      </c>
    </row>
    <row r="139" spans="1:48" x14ac:dyDescent="0.3">
      <c r="A139" s="5" t="s">
        <v>3317</v>
      </c>
      <c r="B139" s="16" t="s">
        <v>3318</v>
      </c>
      <c r="C139" s="28">
        <v>3158</v>
      </c>
      <c r="D139" s="25">
        <v>90.6</v>
      </c>
      <c r="E139" s="106">
        <v>27</v>
      </c>
      <c r="F139" s="25">
        <v>60</v>
      </c>
      <c r="G139" s="27">
        <v>18</v>
      </c>
      <c r="H139" s="28">
        <v>23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3</v>
      </c>
      <c r="R139" s="15">
        <v>2</v>
      </c>
      <c r="S139" s="113" t="s">
        <v>64</v>
      </c>
      <c r="T139" s="8" t="s">
        <v>830</v>
      </c>
      <c r="U139" s="13"/>
      <c r="W139" s="25">
        <f>D139</f>
        <v>90.6</v>
      </c>
      <c r="X139" s="106">
        <f>E139</f>
        <v>27</v>
      </c>
      <c r="Y139" s="32">
        <f>H139</f>
        <v>23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3/2</v>
      </c>
      <c r="AH139" s="36" t="str">
        <f>IF(A139="","",A139)</f>
        <v>주안더월드스테이트</v>
      </c>
      <c r="AI139" s="106">
        <f>IF(E139="","",E139)</f>
        <v>27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O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  <row r="140" spans="1:48" x14ac:dyDescent="0.3">
      <c r="A140" s="5" t="s">
        <v>3317</v>
      </c>
      <c r="B140" s="16" t="s">
        <v>3318</v>
      </c>
      <c r="C140" s="28">
        <v>3158</v>
      </c>
      <c r="D140" s="25">
        <v>93.7</v>
      </c>
      <c r="E140" s="106">
        <v>28</v>
      </c>
      <c r="F140" s="25">
        <v>60</v>
      </c>
      <c r="G140" s="27">
        <v>18</v>
      </c>
      <c r="H140" s="28">
        <v>118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3</v>
      </c>
      <c r="R140" s="15">
        <v>2</v>
      </c>
      <c r="S140" s="113" t="s">
        <v>64</v>
      </c>
      <c r="T140" s="8">
        <v>93</v>
      </c>
      <c r="U140" s="13"/>
      <c r="W140" s="25">
        <f>D140</f>
        <v>93.7</v>
      </c>
      <c r="X140" s="106">
        <f>E140</f>
        <v>28</v>
      </c>
      <c r="Y140" s="32">
        <f>H140</f>
        <v>118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3/2</v>
      </c>
      <c r="AH140" s="36" t="str">
        <f>IF(A140="","",A140)</f>
        <v>주안더월드스테이트</v>
      </c>
      <c r="AI140" s="106">
        <f>IF(E140="","",E140)</f>
        <v>28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O</v>
      </c>
      <c r="AU140" s="113" t="str">
        <f>IF(C140="","",IF(C140&gt;=$AU$1,"O","X"))</f>
        <v>O</v>
      </c>
      <c r="AV140" s="113" t="str">
        <f>IF(AO140="","",IF(AND(AO140="O",AP140="O",AR140="O",AT140="O",AU140="O"),"후보","X"))</f>
        <v/>
      </c>
    </row>
    <row r="141" spans="1:48" x14ac:dyDescent="0.3">
      <c r="A141" s="5" t="s">
        <v>3317</v>
      </c>
      <c r="B141" s="16" t="s">
        <v>3318</v>
      </c>
      <c r="C141" s="28">
        <v>3158</v>
      </c>
      <c r="D141" s="25">
        <v>115.8</v>
      </c>
      <c r="E141" s="106">
        <v>35</v>
      </c>
      <c r="F141" s="25">
        <v>85</v>
      </c>
      <c r="G141" s="27">
        <v>26</v>
      </c>
      <c r="H141" s="28">
        <v>831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3</v>
      </c>
      <c r="R141" s="15">
        <v>2</v>
      </c>
      <c r="S141" s="113" t="s">
        <v>64</v>
      </c>
      <c r="T141" s="8">
        <v>115</v>
      </c>
      <c r="U141" s="13"/>
      <c r="W141" s="25">
        <f>D141</f>
        <v>115.8</v>
      </c>
      <c r="X141" s="106">
        <f>E141</f>
        <v>35</v>
      </c>
      <c r="Y141" s="32">
        <f>H141</f>
        <v>831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계</v>
      </c>
      <c r="AF141" s="15" t="str">
        <f>Q141&amp;"/"&amp;R141</f>
        <v>3/2</v>
      </c>
      <c r="AH141" s="36" t="str">
        <f>IF(A141="","",A141)</f>
        <v>주안더월드스테이트</v>
      </c>
      <c r="AI141" s="106">
        <f>IF(E141="","",E141)</f>
        <v>35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O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3317</v>
      </c>
      <c r="B142" s="16" t="s">
        <v>3318</v>
      </c>
      <c r="C142" s="28">
        <v>3158</v>
      </c>
      <c r="D142" s="25">
        <v>118.1</v>
      </c>
      <c r="E142" s="106">
        <v>36</v>
      </c>
      <c r="F142" s="25">
        <v>85</v>
      </c>
      <c r="G142" s="27">
        <v>26</v>
      </c>
      <c r="H142" s="28">
        <v>74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3</v>
      </c>
      <c r="R142" s="15">
        <v>2</v>
      </c>
      <c r="S142" s="113" t="s">
        <v>64</v>
      </c>
      <c r="T142" s="8" t="s">
        <v>1658</v>
      </c>
      <c r="U142" s="13"/>
      <c r="W142" s="25">
        <f>D142</f>
        <v>118.1</v>
      </c>
      <c r="X142" s="106">
        <f>E142</f>
        <v>36</v>
      </c>
      <c r="Y142" s="32">
        <f>H142</f>
        <v>74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3/2</v>
      </c>
      <c r="AH142" s="36" t="str">
        <f>IF(A142="","",A142)</f>
        <v>주안더월드스테이트</v>
      </c>
      <c r="AI142" s="106">
        <f>IF(E142="","",E142)</f>
        <v>36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O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5" t="s">
        <v>3317</v>
      </c>
      <c r="B143" s="16" t="s">
        <v>3318</v>
      </c>
      <c r="C143" s="28">
        <v>3158</v>
      </c>
      <c r="D143" s="25">
        <v>118.1</v>
      </c>
      <c r="E143" s="106">
        <v>36</v>
      </c>
      <c r="F143" s="25">
        <v>85</v>
      </c>
      <c r="G143" s="27">
        <v>26</v>
      </c>
      <c r="H143" s="28">
        <v>66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3</v>
      </c>
      <c r="R143" s="15">
        <v>2</v>
      </c>
      <c r="S143" s="113" t="s">
        <v>64</v>
      </c>
      <c r="T143" s="8" t="s">
        <v>1659</v>
      </c>
      <c r="U143" s="13"/>
      <c r="W143" s="25">
        <f>D143</f>
        <v>118.1</v>
      </c>
      <c r="X143" s="106">
        <f>E143</f>
        <v>36</v>
      </c>
      <c r="Y143" s="32">
        <f>H143</f>
        <v>66</v>
      </c>
      <c r="Z143" s="6">
        <f>I143</f>
        <v>0</v>
      </c>
      <c r="AA143" s="6">
        <f>K143</f>
        <v>0</v>
      </c>
      <c r="AB143" s="6">
        <f>M143</f>
        <v>0</v>
      </c>
      <c r="AC143" s="7" t="str">
        <f>N143</f>
        <v/>
      </c>
      <c r="AD143" s="14">
        <f>O143</f>
        <v>0</v>
      </c>
      <c r="AE143" s="113" t="str">
        <f>S143</f>
        <v>계</v>
      </c>
      <c r="AF143" s="15" t="str">
        <f>Q143&amp;"/"&amp;R143</f>
        <v>3/2</v>
      </c>
      <c r="AH143" s="36" t="str">
        <f>IF(A143="","",A143)</f>
        <v>주안더월드스테이트</v>
      </c>
      <c r="AI143" s="106">
        <f>IF(E143="","",E143)</f>
        <v>36</v>
      </c>
      <c r="AJ143" s="113" t="str">
        <f>IF(AI143="","",$AJ$2)</f>
        <v>A-</v>
      </c>
      <c r="AK143" s="113" t="s">
        <v>42</v>
      </c>
      <c r="AL143" s="113" t="s">
        <v>45</v>
      </c>
      <c r="AM143" s="113" t="s">
        <v>46</v>
      </c>
      <c r="AN143" s="113" t="str">
        <f>IF(AI143="","",$AN$2)</f>
        <v>C</v>
      </c>
      <c r="AO143" s="113" t="str">
        <f>IF(N143="","",IF(N143&gt;=$AO$1/100,"O","X"))</f>
        <v/>
      </c>
      <c r="AP143" s="113" t="str">
        <f>IF(I143="","",IF(I143&lt;=$AP$1,"O","X"))</f>
        <v/>
      </c>
      <c r="AQ143" s="113" t="str">
        <f>IF(O143="","",IF(O143&lt;=$AQ$1,"O","X"))</f>
        <v>O</v>
      </c>
      <c r="AR143" s="113" t="str">
        <f>IF(M143="","",IF(M143&lt;=$AR$1,"O","X"))</f>
        <v>O</v>
      </c>
      <c r="AS143" s="113" t="s">
        <v>32</v>
      </c>
      <c r="AT143" s="113" t="str">
        <f>IF(OR(F143="",AI143=""),"",IF(AND((F143&lt;=85),(AI143&gt;=15)),"O","X"))</f>
        <v>O</v>
      </c>
      <c r="AU143" s="113" t="str">
        <f>IF(C143="","",IF(C143&gt;=$AU$1,"O","X"))</f>
        <v>O</v>
      </c>
      <c r="AV143" s="113" t="str">
        <f>IF(AO143="","",IF(AND(AO143="O",AP143="O",AR143="O",AT143="O",AU143="O"),"후보","X"))</f>
        <v/>
      </c>
    </row>
    <row r="144" spans="1:48" x14ac:dyDescent="0.3">
      <c r="A144" s="5" t="s">
        <v>3317</v>
      </c>
      <c r="B144" s="16" t="s">
        <v>3318</v>
      </c>
      <c r="C144" s="28">
        <v>3158</v>
      </c>
      <c r="D144" s="25">
        <v>119.5</v>
      </c>
      <c r="E144" s="106">
        <v>36</v>
      </c>
      <c r="F144" s="25">
        <v>85</v>
      </c>
      <c r="G144" s="27">
        <v>26</v>
      </c>
      <c r="H144" s="28">
        <v>280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3</v>
      </c>
      <c r="R144" s="15">
        <v>2</v>
      </c>
      <c r="S144" s="113" t="s">
        <v>64</v>
      </c>
      <c r="T144" s="8" t="s">
        <v>2804</v>
      </c>
      <c r="U144" s="13"/>
      <c r="W144" s="25">
        <f>D144</f>
        <v>119.5</v>
      </c>
      <c r="X144" s="106">
        <f>E144</f>
        <v>36</v>
      </c>
      <c r="Y144" s="32">
        <f>H144</f>
        <v>280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3/2</v>
      </c>
      <c r="AH144" s="36" t="str">
        <f>IF(A144="","",A144)</f>
        <v>주안더월드스테이트</v>
      </c>
      <c r="AI144" s="106">
        <f>IF(E144="","",E144)</f>
        <v>36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O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3317</v>
      </c>
      <c r="B145" s="16" t="s">
        <v>3318</v>
      </c>
      <c r="C145" s="28">
        <v>3158</v>
      </c>
      <c r="D145" s="25">
        <v>139.9</v>
      </c>
      <c r="E145" s="106">
        <v>42</v>
      </c>
      <c r="F145" s="25">
        <v>110.8</v>
      </c>
      <c r="G145" s="27">
        <v>34</v>
      </c>
      <c r="H145" s="28">
        <v>2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4</v>
      </c>
      <c r="R145" s="15">
        <v>2</v>
      </c>
      <c r="S145" s="113" t="s">
        <v>64</v>
      </c>
      <c r="T145" s="8">
        <v>139</v>
      </c>
      <c r="U145" s="13"/>
      <c r="W145" s="25">
        <f>D145</f>
        <v>139.9</v>
      </c>
      <c r="X145" s="106">
        <f>E145</f>
        <v>42</v>
      </c>
      <c r="Y145" s="32">
        <f>H145</f>
        <v>2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4/2</v>
      </c>
      <c r="AH145" s="36" t="str">
        <f>IF(A145="","",A145)</f>
        <v>주안더월드스테이트</v>
      </c>
      <c r="AI145" s="106">
        <f>IF(E145="","",E145)</f>
        <v>42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X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5" t="s">
        <v>3317</v>
      </c>
      <c r="B146" s="16" t="s">
        <v>3318</v>
      </c>
      <c r="C146" s="28">
        <v>3158</v>
      </c>
      <c r="D146" s="25">
        <v>158.30000000000001</v>
      </c>
      <c r="E146" s="106">
        <v>48</v>
      </c>
      <c r="F146" s="25">
        <v>126.9</v>
      </c>
      <c r="G146" s="27">
        <v>38</v>
      </c>
      <c r="H146" s="28">
        <v>427</v>
      </c>
      <c r="I146" s="33"/>
      <c r="J146" s="33"/>
      <c r="K146" s="33"/>
      <c r="L146" s="33"/>
      <c r="M146" s="6">
        <f>I146-K146</f>
        <v>0</v>
      </c>
      <c r="N146" s="7" t="str">
        <f>IF(ISERROR(K146/I146),"",K146/I146)</f>
        <v/>
      </c>
      <c r="O146" s="14">
        <f>I146/E146</f>
        <v>0</v>
      </c>
      <c r="P146" s="14">
        <f>K146/E146</f>
        <v>0</v>
      </c>
      <c r="Q146" s="15">
        <v>4</v>
      </c>
      <c r="R146" s="15">
        <v>2</v>
      </c>
      <c r="S146" s="113" t="s">
        <v>64</v>
      </c>
      <c r="T146" s="8" t="s">
        <v>2805</v>
      </c>
      <c r="U146" s="13"/>
      <c r="W146" s="25">
        <f>D146</f>
        <v>158.30000000000001</v>
      </c>
      <c r="X146" s="106">
        <f>E146</f>
        <v>48</v>
      </c>
      <c r="Y146" s="32">
        <f>H146</f>
        <v>427</v>
      </c>
      <c r="Z146" s="6">
        <f>I146</f>
        <v>0</v>
      </c>
      <c r="AA146" s="6">
        <f>K146</f>
        <v>0</v>
      </c>
      <c r="AB146" s="6">
        <f>M146</f>
        <v>0</v>
      </c>
      <c r="AC146" s="7" t="str">
        <f>N146</f>
        <v/>
      </c>
      <c r="AD146" s="14">
        <f>O146</f>
        <v>0</v>
      </c>
      <c r="AE146" s="113" t="str">
        <f>S146</f>
        <v>계</v>
      </c>
      <c r="AF146" s="15" t="str">
        <f>Q146&amp;"/"&amp;R146</f>
        <v>4/2</v>
      </c>
      <c r="AH146" s="36" t="str">
        <f>IF(A146="","",A146)</f>
        <v>주안더월드스테이트</v>
      </c>
      <c r="AI146" s="106">
        <f>IF(E146="","",E146)</f>
        <v>48</v>
      </c>
      <c r="AJ146" s="113" t="str">
        <f>IF(AI146="","",$AJ$2)</f>
        <v>A-</v>
      </c>
      <c r="AK146" s="113" t="s">
        <v>42</v>
      </c>
      <c r="AL146" s="113" t="s">
        <v>45</v>
      </c>
      <c r="AM146" s="113" t="s">
        <v>46</v>
      </c>
      <c r="AN146" s="113" t="str">
        <f>IF(AI146="","",$AN$2)</f>
        <v>C</v>
      </c>
      <c r="AO146" s="113" t="str">
        <f>IF(N146="","",IF(N146&gt;=$AO$1/100,"O","X"))</f>
        <v/>
      </c>
      <c r="AP146" s="113" t="str">
        <f>IF(I146="","",IF(I146&lt;=$AP$1,"O","X"))</f>
        <v/>
      </c>
      <c r="AQ146" s="113" t="str">
        <f>IF(O146="","",IF(O146&lt;=$AQ$1,"O","X"))</f>
        <v>O</v>
      </c>
      <c r="AR146" s="113" t="str">
        <f>IF(M146="","",IF(M146&lt;=$AR$1,"O","X"))</f>
        <v>O</v>
      </c>
      <c r="AS146" s="113" t="s">
        <v>32</v>
      </c>
      <c r="AT146" s="113" t="str">
        <f>IF(OR(F146="",AI146=""),"",IF(AND((F146&lt;=85),(AI146&gt;=15)),"O","X"))</f>
        <v>X</v>
      </c>
      <c r="AU146" s="113" t="str">
        <f>IF(C146="","",IF(C146&gt;=$AU$1,"O","X"))</f>
        <v>O</v>
      </c>
      <c r="AV146" s="113" t="str">
        <f>IF(AO146="","",IF(AND(AO146="O",AP146="O",AR146="O",AT146="O",AU146="O"),"후보","X"))</f>
        <v/>
      </c>
    </row>
    <row r="147" spans="1:48" x14ac:dyDescent="0.3">
      <c r="A147" s="5" t="s">
        <v>3317</v>
      </c>
      <c r="B147" s="16" t="s">
        <v>3318</v>
      </c>
      <c r="C147" s="28">
        <v>3158</v>
      </c>
      <c r="D147" s="25">
        <v>160.1</v>
      </c>
      <c r="E147" s="106">
        <v>48</v>
      </c>
      <c r="F147" s="25">
        <v>126.9</v>
      </c>
      <c r="G147" s="27">
        <v>38</v>
      </c>
      <c r="H147" s="28">
        <v>105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4</v>
      </c>
      <c r="R147" s="15">
        <v>2</v>
      </c>
      <c r="S147" s="113" t="s">
        <v>64</v>
      </c>
      <c r="T147" s="8" t="s">
        <v>2806</v>
      </c>
      <c r="U147" s="13"/>
      <c r="W147" s="25">
        <f>D147</f>
        <v>160.1</v>
      </c>
      <c r="X147" s="106">
        <f>E147</f>
        <v>48</v>
      </c>
      <c r="Y147" s="32">
        <f>H147</f>
        <v>105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계</v>
      </c>
      <c r="AF147" s="15" t="str">
        <f>Q147&amp;"/"&amp;R147</f>
        <v>4/2</v>
      </c>
      <c r="AH147" s="36" t="str">
        <f>IF(A147="","",A147)</f>
        <v>주안더월드스테이트</v>
      </c>
      <c r="AI147" s="106">
        <f>IF(E147="","",E147)</f>
        <v>48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X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9"/>
      <c r="B148" s="113"/>
      <c r="C148" s="10"/>
      <c r="D148" s="13"/>
      <c r="E148" s="20"/>
      <c r="F148" s="26"/>
      <c r="G148" s="13"/>
      <c r="H148" s="13"/>
      <c r="I148" s="13"/>
      <c r="J148" s="13"/>
      <c r="K148" s="13"/>
      <c r="L148" s="13"/>
      <c r="M148" s="13"/>
      <c r="N148" s="13"/>
      <c r="O148" s="29"/>
      <c r="P148" s="29"/>
      <c r="Q148" s="23"/>
      <c r="R148" s="23"/>
      <c r="S148" s="13"/>
      <c r="T148" s="70"/>
      <c r="U148" s="13"/>
      <c r="W148" s="107" t="str">
        <f>$A$4&amp;" "&amp;A149&amp;"("&amp;B149&amp;","&amp;C149&amp;"^)"</f>
        <v>주안동 연흥(1491-3)('85.12.,235^)</v>
      </c>
      <c r="X148" s="108"/>
      <c r="Y148" s="108"/>
      <c r="Z148" s="108"/>
      <c r="AA148" s="108"/>
      <c r="AB148" s="108"/>
      <c r="AC148" s="108"/>
      <c r="AD148" s="108"/>
      <c r="AE148" s="108"/>
      <c r="AF148" s="109"/>
      <c r="AH148" s="36" t="str">
        <f>IF(A148="","",A148)</f>
        <v/>
      </c>
      <c r="AI148" s="37" t="str">
        <f>IF(E148="","",E148)</f>
        <v/>
      </c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</row>
    <row r="149" spans="1:48" x14ac:dyDescent="0.3">
      <c r="A149" s="5" t="s">
        <v>3319</v>
      </c>
      <c r="B149" s="16" t="s">
        <v>3269</v>
      </c>
      <c r="C149" s="28">
        <v>235</v>
      </c>
      <c r="D149" s="25">
        <v>57.8</v>
      </c>
      <c r="E149" s="106">
        <v>17</v>
      </c>
      <c r="F149" s="25">
        <v>52.4</v>
      </c>
      <c r="G149" s="27">
        <v>16</v>
      </c>
      <c r="H149" s="28">
        <v>140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3</v>
      </c>
      <c r="R149" s="15">
        <v>1</v>
      </c>
      <c r="S149" s="113" t="s">
        <v>64</v>
      </c>
      <c r="T149" s="8">
        <v>57</v>
      </c>
      <c r="U149" s="13"/>
      <c r="W149" s="25">
        <f>D149</f>
        <v>57.8</v>
      </c>
      <c r="X149" s="106">
        <f>E149</f>
        <v>17</v>
      </c>
      <c r="Y149" s="32">
        <f>H149</f>
        <v>140</v>
      </c>
      <c r="Z149" s="6">
        <f>I149</f>
        <v>0</v>
      </c>
      <c r="AA149" s="6">
        <f>K149</f>
        <v>0</v>
      </c>
      <c r="AB149" s="6">
        <f>M149</f>
        <v>0</v>
      </c>
      <c r="AC149" s="7" t="str">
        <f>N149</f>
        <v/>
      </c>
      <c r="AD149" s="14">
        <f>O149</f>
        <v>0</v>
      </c>
      <c r="AE149" s="113" t="str">
        <f>S149</f>
        <v>계</v>
      </c>
      <c r="AF149" s="15" t="str">
        <f>Q149&amp;"/"&amp;R149</f>
        <v>3/1</v>
      </c>
      <c r="AH149" s="36" t="str">
        <f>IF(A149="","",A149)</f>
        <v>연흥(1491-3)</v>
      </c>
      <c r="AI149" s="106">
        <f>IF(E149="","",E149)</f>
        <v>17</v>
      </c>
      <c r="AJ149" s="113" t="str">
        <f>IF(AI149="","",$AJ$2)</f>
        <v>A-</v>
      </c>
      <c r="AK149" s="113" t="s">
        <v>42</v>
      </c>
      <c r="AL149" s="113" t="s">
        <v>45</v>
      </c>
      <c r="AM149" s="113" t="s">
        <v>46</v>
      </c>
      <c r="AN149" s="113" t="str">
        <f>IF(AI149="","",$AN$2)</f>
        <v>C</v>
      </c>
      <c r="AO149" s="113" t="str">
        <f>IF(N149="","",IF(N149&gt;=$AO$1/100,"O","X"))</f>
        <v/>
      </c>
      <c r="AP149" s="113" t="str">
        <f>IF(I149="","",IF(I149&lt;=$AP$1,"O","X"))</f>
        <v/>
      </c>
      <c r="AQ149" s="113" t="str">
        <f>IF(O149="","",IF(O149&lt;=$AQ$1,"O","X"))</f>
        <v>O</v>
      </c>
      <c r="AR149" s="113" t="str">
        <f>IF(M149="","",IF(M149&lt;=$AR$1,"O","X"))</f>
        <v>O</v>
      </c>
      <c r="AS149" s="113" t="s">
        <v>32</v>
      </c>
      <c r="AT149" s="113" t="str">
        <f>IF(OR(F149="",AI149=""),"",IF(AND((F149&lt;=85),(AI149&gt;=15)),"O","X"))</f>
        <v>O</v>
      </c>
      <c r="AU149" s="113" t="str">
        <f>IF(C149="","",IF(C149&gt;=$AU$1,"O","X"))</f>
        <v>X</v>
      </c>
      <c r="AV149" s="113" t="str">
        <f>IF(AO149="","",IF(AND(AO149="O",AP149="O",AR149="O",AT149="O",AU149="O"),"후보","X"))</f>
        <v/>
      </c>
    </row>
    <row r="150" spans="1:48" x14ac:dyDescent="0.3">
      <c r="A150" s="5" t="s">
        <v>3319</v>
      </c>
      <c r="B150" s="16" t="s">
        <v>3269</v>
      </c>
      <c r="C150" s="28">
        <v>235</v>
      </c>
      <c r="D150" s="25">
        <v>67.400000000000006</v>
      </c>
      <c r="E150" s="106">
        <v>20</v>
      </c>
      <c r="F150" s="25">
        <v>62</v>
      </c>
      <c r="G150" s="27">
        <v>19</v>
      </c>
      <c r="H150" s="28">
        <v>90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3</v>
      </c>
      <c r="R150" s="15">
        <v>1</v>
      </c>
      <c r="S150" s="113" t="s">
        <v>64</v>
      </c>
      <c r="T150" s="8">
        <v>67</v>
      </c>
      <c r="U150" s="13"/>
      <c r="W150" s="25">
        <f>D150</f>
        <v>67.400000000000006</v>
      </c>
      <c r="X150" s="106">
        <f>E150</f>
        <v>20</v>
      </c>
      <c r="Y150" s="32">
        <f>H150</f>
        <v>90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3/1</v>
      </c>
      <c r="AH150" s="36" t="str">
        <f>IF(A150="","",A150)</f>
        <v>연흥(1491-3)</v>
      </c>
      <c r="AI150" s="106">
        <f>IF(E150="","",E150)</f>
        <v>20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O</v>
      </c>
      <c r="AU150" s="113" t="str">
        <f>IF(C150="","",IF(C150&gt;=$AU$1,"O","X"))</f>
        <v>X</v>
      </c>
      <c r="AV150" s="113" t="str">
        <f>IF(AO150="","",IF(AND(AO150="O",AP150="O",AR150="O",AT150="O",AU150="O"),"후보","X"))</f>
        <v/>
      </c>
    </row>
    <row r="151" spans="1:48" x14ac:dyDescent="0.3">
      <c r="A151" s="5" t="s">
        <v>3319</v>
      </c>
      <c r="B151" s="16" t="s">
        <v>3269</v>
      </c>
      <c r="C151" s="28">
        <v>235</v>
      </c>
      <c r="D151" s="25">
        <v>73.7</v>
      </c>
      <c r="E151" s="106">
        <v>22</v>
      </c>
      <c r="F151" s="25">
        <v>62.9</v>
      </c>
      <c r="G151" s="27">
        <v>19</v>
      </c>
      <c r="H151" s="28">
        <v>5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3</v>
      </c>
      <c r="R151" s="15">
        <v>1</v>
      </c>
      <c r="S151" s="113" t="s">
        <v>64</v>
      </c>
      <c r="T151" s="8">
        <v>73</v>
      </c>
      <c r="U151" s="13"/>
      <c r="W151" s="25">
        <f>D151</f>
        <v>73.7</v>
      </c>
      <c r="X151" s="106">
        <f>E151</f>
        <v>22</v>
      </c>
      <c r="Y151" s="32">
        <f>H151</f>
        <v>5</v>
      </c>
      <c r="Z151" s="6">
        <f>I151</f>
        <v>0</v>
      </c>
      <c r="AA151" s="6">
        <f>K151</f>
        <v>0</v>
      </c>
      <c r="AB151" s="6">
        <f>M151</f>
        <v>0</v>
      </c>
      <c r="AC151" s="7" t="str">
        <f>N151</f>
        <v/>
      </c>
      <c r="AD151" s="14">
        <f>O151</f>
        <v>0</v>
      </c>
      <c r="AE151" s="113" t="str">
        <f>S151</f>
        <v>계</v>
      </c>
      <c r="AF151" s="15" t="str">
        <f>Q151&amp;"/"&amp;R151</f>
        <v>3/1</v>
      </c>
      <c r="AH151" s="36" t="str">
        <f>IF(A151="","",A151)</f>
        <v>연흥(1491-3)</v>
      </c>
      <c r="AI151" s="106">
        <f>IF(E151="","",E151)</f>
        <v>22</v>
      </c>
      <c r="AJ151" s="113" t="str">
        <f>IF(AI151="","",$AJ$2)</f>
        <v>A-</v>
      </c>
      <c r="AK151" s="113" t="s">
        <v>42</v>
      </c>
      <c r="AL151" s="113" t="s">
        <v>45</v>
      </c>
      <c r="AM151" s="113" t="s">
        <v>46</v>
      </c>
      <c r="AN151" s="113" t="str">
        <f>IF(AI151="","",$AN$2)</f>
        <v>C</v>
      </c>
      <c r="AO151" s="113" t="str">
        <f>IF(N151="","",IF(N151&gt;=$AO$1/100,"O","X"))</f>
        <v/>
      </c>
      <c r="AP151" s="113" t="str">
        <f>IF(I151="","",IF(I151&lt;=$AP$1,"O","X"))</f>
        <v/>
      </c>
      <c r="AQ151" s="113" t="str">
        <f>IF(O151="","",IF(O151&lt;=$AQ$1,"O","X"))</f>
        <v>O</v>
      </c>
      <c r="AR151" s="113" t="str">
        <f>IF(M151="","",IF(M151&lt;=$AR$1,"O","X"))</f>
        <v>O</v>
      </c>
      <c r="AS151" s="113" t="s">
        <v>32</v>
      </c>
      <c r="AT151" s="113" t="str">
        <f>IF(OR(F151="",AI151=""),"",IF(AND((F151&lt;=85),(AI151&gt;=15)),"O","X"))</f>
        <v>O</v>
      </c>
      <c r="AU151" s="113" t="str">
        <f>IF(C151="","",IF(C151&gt;=$AU$1,"O","X"))</f>
        <v>X</v>
      </c>
      <c r="AV151" s="113" t="str">
        <f>IF(AO151="","",IF(AND(AO151="O",AP151="O",AR151="O",AT151="O",AU151="O"),"후보","X"))</f>
        <v/>
      </c>
    </row>
    <row r="152" spans="1:48" x14ac:dyDescent="0.3">
      <c r="A152" s="9"/>
      <c r="B152" s="113"/>
      <c r="C152" s="10"/>
      <c r="D152" s="13"/>
      <c r="E152" s="20"/>
      <c r="F152" s="26"/>
      <c r="G152" s="13"/>
      <c r="H152" s="13"/>
      <c r="I152" s="13"/>
      <c r="J152" s="13"/>
      <c r="K152" s="13"/>
      <c r="L152" s="13"/>
      <c r="M152" s="13"/>
      <c r="N152" s="13"/>
      <c r="O152" s="29"/>
      <c r="P152" s="29"/>
      <c r="Q152" s="23"/>
      <c r="R152" s="23"/>
      <c r="S152" s="13"/>
      <c r="T152" s="70"/>
      <c r="U152" s="13"/>
      <c r="W152" s="107" t="str">
        <f>$A$4&amp;" "&amp;A153&amp;"("&amp;B153&amp;","&amp;C153&amp;"^)"</f>
        <v>주안동 주안역센트레빌('21.07.,1458^)</v>
      </c>
      <c r="X152" s="108"/>
      <c r="Y152" s="108"/>
      <c r="Z152" s="108"/>
      <c r="AA152" s="108"/>
      <c r="AB152" s="108"/>
      <c r="AC152" s="108"/>
      <c r="AD152" s="108"/>
      <c r="AE152" s="108"/>
      <c r="AF152" s="109"/>
      <c r="AH152" s="36" t="str">
        <f>IF(A152="","",A152)</f>
        <v/>
      </c>
      <c r="AI152" s="37" t="str">
        <f>IF(E152="","",E152)</f>
        <v/>
      </c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</row>
    <row r="153" spans="1:48" x14ac:dyDescent="0.3">
      <c r="A153" s="5" t="s">
        <v>3320</v>
      </c>
      <c r="B153" s="16" t="s">
        <v>3321</v>
      </c>
      <c r="C153" s="28">
        <v>1458</v>
      </c>
      <c r="D153" s="25">
        <v>71.900000000000006</v>
      </c>
      <c r="E153" s="106">
        <v>22</v>
      </c>
      <c r="F153" s="25">
        <v>48</v>
      </c>
      <c r="G153" s="27">
        <v>15</v>
      </c>
      <c r="H153" s="28">
        <v>87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2</v>
      </c>
      <c r="R153" s="15">
        <v>1</v>
      </c>
      <c r="S153" s="113" t="s">
        <v>64</v>
      </c>
      <c r="T153" s="8" t="s">
        <v>2127</v>
      </c>
      <c r="U153" s="13"/>
      <c r="W153" s="25">
        <f>D153</f>
        <v>71.900000000000006</v>
      </c>
      <c r="X153" s="106">
        <f>E153</f>
        <v>22</v>
      </c>
      <c r="Y153" s="32">
        <f>H153</f>
        <v>87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2/1</v>
      </c>
      <c r="AH153" s="36" t="str">
        <f>IF(A153="","",A153)</f>
        <v>주안역센트레빌</v>
      </c>
      <c r="AI153" s="106">
        <f>IF(E153="","",E153)</f>
        <v>22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O</v>
      </c>
      <c r="AU153" s="113" t="str">
        <f>IF(C153="","",IF(C153&gt;=$AU$1,"O","X"))</f>
        <v>O</v>
      </c>
      <c r="AV153" s="113" t="str">
        <f>IF(AO153="","",IF(AND(AO153="O",AP153="O",AR153="O",AT153="O",AU153="O"),"후보","X"))</f>
        <v/>
      </c>
    </row>
    <row r="154" spans="1:48" x14ac:dyDescent="0.3">
      <c r="A154" s="5" t="s">
        <v>3320</v>
      </c>
      <c r="B154" s="16" t="s">
        <v>3321</v>
      </c>
      <c r="C154" s="28">
        <v>1458</v>
      </c>
      <c r="D154" s="25">
        <v>82</v>
      </c>
      <c r="E154" s="106">
        <v>25</v>
      </c>
      <c r="F154" s="25">
        <v>60</v>
      </c>
      <c r="G154" s="27">
        <v>18</v>
      </c>
      <c r="H154" s="28">
        <v>167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3</v>
      </c>
      <c r="R154" s="15">
        <v>2</v>
      </c>
      <c r="S154" s="113" t="s">
        <v>64</v>
      </c>
      <c r="T154" s="8" t="s">
        <v>2825</v>
      </c>
      <c r="U154" s="13"/>
      <c r="W154" s="25">
        <f>D154</f>
        <v>82</v>
      </c>
      <c r="X154" s="106">
        <f>E154</f>
        <v>25</v>
      </c>
      <c r="Y154" s="32">
        <f>H154</f>
        <v>167</v>
      </c>
      <c r="Z154" s="6">
        <f>I154</f>
        <v>0</v>
      </c>
      <c r="AA154" s="6">
        <f>K154</f>
        <v>0</v>
      </c>
      <c r="AB154" s="6">
        <f>M154</f>
        <v>0</v>
      </c>
      <c r="AC154" s="7" t="str">
        <f>N154</f>
        <v/>
      </c>
      <c r="AD154" s="14">
        <f>O154</f>
        <v>0</v>
      </c>
      <c r="AE154" s="113" t="str">
        <f>S154</f>
        <v>계</v>
      </c>
      <c r="AF154" s="15" t="str">
        <f>Q154&amp;"/"&amp;R154</f>
        <v>3/2</v>
      </c>
      <c r="AH154" s="36" t="str">
        <f>IF(A154="","",A154)</f>
        <v>주안역센트레빌</v>
      </c>
      <c r="AI154" s="106">
        <f>IF(E154="","",E154)</f>
        <v>25</v>
      </c>
      <c r="AJ154" s="113" t="str">
        <f>IF(AI154="","",$AJ$2)</f>
        <v>A-</v>
      </c>
      <c r="AK154" s="113" t="s">
        <v>42</v>
      </c>
      <c r="AL154" s="113" t="s">
        <v>45</v>
      </c>
      <c r="AM154" s="113" t="s">
        <v>46</v>
      </c>
      <c r="AN154" s="113" t="str">
        <f>IF(AI154="","",$AN$2)</f>
        <v>C</v>
      </c>
      <c r="AO154" s="113" t="str">
        <f>IF(N154="","",IF(N154&gt;=$AO$1/100,"O","X"))</f>
        <v/>
      </c>
      <c r="AP154" s="113" t="str">
        <f>IF(I154="","",IF(I154&lt;=$AP$1,"O","X"))</f>
        <v/>
      </c>
      <c r="AQ154" s="113" t="str">
        <f>IF(O154="","",IF(O154&lt;=$AQ$1,"O","X"))</f>
        <v>O</v>
      </c>
      <c r="AR154" s="113" t="str">
        <f>IF(M154="","",IF(M154&lt;=$AR$1,"O","X"))</f>
        <v>O</v>
      </c>
      <c r="AS154" s="113" t="s">
        <v>32</v>
      </c>
      <c r="AT154" s="113" t="str">
        <f>IF(OR(F154="",AI154=""),"",IF(AND((F154&lt;=85),(AI154&gt;=15)),"O","X"))</f>
        <v>O</v>
      </c>
      <c r="AU154" s="113" t="str">
        <f>IF(C154="","",IF(C154&gt;=$AU$1,"O","X"))</f>
        <v>O</v>
      </c>
      <c r="AV154" s="113" t="str">
        <f>IF(AO154="","",IF(AND(AO154="O",AP154="O",AR154="O",AT154="O",AU154="O"),"후보","X"))</f>
        <v/>
      </c>
    </row>
    <row r="155" spans="1:48" x14ac:dyDescent="0.3">
      <c r="A155" s="5" t="s">
        <v>3320</v>
      </c>
      <c r="B155" s="16" t="s">
        <v>3321</v>
      </c>
      <c r="C155" s="28">
        <v>1458</v>
      </c>
      <c r="D155" s="25">
        <v>82.2</v>
      </c>
      <c r="E155" s="106">
        <v>25</v>
      </c>
      <c r="F155" s="25">
        <v>60</v>
      </c>
      <c r="G155" s="27">
        <v>18</v>
      </c>
      <c r="H155" s="28">
        <v>172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3</v>
      </c>
      <c r="R155" s="15">
        <v>2</v>
      </c>
      <c r="S155" s="113" t="s">
        <v>64</v>
      </c>
      <c r="T155" s="8" t="s">
        <v>1074</v>
      </c>
      <c r="U155" s="13"/>
      <c r="W155" s="25">
        <f>D155</f>
        <v>82.2</v>
      </c>
      <c r="X155" s="106">
        <f>E155</f>
        <v>25</v>
      </c>
      <c r="Y155" s="32">
        <f>H155</f>
        <v>172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계</v>
      </c>
      <c r="AF155" s="15" t="str">
        <f>Q155&amp;"/"&amp;R155</f>
        <v>3/2</v>
      </c>
      <c r="AH155" s="36" t="str">
        <f>IF(A155="","",A155)</f>
        <v>주안역센트레빌</v>
      </c>
      <c r="AI155" s="106">
        <f>IF(E155="","",E155)</f>
        <v>25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O</v>
      </c>
      <c r="AU155" s="113" t="str">
        <f>IF(C155="","",IF(C155&gt;=$AU$1,"O","X"))</f>
        <v>O</v>
      </c>
      <c r="AV155" s="113" t="str">
        <f>IF(AO155="","",IF(AND(AO155="O",AP155="O",AR155="O",AT155="O",AU155="O"),"후보","X"))</f>
        <v/>
      </c>
    </row>
    <row r="156" spans="1:48" x14ac:dyDescent="0.3">
      <c r="A156" s="5" t="s">
        <v>3320</v>
      </c>
      <c r="B156" s="16" t="s">
        <v>3321</v>
      </c>
      <c r="C156" s="28">
        <v>1458</v>
      </c>
      <c r="D156" s="25">
        <v>85.4</v>
      </c>
      <c r="E156" s="106">
        <v>26</v>
      </c>
      <c r="F156" s="25">
        <v>60</v>
      </c>
      <c r="G156" s="27">
        <v>18</v>
      </c>
      <c r="H156" s="28">
        <v>390</v>
      </c>
      <c r="I156" s="33"/>
      <c r="J156" s="33"/>
      <c r="K156" s="33"/>
      <c r="L156" s="33"/>
      <c r="M156" s="6">
        <f>I156-K156</f>
        <v>0</v>
      </c>
      <c r="N156" s="7" t="str">
        <f>IF(ISERROR(K156/I156),"",K156/I156)</f>
        <v/>
      </c>
      <c r="O156" s="14">
        <f>I156/E156</f>
        <v>0</v>
      </c>
      <c r="P156" s="14">
        <f>K156/E156</f>
        <v>0</v>
      </c>
      <c r="Q156" s="15">
        <v>3</v>
      </c>
      <c r="R156" s="15">
        <v>2</v>
      </c>
      <c r="S156" s="113" t="s">
        <v>64</v>
      </c>
      <c r="T156" s="8" t="s">
        <v>434</v>
      </c>
      <c r="U156" s="13"/>
      <c r="W156" s="25">
        <f>D156</f>
        <v>85.4</v>
      </c>
      <c r="X156" s="106">
        <f>E156</f>
        <v>26</v>
      </c>
      <c r="Y156" s="32">
        <f>H156</f>
        <v>390</v>
      </c>
      <c r="Z156" s="6">
        <f>I156</f>
        <v>0</v>
      </c>
      <c r="AA156" s="6">
        <f>K156</f>
        <v>0</v>
      </c>
      <c r="AB156" s="6">
        <f>M156</f>
        <v>0</v>
      </c>
      <c r="AC156" s="7" t="str">
        <f>N156</f>
        <v/>
      </c>
      <c r="AD156" s="14">
        <f>O156</f>
        <v>0</v>
      </c>
      <c r="AE156" s="113" t="str">
        <f>S156</f>
        <v>계</v>
      </c>
      <c r="AF156" s="15" t="str">
        <f>Q156&amp;"/"&amp;R156</f>
        <v>3/2</v>
      </c>
      <c r="AH156" s="36" t="str">
        <f>IF(A156="","",A156)</f>
        <v>주안역센트레빌</v>
      </c>
      <c r="AI156" s="106">
        <f>IF(E156="","",E156)</f>
        <v>26</v>
      </c>
      <c r="AJ156" s="113" t="str">
        <f>IF(AI156="","",$AJ$2)</f>
        <v>A-</v>
      </c>
      <c r="AK156" s="113" t="s">
        <v>42</v>
      </c>
      <c r="AL156" s="113" t="s">
        <v>45</v>
      </c>
      <c r="AM156" s="113" t="s">
        <v>46</v>
      </c>
      <c r="AN156" s="113" t="str">
        <f>IF(AI156="","",$AN$2)</f>
        <v>C</v>
      </c>
      <c r="AO156" s="113" t="str">
        <f>IF(N156="","",IF(N156&gt;=$AO$1/100,"O","X"))</f>
        <v/>
      </c>
      <c r="AP156" s="113" t="str">
        <f>IF(I156="","",IF(I156&lt;=$AP$1,"O","X"))</f>
        <v/>
      </c>
      <c r="AQ156" s="113" t="str">
        <f>IF(O156="","",IF(O156&lt;=$AQ$1,"O","X"))</f>
        <v>O</v>
      </c>
      <c r="AR156" s="113" t="str">
        <f>IF(M156="","",IF(M156&lt;=$AR$1,"O","X"))</f>
        <v>O</v>
      </c>
      <c r="AS156" s="113" t="s">
        <v>32</v>
      </c>
      <c r="AT156" s="113" t="str">
        <f>IF(OR(F156="",AI156=""),"",IF(AND((F156&lt;=85),(AI156&gt;=15)),"O","X"))</f>
        <v>O</v>
      </c>
      <c r="AU156" s="113" t="str">
        <f>IF(C156="","",IF(C156&gt;=$AU$1,"O","X"))</f>
        <v>O</v>
      </c>
      <c r="AV156" s="113" t="str">
        <f>IF(AO156="","",IF(AND(AO156="O",AP156="O",AR156="O",AT156="O",AU156="O"),"후보","X"))</f>
        <v/>
      </c>
    </row>
    <row r="157" spans="1:48" x14ac:dyDescent="0.3">
      <c r="A157" s="5" t="s">
        <v>3320</v>
      </c>
      <c r="B157" s="16" t="s">
        <v>3321</v>
      </c>
      <c r="C157" s="28">
        <v>1458</v>
      </c>
      <c r="D157" s="25">
        <v>86.9</v>
      </c>
      <c r="E157" s="106">
        <v>26</v>
      </c>
      <c r="F157" s="25">
        <v>60</v>
      </c>
      <c r="G157" s="27">
        <v>18</v>
      </c>
      <c r="H157" s="28">
        <v>109</v>
      </c>
      <c r="I157" s="33"/>
      <c r="J157" s="33"/>
      <c r="K157" s="33"/>
      <c r="L157" s="33"/>
      <c r="M157" s="6">
        <f>I157-K157</f>
        <v>0</v>
      </c>
      <c r="N157" s="7" t="str">
        <f>IF(ISERROR(K157/I157),"",K157/I157)</f>
        <v/>
      </c>
      <c r="O157" s="14">
        <f>I157/E157</f>
        <v>0</v>
      </c>
      <c r="P157" s="14">
        <f>K157/E157</f>
        <v>0</v>
      </c>
      <c r="Q157" s="15">
        <v>3</v>
      </c>
      <c r="R157" s="15">
        <v>2</v>
      </c>
      <c r="S157" s="113" t="s">
        <v>64</v>
      </c>
      <c r="T157" s="8" t="s">
        <v>991</v>
      </c>
      <c r="U157" s="13"/>
      <c r="W157" s="25">
        <f>D157</f>
        <v>86.9</v>
      </c>
      <c r="X157" s="106">
        <f>E157</f>
        <v>26</v>
      </c>
      <c r="Y157" s="32">
        <f>H157</f>
        <v>109</v>
      </c>
      <c r="Z157" s="6">
        <f>I157</f>
        <v>0</v>
      </c>
      <c r="AA157" s="6">
        <f>K157</f>
        <v>0</v>
      </c>
      <c r="AB157" s="6">
        <f>M157</f>
        <v>0</v>
      </c>
      <c r="AC157" s="7" t="str">
        <f>N157</f>
        <v/>
      </c>
      <c r="AD157" s="14">
        <f>O157</f>
        <v>0</v>
      </c>
      <c r="AE157" s="113" t="str">
        <f>S157</f>
        <v>계</v>
      </c>
      <c r="AF157" s="15" t="str">
        <f>Q157&amp;"/"&amp;R157</f>
        <v>3/2</v>
      </c>
      <c r="AH157" s="36" t="str">
        <f>IF(A157="","",A157)</f>
        <v>주안역센트레빌</v>
      </c>
      <c r="AI157" s="106">
        <f>IF(E157="","",E157)</f>
        <v>26</v>
      </c>
      <c r="AJ157" s="113" t="str">
        <f>IF(AI157="","",$AJ$2)</f>
        <v>A-</v>
      </c>
      <c r="AK157" s="113" t="s">
        <v>42</v>
      </c>
      <c r="AL157" s="113" t="s">
        <v>45</v>
      </c>
      <c r="AM157" s="113" t="s">
        <v>46</v>
      </c>
      <c r="AN157" s="113" t="str">
        <f>IF(AI157="","",$AN$2)</f>
        <v>C</v>
      </c>
      <c r="AO157" s="113" t="str">
        <f>IF(N157="","",IF(N157&gt;=$AO$1/100,"O","X"))</f>
        <v/>
      </c>
      <c r="AP157" s="113" t="str">
        <f>IF(I157="","",IF(I157&lt;=$AP$1,"O","X"))</f>
        <v/>
      </c>
      <c r="AQ157" s="113" t="str">
        <f>IF(O157="","",IF(O157&lt;=$AQ$1,"O","X"))</f>
        <v>O</v>
      </c>
      <c r="AR157" s="113" t="str">
        <f>IF(M157="","",IF(M157&lt;=$AR$1,"O","X"))</f>
        <v>O</v>
      </c>
      <c r="AS157" s="113" t="s">
        <v>32</v>
      </c>
      <c r="AT157" s="113" t="str">
        <f>IF(OR(F157="",AI157=""),"",IF(AND((F157&lt;=85),(AI157&gt;=15)),"O","X"))</f>
        <v>O</v>
      </c>
      <c r="AU157" s="113" t="str">
        <f>IF(C157="","",IF(C157&gt;=$AU$1,"O","X"))</f>
        <v>O</v>
      </c>
      <c r="AV157" s="113" t="str">
        <f>IF(AO157="","",IF(AND(AO157="O",AP157="O",AR157="O",AT157="O",AU157="O"),"후보","X"))</f>
        <v/>
      </c>
    </row>
    <row r="158" spans="1:48" x14ac:dyDescent="0.3">
      <c r="A158" s="5" t="s">
        <v>3320</v>
      </c>
      <c r="B158" s="16" t="s">
        <v>3321</v>
      </c>
      <c r="C158" s="28">
        <v>1458</v>
      </c>
      <c r="D158" s="25">
        <v>99.2</v>
      </c>
      <c r="E158" s="106">
        <v>30</v>
      </c>
      <c r="F158" s="25">
        <v>75</v>
      </c>
      <c r="G158" s="27">
        <v>23</v>
      </c>
      <c r="H158" s="28">
        <v>114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2</v>
      </c>
      <c r="S158" s="113" t="s">
        <v>64</v>
      </c>
      <c r="T158" s="8" t="s">
        <v>1053</v>
      </c>
      <c r="U158" s="13"/>
      <c r="W158" s="25">
        <f>D158</f>
        <v>99.2</v>
      </c>
      <c r="X158" s="106">
        <f>E158</f>
        <v>30</v>
      </c>
      <c r="Y158" s="32">
        <f>H158</f>
        <v>114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계</v>
      </c>
      <c r="AF158" s="15" t="str">
        <f>Q158&amp;"/"&amp;R158</f>
        <v>3/2</v>
      </c>
      <c r="AH158" s="36" t="str">
        <f>IF(A158="","",A158)</f>
        <v>주안역센트레빌</v>
      </c>
      <c r="AI158" s="106">
        <f>IF(E158="","",E158)</f>
        <v>30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O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3320</v>
      </c>
      <c r="B159" s="16" t="s">
        <v>3321</v>
      </c>
      <c r="C159" s="28">
        <v>1458</v>
      </c>
      <c r="D159" s="25">
        <v>100.1</v>
      </c>
      <c r="E159" s="106">
        <v>30</v>
      </c>
      <c r="F159" s="25">
        <v>74.900000000000006</v>
      </c>
      <c r="G159" s="27">
        <v>23</v>
      </c>
      <c r="H159" s="28">
        <v>111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3</v>
      </c>
      <c r="R159" s="15">
        <v>2</v>
      </c>
      <c r="S159" s="113" t="s">
        <v>64</v>
      </c>
      <c r="T159" s="8" t="s">
        <v>601</v>
      </c>
      <c r="U159" s="13"/>
      <c r="W159" s="25">
        <f>D159</f>
        <v>100.1</v>
      </c>
      <c r="X159" s="106">
        <f>E159</f>
        <v>30</v>
      </c>
      <c r="Y159" s="32">
        <f>H159</f>
        <v>111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계</v>
      </c>
      <c r="AF159" s="15" t="str">
        <f>Q159&amp;"/"&amp;R159</f>
        <v>3/2</v>
      </c>
      <c r="AH159" s="36" t="str">
        <f>IF(A159="","",A159)</f>
        <v>주안역센트레빌</v>
      </c>
      <c r="AI159" s="106">
        <f>IF(E159="","",E159)</f>
        <v>30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O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3320</v>
      </c>
      <c r="B160" s="16" t="s">
        <v>3321</v>
      </c>
      <c r="C160" s="28">
        <v>1458</v>
      </c>
      <c r="D160" s="25">
        <v>109.9</v>
      </c>
      <c r="E160" s="106">
        <v>33</v>
      </c>
      <c r="F160" s="25">
        <v>84.8</v>
      </c>
      <c r="G160" s="27">
        <v>26</v>
      </c>
      <c r="H160" s="28">
        <v>132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2</v>
      </c>
      <c r="S160" s="113" t="s">
        <v>64</v>
      </c>
      <c r="T160" s="8" t="s">
        <v>864</v>
      </c>
      <c r="U160" s="13"/>
      <c r="W160" s="25">
        <f>D160</f>
        <v>109.9</v>
      </c>
      <c r="X160" s="106">
        <f>E160</f>
        <v>33</v>
      </c>
      <c r="Y160" s="32">
        <f>H160</f>
        <v>132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계</v>
      </c>
      <c r="AF160" s="15" t="str">
        <f>Q160&amp;"/"&amp;R160</f>
        <v>3/2</v>
      </c>
      <c r="AH160" s="36" t="str">
        <f>IF(A160="","",A160)</f>
        <v>주안역센트레빌</v>
      </c>
      <c r="AI160" s="106">
        <f>IF(E160="","",E160)</f>
        <v>33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O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3320</v>
      </c>
      <c r="B161" s="16" t="s">
        <v>3321</v>
      </c>
      <c r="C161" s="28">
        <v>1458</v>
      </c>
      <c r="D161" s="25">
        <v>110.9</v>
      </c>
      <c r="E161" s="106">
        <v>34</v>
      </c>
      <c r="F161" s="25">
        <v>85</v>
      </c>
      <c r="G161" s="27">
        <v>26</v>
      </c>
      <c r="H161" s="28">
        <v>130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3</v>
      </c>
      <c r="R161" s="15">
        <v>2</v>
      </c>
      <c r="S161" s="113" t="s">
        <v>64</v>
      </c>
      <c r="T161" s="8" t="s">
        <v>440</v>
      </c>
      <c r="U161" s="13"/>
      <c r="W161" s="25">
        <f>D161</f>
        <v>110.9</v>
      </c>
      <c r="X161" s="106">
        <f>E161</f>
        <v>34</v>
      </c>
      <c r="Y161" s="32">
        <f>H161</f>
        <v>130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계</v>
      </c>
      <c r="AF161" s="15" t="str">
        <f>Q161&amp;"/"&amp;R161</f>
        <v>3/2</v>
      </c>
      <c r="AH161" s="36" t="str">
        <f>IF(A161="","",A161)</f>
        <v>주안역센트레빌</v>
      </c>
      <c r="AI161" s="106">
        <f>IF(E161="","",E161)</f>
        <v>34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O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</sheetData>
  <mergeCells count="1">
    <mergeCell ref="AJ1:AN1"/>
  </mergeCells>
  <phoneticPr fontId="2" type="noConversion"/>
  <conditionalFormatting sqref="AV4:AV6">
    <cfRule type="expression" dxfId="4193" priority="2685">
      <formula>AV4="X"</formula>
    </cfRule>
    <cfRule type="expression" dxfId="4192" priority="2686">
      <formula>AV4="후보"</formula>
    </cfRule>
  </conditionalFormatting>
  <conditionalFormatting sqref="Z2:Z6">
    <cfRule type="colorScale" priority="2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191" priority="2682" operator="greaterThan">
      <formula>0.9</formula>
    </cfRule>
    <cfRule type="cellIs" dxfId="4190" priority="2683" operator="greaterThan">
      <formula>0.85</formula>
    </cfRule>
  </conditionalFormatting>
  <conditionalFormatting sqref="N1:N2">
    <cfRule type="cellIs" dxfId="4189" priority="2680" operator="greaterThan">
      <formula>0.9</formula>
    </cfRule>
    <cfRule type="cellIs" dxfId="4188" priority="2681" operator="greaterThan">
      <formula>0.85</formula>
    </cfRule>
  </conditionalFormatting>
  <conditionalFormatting sqref="N6">
    <cfRule type="cellIs" dxfId="4187" priority="2678" operator="greaterThan">
      <formula>0.9</formula>
    </cfRule>
    <cfRule type="cellIs" dxfId="4186" priority="2679" operator="greaterThan">
      <formula>0.85</formula>
    </cfRule>
  </conditionalFormatting>
  <conditionalFormatting sqref="E6">
    <cfRule type="expression" dxfId="4185" priority="2674">
      <formula>AND(IF(OR($Q6=1,$Q6=2),1,0),IF($X6&lt;=20,1,0))</formula>
    </cfRule>
    <cfRule type="expression" dxfId="4184" priority="2675">
      <formula>AND(IF($Q6=2,1,0),IF($X6&lt;30,1,0))</formula>
    </cfRule>
    <cfRule type="expression" dxfId="4183" priority="2676">
      <formula>AND(IF($Q6=3,1,0),IF($X6&lt;30,1,0))</formula>
    </cfRule>
    <cfRule type="expression" dxfId="4182" priority="2677">
      <formula>AND(IF($Q6=3,1,IF($Q6=4,1,0)),IF($F6&lt;=85,1,0))</formula>
    </cfRule>
  </conditionalFormatting>
  <conditionalFormatting sqref="X6">
    <cfRule type="expression" dxfId="4181" priority="2670">
      <formula>AND(IF(OR($Q6=1,$Q6=2),1,0),IF($X6&lt;=20,1,0))</formula>
    </cfRule>
    <cfRule type="expression" dxfId="4180" priority="2671">
      <formula>AND(IF($Q6=2,1,0),IF($X6&lt;30,1,0))</formula>
    </cfRule>
    <cfRule type="expression" dxfId="4179" priority="2672">
      <formula>AND(IF($Q6=3,1,0),IF($X6&lt;30,1,0))</formula>
    </cfRule>
    <cfRule type="expression" dxfId="4178" priority="2673">
      <formula>AND(IF($Q6=3,1,IF($Q6=4,1,0)),IF($F6&lt;=85,1,0))</formula>
    </cfRule>
  </conditionalFormatting>
  <conditionalFormatting sqref="AI6">
    <cfRule type="expression" dxfId="4177" priority="2666">
      <formula>AND(IF(OR($Q6=1,$Q6=2),1,0),IF($X6&lt;=20,1,0))</formula>
    </cfRule>
    <cfRule type="expression" dxfId="4176" priority="2667">
      <formula>AND(IF($Q6=2,1,0),IF($X6&lt;30,1,0))</formula>
    </cfRule>
    <cfRule type="expression" dxfId="4175" priority="2668">
      <formula>AND(IF($Q6=3,1,0),IF($X6&lt;30,1,0))</formula>
    </cfRule>
    <cfRule type="expression" dxfId="4174" priority="2669">
      <formula>AND(IF($Q6=3,1,IF($Q6=4,1,0)),IF($F6&lt;=85,1,0))</formula>
    </cfRule>
  </conditionalFormatting>
  <conditionalFormatting sqref="AV7">
    <cfRule type="expression" dxfId="4173" priority="2664">
      <formula>AV7="X"</formula>
    </cfRule>
    <cfRule type="expression" dxfId="4172" priority="2665">
      <formula>AV7="후보"</formula>
    </cfRule>
  </conditionalFormatting>
  <conditionalFormatting sqref="Z7">
    <cfRule type="colorScale" priority="2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171" priority="2661" operator="greaterThan">
      <formula>0.9</formula>
    </cfRule>
    <cfRule type="cellIs" dxfId="4170" priority="2662" operator="greaterThan">
      <formula>0.85</formula>
    </cfRule>
  </conditionalFormatting>
  <conditionalFormatting sqref="N7">
    <cfRule type="cellIs" dxfId="4169" priority="2659" operator="greaterThan">
      <formula>0.9</formula>
    </cfRule>
    <cfRule type="cellIs" dxfId="4168" priority="2660" operator="greaterThan">
      <formula>0.85</formula>
    </cfRule>
  </conditionalFormatting>
  <conditionalFormatting sqref="E7">
    <cfRule type="expression" dxfId="4167" priority="2655">
      <formula>AND(IF(OR($Q7=1,$Q7=2),1,0),IF($X7&lt;=20,1,0))</formula>
    </cfRule>
    <cfRule type="expression" dxfId="4166" priority="2656">
      <formula>AND(IF($Q7=2,1,0),IF($X7&lt;30,1,0))</formula>
    </cfRule>
    <cfRule type="expression" dxfId="4165" priority="2657">
      <formula>AND(IF($Q7=3,1,0),IF($X7&lt;30,1,0))</formula>
    </cfRule>
    <cfRule type="expression" dxfId="4164" priority="2658">
      <formula>AND(IF($Q7=3,1,IF($Q7=4,1,0)),IF($F7&lt;=85,1,0))</formula>
    </cfRule>
  </conditionalFormatting>
  <conditionalFormatting sqref="X7">
    <cfRule type="expression" dxfId="4163" priority="2651">
      <formula>AND(IF(OR($Q7=1,$Q7=2),1,0),IF($X7&lt;=20,1,0))</formula>
    </cfRule>
    <cfRule type="expression" dxfId="4162" priority="2652">
      <formula>AND(IF($Q7=2,1,0),IF($X7&lt;30,1,0))</formula>
    </cfRule>
    <cfRule type="expression" dxfId="4161" priority="2653">
      <formula>AND(IF($Q7=3,1,0),IF($X7&lt;30,1,0))</formula>
    </cfRule>
    <cfRule type="expression" dxfId="4160" priority="2654">
      <formula>AND(IF($Q7=3,1,IF($Q7=4,1,0)),IF($F7&lt;=85,1,0))</formula>
    </cfRule>
  </conditionalFormatting>
  <conditionalFormatting sqref="AI7">
    <cfRule type="expression" dxfId="4159" priority="2647">
      <formula>AND(IF(OR($Q7=1,$Q7=2),1,0),IF($X7&lt;=20,1,0))</formula>
    </cfRule>
    <cfRule type="expression" dxfId="4158" priority="2648">
      <formula>AND(IF($Q7=2,1,0),IF($X7&lt;30,1,0))</formula>
    </cfRule>
    <cfRule type="expression" dxfId="4157" priority="2649">
      <formula>AND(IF($Q7=3,1,0),IF($X7&lt;30,1,0))</formula>
    </cfRule>
    <cfRule type="expression" dxfId="4156" priority="2650">
      <formula>AND(IF($Q7=3,1,IF($Q7=4,1,0)),IF($F7&lt;=85,1,0))</formula>
    </cfRule>
  </conditionalFormatting>
  <conditionalFormatting sqref="AV8">
    <cfRule type="expression" dxfId="4155" priority="2645">
      <formula>AV8="X"</formula>
    </cfRule>
    <cfRule type="expression" dxfId="4154" priority="2646">
      <formula>AV8="후보"</formula>
    </cfRule>
  </conditionalFormatting>
  <conditionalFormatting sqref="Z8">
    <cfRule type="colorScale" priority="2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153" priority="2642" operator="greaterThan">
      <formula>0.9</formula>
    </cfRule>
    <cfRule type="cellIs" dxfId="4152" priority="2643" operator="greaterThan">
      <formula>0.85</formula>
    </cfRule>
  </conditionalFormatting>
  <conditionalFormatting sqref="N8">
    <cfRule type="cellIs" dxfId="4151" priority="2640" operator="greaterThan">
      <formula>0.9</formula>
    </cfRule>
    <cfRule type="cellIs" dxfId="4150" priority="2641" operator="greaterThan">
      <formula>0.85</formula>
    </cfRule>
  </conditionalFormatting>
  <conditionalFormatting sqref="E8">
    <cfRule type="expression" dxfId="4149" priority="2636">
      <formula>AND(IF(OR($Q8=1,$Q8=2),1,0),IF($X8&lt;=20,1,0))</formula>
    </cfRule>
    <cfRule type="expression" dxfId="4148" priority="2637">
      <formula>AND(IF($Q8=2,1,0),IF($X8&lt;30,1,0))</formula>
    </cfRule>
    <cfRule type="expression" dxfId="4147" priority="2638">
      <formula>AND(IF($Q8=3,1,0),IF($X8&lt;30,1,0))</formula>
    </cfRule>
    <cfRule type="expression" dxfId="4146" priority="2639">
      <formula>AND(IF($Q8=3,1,IF($Q8=4,1,0)),IF($F8&lt;=85,1,0))</formula>
    </cfRule>
  </conditionalFormatting>
  <conditionalFormatting sqref="X8">
    <cfRule type="expression" dxfId="4145" priority="2632">
      <formula>AND(IF(OR($Q8=1,$Q8=2),1,0),IF($X8&lt;=20,1,0))</formula>
    </cfRule>
    <cfRule type="expression" dxfId="4144" priority="2633">
      <formula>AND(IF($Q8=2,1,0),IF($X8&lt;30,1,0))</formula>
    </cfRule>
    <cfRule type="expression" dxfId="4143" priority="2634">
      <formula>AND(IF($Q8=3,1,0),IF($X8&lt;30,1,0))</formula>
    </cfRule>
    <cfRule type="expression" dxfId="4142" priority="2635">
      <formula>AND(IF($Q8=3,1,IF($Q8=4,1,0)),IF($F8&lt;=85,1,0))</formula>
    </cfRule>
  </conditionalFormatting>
  <conditionalFormatting sqref="AI8">
    <cfRule type="expression" dxfId="4141" priority="2628">
      <formula>AND(IF(OR($Q8=1,$Q8=2),1,0),IF($X8&lt;=20,1,0))</formula>
    </cfRule>
    <cfRule type="expression" dxfId="4140" priority="2629">
      <formula>AND(IF($Q8=2,1,0),IF($X8&lt;30,1,0))</formula>
    </cfRule>
    <cfRule type="expression" dxfId="4139" priority="2630">
      <formula>AND(IF($Q8=3,1,0),IF($X8&lt;30,1,0))</formula>
    </cfRule>
    <cfRule type="expression" dxfId="4138" priority="2631">
      <formula>AND(IF($Q8=3,1,IF($Q8=4,1,0)),IF($F8&lt;=85,1,0))</formula>
    </cfRule>
  </conditionalFormatting>
  <conditionalFormatting sqref="AV9">
    <cfRule type="expression" dxfId="4137" priority="2626">
      <formula>AV9="X"</formula>
    </cfRule>
    <cfRule type="expression" dxfId="4136" priority="2627">
      <formula>AV9="후보"</formula>
    </cfRule>
  </conditionalFormatting>
  <conditionalFormatting sqref="Z9">
    <cfRule type="colorScale" priority="2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135" priority="2623" operator="greaterThan">
      <formula>0.9</formula>
    </cfRule>
    <cfRule type="cellIs" dxfId="4134" priority="2624" operator="greaterThan">
      <formula>0.85</formula>
    </cfRule>
  </conditionalFormatting>
  <conditionalFormatting sqref="N9">
    <cfRule type="cellIs" dxfId="4133" priority="2621" operator="greaterThan">
      <formula>0.9</formula>
    </cfRule>
    <cfRule type="cellIs" dxfId="4132" priority="2622" operator="greaterThan">
      <formula>0.85</formula>
    </cfRule>
  </conditionalFormatting>
  <conditionalFormatting sqref="E9">
    <cfRule type="expression" dxfId="4131" priority="2617">
      <formula>AND(IF(OR($Q9=1,$Q9=2),1,0),IF($X9&lt;=20,1,0))</formula>
    </cfRule>
    <cfRule type="expression" dxfId="4130" priority="2618">
      <formula>AND(IF($Q9=2,1,0),IF($X9&lt;30,1,0))</formula>
    </cfRule>
    <cfRule type="expression" dxfId="4129" priority="2619">
      <formula>AND(IF($Q9=3,1,0),IF($X9&lt;30,1,0))</formula>
    </cfRule>
    <cfRule type="expression" dxfId="4128" priority="2620">
      <formula>AND(IF($Q9=3,1,IF($Q9=4,1,0)),IF($F9&lt;=85,1,0))</formula>
    </cfRule>
  </conditionalFormatting>
  <conditionalFormatting sqref="X9">
    <cfRule type="expression" dxfId="4127" priority="2613">
      <formula>AND(IF(OR($Q9=1,$Q9=2),1,0),IF($X9&lt;=20,1,0))</formula>
    </cfRule>
    <cfRule type="expression" dxfId="4126" priority="2614">
      <formula>AND(IF($Q9=2,1,0),IF($X9&lt;30,1,0))</formula>
    </cfRule>
    <cfRule type="expression" dxfId="4125" priority="2615">
      <formula>AND(IF($Q9=3,1,0),IF($X9&lt;30,1,0))</formula>
    </cfRule>
    <cfRule type="expression" dxfId="4124" priority="2616">
      <formula>AND(IF($Q9=3,1,IF($Q9=4,1,0)),IF($F9&lt;=85,1,0))</formula>
    </cfRule>
  </conditionalFormatting>
  <conditionalFormatting sqref="AI9">
    <cfRule type="expression" dxfId="4123" priority="2609">
      <formula>AND(IF(OR($Q9=1,$Q9=2),1,0),IF($X9&lt;=20,1,0))</formula>
    </cfRule>
    <cfRule type="expression" dxfId="4122" priority="2610">
      <formula>AND(IF($Q9=2,1,0),IF($X9&lt;30,1,0))</formula>
    </cfRule>
    <cfRule type="expression" dxfId="4121" priority="2611">
      <formula>AND(IF($Q9=3,1,0),IF($X9&lt;30,1,0))</formula>
    </cfRule>
    <cfRule type="expression" dxfId="4120" priority="2612">
      <formula>AND(IF($Q9=3,1,IF($Q9=4,1,0)),IF($F9&lt;=85,1,0))</formula>
    </cfRule>
  </conditionalFormatting>
  <conditionalFormatting sqref="AV10">
    <cfRule type="expression" dxfId="4119" priority="2607">
      <formula>AV10="X"</formula>
    </cfRule>
    <cfRule type="expression" dxfId="4118" priority="2608">
      <formula>AV10="후보"</formula>
    </cfRule>
  </conditionalFormatting>
  <conditionalFormatting sqref="Z10">
    <cfRule type="colorScale" priority="2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117" priority="2604" operator="greaterThan">
      <formula>0.9</formula>
    </cfRule>
    <cfRule type="cellIs" dxfId="4116" priority="2605" operator="greaterThan">
      <formula>0.85</formula>
    </cfRule>
  </conditionalFormatting>
  <conditionalFormatting sqref="N10">
    <cfRule type="cellIs" dxfId="4115" priority="2602" operator="greaterThan">
      <formula>0.9</formula>
    </cfRule>
    <cfRule type="cellIs" dxfId="4114" priority="2603" operator="greaterThan">
      <formula>0.85</formula>
    </cfRule>
  </conditionalFormatting>
  <conditionalFormatting sqref="E10">
    <cfRule type="expression" dxfId="4113" priority="2598">
      <formula>AND(IF(OR($Q10=1,$Q10=2),1,0),IF($X10&lt;=20,1,0))</formula>
    </cfRule>
    <cfRule type="expression" dxfId="4112" priority="2599">
      <formula>AND(IF($Q10=2,1,0),IF($X10&lt;30,1,0))</formula>
    </cfRule>
    <cfRule type="expression" dxfId="4111" priority="2600">
      <formula>AND(IF($Q10=3,1,0),IF($X10&lt;30,1,0))</formula>
    </cfRule>
    <cfRule type="expression" dxfId="4110" priority="2601">
      <formula>AND(IF($Q10=3,1,IF($Q10=4,1,0)),IF($F10&lt;=85,1,0))</formula>
    </cfRule>
  </conditionalFormatting>
  <conditionalFormatting sqref="X10">
    <cfRule type="expression" dxfId="4109" priority="2594">
      <formula>AND(IF(OR($Q10=1,$Q10=2),1,0),IF($X10&lt;=20,1,0))</formula>
    </cfRule>
    <cfRule type="expression" dxfId="4108" priority="2595">
      <formula>AND(IF($Q10=2,1,0),IF($X10&lt;30,1,0))</formula>
    </cfRule>
    <cfRule type="expression" dxfId="4107" priority="2596">
      <formula>AND(IF($Q10=3,1,0),IF($X10&lt;30,1,0))</formula>
    </cfRule>
    <cfRule type="expression" dxfId="4106" priority="2597">
      <formula>AND(IF($Q10=3,1,IF($Q10=4,1,0)),IF($F10&lt;=85,1,0))</formula>
    </cfRule>
  </conditionalFormatting>
  <conditionalFormatting sqref="AI10">
    <cfRule type="expression" dxfId="4105" priority="2590">
      <formula>AND(IF(OR($Q10=1,$Q10=2),1,0),IF($X10&lt;=20,1,0))</formula>
    </cfRule>
    <cfRule type="expression" dxfId="4104" priority="2591">
      <formula>AND(IF($Q10=2,1,0),IF($X10&lt;30,1,0))</formula>
    </cfRule>
    <cfRule type="expression" dxfId="4103" priority="2592">
      <formula>AND(IF($Q10=3,1,0),IF($X10&lt;30,1,0))</formula>
    </cfRule>
    <cfRule type="expression" dxfId="4102" priority="2593">
      <formula>AND(IF($Q10=3,1,IF($Q10=4,1,0)),IF($F10&lt;=85,1,0))</formula>
    </cfRule>
  </conditionalFormatting>
  <conditionalFormatting sqref="AV11">
    <cfRule type="expression" dxfId="4101" priority="2588">
      <formula>AV11="X"</formula>
    </cfRule>
    <cfRule type="expression" dxfId="4100" priority="2589">
      <formula>AV11="후보"</formula>
    </cfRule>
  </conditionalFormatting>
  <conditionalFormatting sqref="Z11">
    <cfRule type="colorScale" priority="2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4099" priority="2585" operator="greaterThan">
      <formula>0.9</formula>
    </cfRule>
    <cfRule type="cellIs" dxfId="4098" priority="2586" operator="greaterThan">
      <formula>0.85</formula>
    </cfRule>
  </conditionalFormatting>
  <conditionalFormatting sqref="N11">
    <cfRule type="cellIs" dxfId="4097" priority="2583" operator="greaterThan">
      <formula>0.9</formula>
    </cfRule>
    <cfRule type="cellIs" dxfId="4096" priority="2584" operator="greaterThan">
      <formula>0.85</formula>
    </cfRule>
  </conditionalFormatting>
  <conditionalFormatting sqref="E11">
    <cfRule type="expression" dxfId="4095" priority="2579">
      <formula>AND(IF(OR($Q11=1,$Q11=2),1,0),IF($X11&lt;=20,1,0))</formula>
    </cfRule>
    <cfRule type="expression" dxfId="4094" priority="2580">
      <formula>AND(IF($Q11=2,1,0),IF($X11&lt;30,1,0))</formula>
    </cfRule>
    <cfRule type="expression" dxfId="4093" priority="2581">
      <formula>AND(IF($Q11=3,1,0),IF($X11&lt;30,1,0))</formula>
    </cfRule>
    <cfRule type="expression" dxfId="4092" priority="2582">
      <formula>AND(IF($Q11=3,1,IF($Q11=4,1,0)),IF($F11&lt;=85,1,0))</formula>
    </cfRule>
  </conditionalFormatting>
  <conditionalFormatting sqref="X11">
    <cfRule type="expression" dxfId="4091" priority="2575">
      <formula>AND(IF(OR($Q11=1,$Q11=2),1,0),IF($X11&lt;=20,1,0))</formula>
    </cfRule>
    <cfRule type="expression" dxfId="4090" priority="2576">
      <formula>AND(IF($Q11=2,1,0),IF($X11&lt;30,1,0))</formula>
    </cfRule>
    <cfRule type="expression" dxfId="4089" priority="2577">
      <formula>AND(IF($Q11=3,1,0),IF($X11&lt;30,1,0))</formula>
    </cfRule>
    <cfRule type="expression" dxfId="4088" priority="2578">
      <formula>AND(IF($Q11=3,1,IF($Q11=4,1,0)),IF($F11&lt;=85,1,0))</formula>
    </cfRule>
  </conditionalFormatting>
  <conditionalFormatting sqref="AI11">
    <cfRule type="expression" dxfId="4087" priority="2571">
      <formula>AND(IF(OR($Q11=1,$Q11=2),1,0),IF($X11&lt;=20,1,0))</formula>
    </cfRule>
    <cfRule type="expression" dxfId="4086" priority="2572">
      <formula>AND(IF($Q11=2,1,0),IF($X11&lt;30,1,0))</formula>
    </cfRule>
    <cfRule type="expression" dxfId="4085" priority="2573">
      <formula>AND(IF($Q11=3,1,0),IF($X11&lt;30,1,0))</formula>
    </cfRule>
    <cfRule type="expression" dxfId="4084" priority="2574">
      <formula>AND(IF($Q11=3,1,IF($Q11=4,1,0)),IF($F11&lt;=85,1,0))</formula>
    </cfRule>
  </conditionalFormatting>
  <conditionalFormatting sqref="AV12">
    <cfRule type="expression" dxfId="4083" priority="2569">
      <formula>AV12="X"</formula>
    </cfRule>
    <cfRule type="expression" dxfId="4082" priority="2570">
      <formula>AV12="후보"</formula>
    </cfRule>
  </conditionalFormatting>
  <conditionalFormatting sqref="Z12">
    <cfRule type="colorScale" priority="2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4081" priority="2566" operator="greaterThan">
      <formula>0.9</formula>
    </cfRule>
    <cfRule type="cellIs" dxfId="4080" priority="2567" operator="greaterThan">
      <formula>0.85</formula>
    </cfRule>
  </conditionalFormatting>
  <conditionalFormatting sqref="N12">
    <cfRule type="cellIs" dxfId="4079" priority="2564" operator="greaterThan">
      <formula>0.9</formula>
    </cfRule>
    <cfRule type="cellIs" dxfId="4078" priority="2565" operator="greaterThan">
      <formula>0.85</formula>
    </cfRule>
  </conditionalFormatting>
  <conditionalFormatting sqref="E12">
    <cfRule type="expression" dxfId="4077" priority="2560">
      <formula>AND(IF(OR($Q12=1,$Q12=2),1,0),IF($X12&lt;=20,1,0))</formula>
    </cfRule>
    <cfRule type="expression" dxfId="4076" priority="2561">
      <formula>AND(IF($Q12=2,1,0),IF($X12&lt;30,1,0))</formula>
    </cfRule>
    <cfRule type="expression" dxfId="4075" priority="2562">
      <formula>AND(IF($Q12=3,1,0),IF($X12&lt;30,1,0))</formula>
    </cfRule>
    <cfRule type="expression" dxfId="4074" priority="2563">
      <formula>AND(IF($Q12=3,1,IF($Q12=4,1,0)),IF($F12&lt;=85,1,0))</formula>
    </cfRule>
  </conditionalFormatting>
  <conditionalFormatting sqref="X12">
    <cfRule type="expression" dxfId="4073" priority="2556">
      <formula>AND(IF(OR($Q12=1,$Q12=2),1,0),IF($X12&lt;=20,1,0))</formula>
    </cfRule>
    <cfRule type="expression" dxfId="4072" priority="2557">
      <formula>AND(IF($Q12=2,1,0),IF($X12&lt;30,1,0))</formula>
    </cfRule>
    <cfRule type="expression" dxfId="4071" priority="2558">
      <formula>AND(IF($Q12=3,1,0),IF($X12&lt;30,1,0))</formula>
    </cfRule>
    <cfRule type="expression" dxfId="4070" priority="2559">
      <formula>AND(IF($Q12=3,1,IF($Q12=4,1,0)),IF($F12&lt;=85,1,0))</formula>
    </cfRule>
  </conditionalFormatting>
  <conditionalFormatting sqref="AI12">
    <cfRule type="expression" dxfId="4069" priority="2552">
      <formula>AND(IF(OR($Q12=1,$Q12=2),1,0),IF($X12&lt;=20,1,0))</formula>
    </cfRule>
    <cfRule type="expression" dxfId="4068" priority="2553">
      <formula>AND(IF($Q12=2,1,0),IF($X12&lt;30,1,0))</formula>
    </cfRule>
    <cfRule type="expression" dxfId="4067" priority="2554">
      <formula>AND(IF($Q12=3,1,0),IF($X12&lt;30,1,0))</formula>
    </cfRule>
    <cfRule type="expression" dxfId="4066" priority="2555">
      <formula>AND(IF($Q12=3,1,IF($Q12=4,1,0)),IF($F12&lt;=85,1,0))</formula>
    </cfRule>
  </conditionalFormatting>
  <conditionalFormatting sqref="AV13">
    <cfRule type="expression" dxfId="4065" priority="2550">
      <formula>AV13="X"</formula>
    </cfRule>
    <cfRule type="expression" dxfId="4064" priority="2551">
      <formula>AV13="후보"</formula>
    </cfRule>
  </conditionalFormatting>
  <conditionalFormatting sqref="Z13">
    <cfRule type="colorScale" priority="2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063" priority="2547" operator="greaterThan">
      <formula>0.9</formula>
    </cfRule>
    <cfRule type="cellIs" dxfId="4062" priority="2548" operator="greaterThan">
      <formula>0.85</formula>
    </cfRule>
  </conditionalFormatting>
  <conditionalFormatting sqref="N13">
    <cfRule type="cellIs" dxfId="4061" priority="2545" operator="greaterThan">
      <formula>0.9</formula>
    </cfRule>
    <cfRule type="cellIs" dxfId="4060" priority="2546" operator="greaterThan">
      <formula>0.85</formula>
    </cfRule>
  </conditionalFormatting>
  <conditionalFormatting sqref="E13">
    <cfRule type="expression" dxfId="4059" priority="2541">
      <formula>AND(IF(OR($Q13=1,$Q13=2),1,0),IF($X13&lt;=20,1,0))</formula>
    </cfRule>
    <cfRule type="expression" dxfId="4058" priority="2542">
      <formula>AND(IF($Q13=2,1,0),IF($X13&lt;30,1,0))</formula>
    </cfRule>
    <cfRule type="expression" dxfId="4057" priority="2543">
      <formula>AND(IF($Q13=3,1,0),IF($X13&lt;30,1,0))</formula>
    </cfRule>
    <cfRule type="expression" dxfId="4056" priority="2544">
      <formula>AND(IF($Q13=3,1,IF($Q13=4,1,0)),IF($F13&lt;=85,1,0))</formula>
    </cfRule>
  </conditionalFormatting>
  <conditionalFormatting sqref="X13">
    <cfRule type="expression" dxfId="4055" priority="2537">
      <formula>AND(IF(OR($Q13=1,$Q13=2),1,0),IF($X13&lt;=20,1,0))</formula>
    </cfRule>
    <cfRule type="expression" dxfId="4054" priority="2538">
      <formula>AND(IF($Q13=2,1,0),IF($X13&lt;30,1,0))</formula>
    </cfRule>
    <cfRule type="expression" dxfId="4053" priority="2539">
      <formula>AND(IF($Q13=3,1,0),IF($X13&lt;30,1,0))</formula>
    </cfRule>
    <cfRule type="expression" dxfId="4052" priority="2540">
      <formula>AND(IF($Q13=3,1,IF($Q13=4,1,0)),IF($F13&lt;=85,1,0))</formula>
    </cfRule>
  </conditionalFormatting>
  <conditionalFormatting sqref="AI13">
    <cfRule type="expression" dxfId="4051" priority="2533">
      <formula>AND(IF(OR($Q13=1,$Q13=2),1,0),IF($X13&lt;=20,1,0))</formula>
    </cfRule>
    <cfRule type="expression" dxfId="4050" priority="2534">
      <formula>AND(IF($Q13=2,1,0),IF($X13&lt;30,1,0))</formula>
    </cfRule>
    <cfRule type="expression" dxfId="4049" priority="2535">
      <formula>AND(IF($Q13=3,1,0),IF($X13&lt;30,1,0))</formula>
    </cfRule>
    <cfRule type="expression" dxfId="4048" priority="2536">
      <formula>AND(IF($Q13=3,1,IF($Q13=4,1,0)),IF($F13&lt;=85,1,0))</formula>
    </cfRule>
  </conditionalFormatting>
  <conditionalFormatting sqref="AV14">
    <cfRule type="expression" dxfId="4047" priority="2531">
      <formula>AV14="X"</formula>
    </cfRule>
    <cfRule type="expression" dxfId="4046" priority="2532">
      <formula>AV14="후보"</formula>
    </cfRule>
  </conditionalFormatting>
  <conditionalFormatting sqref="Z14">
    <cfRule type="colorScale" priority="2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045" priority="2528" operator="greaterThan">
      <formula>0.9</formula>
    </cfRule>
    <cfRule type="cellIs" dxfId="4044" priority="2529" operator="greaterThan">
      <formula>0.85</formula>
    </cfRule>
  </conditionalFormatting>
  <conditionalFormatting sqref="N14">
    <cfRule type="cellIs" dxfId="4043" priority="2526" operator="greaterThan">
      <formula>0.9</formula>
    </cfRule>
    <cfRule type="cellIs" dxfId="4042" priority="2527" operator="greaterThan">
      <formula>0.85</formula>
    </cfRule>
  </conditionalFormatting>
  <conditionalFormatting sqref="E14">
    <cfRule type="expression" dxfId="4041" priority="2522">
      <formula>AND(IF(OR($Q14=1,$Q14=2),1,0),IF($X14&lt;=20,1,0))</formula>
    </cfRule>
    <cfRule type="expression" dxfId="4040" priority="2523">
      <formula>AND(IF($Q14=2,1,0),IF($X14&lt;30,1,0))</formula>
    </cfRule>
    <cfRule type="expression" dxfId="4039" priority="2524">
      <formula>AND(IF($Q14=3,1,0),IF($X14&lt;30,1,0))</formula>
    </cfRule>
    <cfRule type="expression" dxfId="4038" priority="2525">
      <formula>AND(IF($Q14=3,1,IF($Q14=4,1,0)),IF($F14&lt;=85,1,0))</formula>
    </cfRule>
  </conditionalFormatting>
  <conditionalFormatting sqref="X14">
    <cfRule type="expression" dxfId="4037" priority="2518">
      <formula>AND(IF(OR($Q14=1,$Q14=2),1,0),IF($X14&lt;=20,1,0))</formula>
    </cfRule>
    <cfRule type="expression" dxfId="4036" priority="2519">
      <formula>AND(IF($Q14=2,1,0),IF($X14&lt;30,1,0))</formula>
    </cfRule>
    <cfRule type="expression" dxfId="4035" priority="2520">
      <formula>AND(IF($Q14=3,1,0),IF($X14&lt;30,1,0))</formula>
    </cfRule>
    <cfRule type="expression" dxfId="4034" priority="2521">
      <formula>AND(IF($Q14=3,1,IF($Q14=4,1,0)),IF($F14&lt;=85,1,0))</formula>
    </cfRule>
  </conditionalFormatting>
  <conditionalFormatting sqref="AI14">
    <cfRule type="expression" dxfId="4033" priority="2514">
      <formula>AND(IF(OR($Q14=1,$Q14=2),1,0),IF($X14&lt;=20,1,0))</formula>
    </cfRule>
    <cfRule type="expression" dxfId="4032" priority="2515">
      <formula>AND(IF($Q14=2,1,0),IF($X14&lt;30,1,0))</formula>
    </cfRule>
    <cfRule type="expression" dxfId="4031" priority="2516">
      <formula>AND(IF($Q14=3,1,0),IF($X14&lt;30,1,0))</formula>
    </cfRule>
    <cfRule type="expression" dxfId="4030" priority="2517">
      <formula>AND(IF($Q14=3,1,IF($Q14=4,1,0)),IF($F14&lt;=85,1,0))</formula>
    </cfRule>
  </conditionalFormatting>
  <conditionalFormatting sqref="AV15">
    <cfRule type="expression" dxfId="4029" priority="2512">
      <formula>AV15="X"</formula>
    </cfRule>
    <cfRule type="expression" dxfId="4028" priority="2513">
      <formula>AV15="후보"</formula>
    </cfRule>
  </conditionalFormatting>
  <conditionalFormatting sqref="Z15">
    <cfRule type="colorScale" priority="2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4027" priority="2509" operator="greaterThan">
      <formula>0.9</formula>
    </cfRule>
    <cfRule type="cellIs" dxfId="4026" priority="2510" operator="greaterThan">
      <formula>0.85</formula>
    </cfRule>
  </conditionalFormatting>
  <conditionalFormatting sqref="AV16">
    <cfRule type="expression" dxfId="4025" priority="2507">
      <formula>AV16="X"</formula>
    </cfRule>
    <cfRule type="expression" dxfId="4024" priority="2508">
      <formula>AV16="후보"</formula>
    </cfRule>
  </conditionalFormatting>
  <conditionalFormatting sqref="Z16">
    <cfRule type="colorScale" priority="2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023" priority="2504" operator="greaterThan">
      <formula>0.9</formula>
    </cfRule>
    <cfRule type="cellIs" dxfId="4022" priority="2505" operator="greaterThan">
      <formula>0.85</formula>
    </cfRule>
  </conditionalFormatting>
  <conditionalFormatting sqref="N16">
    <cfRule type="cellIs" dxfId="4021" priority="2502" operator="greaterThan">
      <formula>0.9</formula>
    </cfRule>
    <cfRule type="cellIs" dxfId="4020" priority="2503" operator="greaterThan">
      <formula>0.85</formula>
    </cfRule>
  </conditionalFormatting>
  <conditionalFormatting sqref="E16">
    <cfRule type="expression" dxfId="4019" priority="2498">
      <formula>AND(IF(OR($Q16=1,$Q16=2),1,0),IF($X16&lt;=20,1,0))</formula>
    </cfRule>
    <cfRule type="expression" dxfId="4018" priority="2499">
      <formula>AND(IF($Q16=2,1,0),IF($X16&lt;30,1,0))</formula>
    </cfRule>
    <cfRule type="expression" dxfId="4017" priority="2500">
      <formula>AND(IF($Q16=3,1,0),IF($X16&lt;30,1,0))</formula>
    </cfRule>
    <cfRule type="expression" dxfId="4016" priority="2501">
      <formula>AND(IF($Q16=3,1,IF($Q16=4,1,0)),IF($F16&lt;=85,1,0))</formula>
    </cfRule>
  </conditionalFormatting>
  <conditionalFormatting sqref="X16">
    <cfRule type="expression" dxfId="4015" priority="2494">
      <formula>AND(IF(OR($Q16=1,$Q16=2),1,0),IF($X16&lt;=20,1,0))</formula>
    </cfRule>
    <cfRule type="expression" dxfId="4014" priority="2495">
      <formula>AND(IF($Q16=2,1,0),IF($X16&lt;30,1,0))</formula>
    </cfRule>
    <cfRule type="expression" dxfId="4013" priority="2496">
      <formula>AND(IF($Q16=3,1,0),IF($X16&lt;30,1,0))</formula>
    </cfRule>
    <cfRule type="expression" dxfId="4012" priority="2497">
      <formula>AND(IF($Q16=3,1,IF($Q16=4,1,0)),IF($F16&lt;=85,1,0))</formula>
    </cfRule>
  </conditionalFormatting>
  <conditionalFormatting sqref="AI16">
    <cfRule type="expression" dxfId="4011" priority="2490">
      <formula>AND(IF(OR($Q16=1,$Q16=2),1,0),IF($X16&lt;=20,1,0))</formula>
    </cfRule>
    <cfRule type="expression" dxfId="4010" priority="2491">
      <formula>AND(IF($Q16=2,1,0),IF($X16&lt;30,1,0))</formula>
    </cfRule>
    <cfRule type="expression" dxfId="4009" priority="2492">
      <formula>AND(IF($Q16=3,1,0),IF($X16&lt;30,1,0))</formula>
    </cfRule>
    <cfRule type="expression" dxfId="4008" priority="2493">
      <formula>AND(IF($Q16=3,1,IF($Q16=4,1,0)),IF($F16&lt;=85,1,0))</formula>
    </cfRule>
  </conditionalFormatting>
  <conditionalFormatting sqref="AV17">
    <cfRule type="expression" dxfId="4007" priority="2488">
      <formula>AV17="X"</formula>
    </cfRule>
    <cfRule type="expression" dxfId="4006" priority="2489">
      <formula>AV17="후보"</formula>
    </cfRule>
  </conditionalFormatting>
  <conditionalFormatting sqref="Z17">
    <cfRule type="colorScale" priority="24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005" priority="2485" operator="greaterThan">
      <formula>0.9</formula>
    </cfRule>
    <cfRule type="cellIs" dxfId="4004" priority="2486" operator="greaterThan">
      <formula>0.85</formula>
    </cfRule>
  </conditionalFormatting>
  <conditionalFormatting sqref="N17">
    <cfRule type="cellIs" dxfId="4003" priority="2483" operator="greaterThan">
      <formula>0.9</formula>
    </cfRule>
    <cfRule type="cellIs" dxfId="4002" priority="2484" operator="greaterThan">
      <formula>0.85</formula>
    </cfRule>
  </conditionalFormatting>
  <conditionalFormatting sqref="E17">
    <cfRule type="expression" dxfId="4001" priority="2479">
      <formula>AND(IF(OR($Q17=1,$Q17=2),1,0),IF($X17&lt;=20,1,0))</formula>
    </cfRule>
    <cfRule type="expression" dxfId="4000" priority="2480">
      <formula>AND(IF($Q17=2,1,0),IF($X17&lt;30,1,0))</formula>
    </cfRule>
    <cfRule type="expression" dxfId="3999" priority="2481">
      <formula>AND(IF($Q17=3,1,0),IF($X17&lt;30,1,0))</formula>
    </cfRule>
    <cfRule type="expression" dxfId="3998" priority="2482">
      <formula>AND(IF($Q17=3,1,IF($Q17=4,1,0)),IF($F17&lt;=85,1,0))</formula>
    </cfRule>
  </conditionalFormatting>
  <conditionalFormatting sqref="X17">
    <cfRule type="expression" dxfId="3997" priority="2475">
      <formula>AND(IF(OR($Q17=1,$Q17=2),1,0),IF($X17&lt;=20,1,0))</formula>
    </cfRule>
    <cfRule type="expression" dxfId="3996" priority="2476">
      <formula>AND(IF($Q17=2,1,0),IF($X17&lt;30,1,0))</formula>
    </cfRule>
    <cfRule type="expression" dxfId="3995" priority="2477">
      <formula>AND(IF($Q17=3,1,0),IF($X17&lt;30,1,0))</formula>
    </cfRule>
    <cfRule type="expression" dxfId="3994" priority="2478">
      <formula>AND(IF($Q17=3,1,IF($Q17=4,1,0)),IF($F17&lt;=85,1,0))</formula>
    </cfRule>
  </conditionalFormatting>
  <conditionalFormatting sqref="AI17">
    <cfRule type="expression" dxfId="3993" priority="2471">
      <formula>AND(IF(OR($Q17=1,$Q17=2),1,0),IF($X17&lt;=20,1,0))</formula>
    </cfRule>
    <cfRule type="expression" dxfId="3992" priority="2472">
      <formula>AND(IF($Q17=2,1,0),IF($X17&lt;30,1,0))</formula>
    </cfRule>
    <cfRule type="expression" dxfId="3991" priority="2473">
      <formula>AND(IF($Q17=3,1,0),IF($X17&lt;30,1,0))</formula>
    </cfRule>
    <cfRule type="expression" dxfId="3990" priority="2474">
      <formula>AND(IF($Q17=3,1,IF($Q17=4,1,0)),IF($F17&lt;=85,1,0))</formula>
    </cfRule>
  </conditionalFormatting>
  <conditionalFormatting sqref="AV18">
    <cfRule type="expression" dxfId="3989" priority="2469">
      <formula>AV18="X"</formula>
    </cfRule>
    <cfRule type="expression" dxfId="3988" priority="2470">
      <formula>AV18="후보"</formula>
    </cfRule>
  </conditionalFormatting>
  <conditionalFormatting sqref="Z18">
    <cfRule type="colorScale" priority="24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3987" priority="2466" operator="greaterThan">
      <formula>0.9</formula>
    </cfRule>
    <cfRule type="cellIs" dxfId="3986" priority="2467" operator="greaterThan">
      <formula>0.85</formula>
    </cfRule>
  </conditionalFormatting>
  <conditionalFormatting sqref="AV19">
    <cfRule type="expression" dxfId="3985" priority="2464">
      <formula>AV19="X"</formula>
    </cfRule>
    <cfRule type="expression" dxfId="3984" priority="2465">
      <formula>AV19="후보"</formula>
    </cfRule>
  </conditionalFormatting>
  <conditionalFormatting sqref="Z19">
    <cfRule type="colorScale" priority="24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3983" priority="2461" operator="greaterThan">
      <formula>0.9</formula>
    </cfRule>
    <cfRule type="cellIs" dxfId="3982" priority="2462" operator="greaterThan">
      <formula>0.85</formula>
    </cfRule>
  </conditionalFormatting>
  <conditionalFormatting sqref="N19">
    <cfRule type="cellIs" dxfId="3981" priority="2459" operator="greaterThan">
      <formula>0.9</formula>
    </cfRule>
    <cfRule type="cellIs" dxfId="3980" priority="2460" operator="greaterThan">
      <formula>0.85</formula>
    </cfRule>
  </conditionalFormatting>
  <conditionalFormatting sqref="E19">
    <cfRule type="expression" dxfId="3979" priority="2455">
      <formula>AND(IF(OR($Q19=1,$Q19=2),1,0),IF($X19&lt;=20,1,0))</formula>
    </cfRule>
    <cfRule type="expression" dxfId="3978" priority="2456">
      <formula>AND(IF($Q19=2,1,0),IF($X19&lt;30,1,0))</formula>
    </cfRule>
    <cfRule type="expression" dxfId="3977" priority="2457">
      <formula>AND(IF($Q19=3,1,0),IF($X19&lt;30,1,0))</formula>
    </cfRule>
    <cfRule type="expression" dxfId="3976" priority="2458">
      <formula>AND(IF($Q19=3,1,IF($Q19=4,1,0)),IF($F19&lt;=85,1,0))</formula>
    </cfRule>
  </conditionalFormatting>
  <conditionalFormatting sqref="X19">
    <cfRule type="expression" dxfId="3975" priority="2451">
      <formula>AND(IF(OR($Q19=1,$Q19=2),1,0),IF($X19&lt;=20,1,0))</formula>
    </cfRule>
    <cfRule type="expression" dxfId="3974" priority="2452">
      <formula>AND(IF($Q19=2,1,0),IF($X19&lt;30,1,0))</formula>
    </cfRule>
    <cfRule type="expression" dxfId="3973" priority="2453">
      <formula>AND(IF($Q19=3,1,0),IF($X19&lt;30,1,0))</formula>
    </cfRule>
    <cfRule type="expression" dxfId="3972" priority="2454">
      <formula>AND(IF($Q19=3,1,IF($Q19=4,1,0)),IF($F19&lt;=85,1,0))</formula>
    </cfRule>
  </conditionalFormatting>
  <conditionalFormatting sqref="AI19">
    <cfRule type="expression" dxfId="3971" priority="2447">
      <formula>AND(IF(OR($Q19=1,$Q19=2),1,0),IF($X19&lt;=20,1,0))</formula>
    </cfRule>
    <cfRule type="expression" dxfId="3970" priority="2448">
      <formula>AND(IF($Q19=2,1,0),IF($X19&lt;30,1,0))</formula>
    </cfRule>
    <cfRule type="expression" dxfId="3969" priority="2449">
      <formula>AND(IF($Q19=3,1,0),IF($X19&lt;30,1,0))</formula>
    </cfRule>
    <cfRule type="expression" dxfId="3968" priority="2450">
      <formula>AND(IF($Q19=3,1,IF($Q19=4,1,0)),IF($F19&lt;=85,1,0))</formula>
    </cfRule>
  </conditionalFormatting>
  <conditionalFormatting sqref="AV20">
    <cfRule type="expression" dxfId="3967" priority="2445">
      <formula>AV20="X"</formula>
    </cfRule>
    <cfRule type="expression" dxfId="3966" priority="2446">
      <formula>AV20="후보"</formula>
    </cfRule>
  </conditionalFormatting>
  <conditionalFormatting sqref="Z20">
    <cfRule type="colorScale" priority="24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3965" priority="2442" operator="greaterThan">
      <formula>0.9</formula>
    </cfRule>
    <cfRule type="cellIs" dxfId="3964" priority="2443" operator="greaterThan">
      <formula>0.85</formula>
    </cfRule>
  </conditionalFormatting>
  <conditionalFormatting sqref="N20">
    <cfRule type="cellIs" dxfId="3963" priority="2440" operator="greaterThan">
      <formula>0.9</formula>
    </cfRule>
    <cfRule type="cellIs" dxfId="3962" priority="2441" operator="greaterThan">
      <formula>0.85</formula>
    </cfRule>
  </conditionalFormatting>
  <conditionalFormatting sqref="E20">
    <cfRule type="expression" dxfId="3961" priority="2436">
      <formula>AND(IF(OR($Q20=1,$Q20=2),1,0),IF($X20&lt;=20,1,0))</formula>
    </cfRule>
    <cfRule type="expression" dxfId="3960" priority="2437">
      <formula>AND(IF($Q20=2,1,0),IF($X20&lt;30,1,0))</formula>
    </cfRule>
    <cfRule type="expression" dxfId="3959" priority="2438">
      <formula>AND(IF($Q20=3,1,0),IF($X20&lt;30,1,0))</formula>
    </cfRule>
    <cfRule type="expression" dxfId="3958" priority="2439">
      <formula>AND(IF($Q20=3,1,IF($Q20=4,1,0)),IF($F20&lt;=85,1,0))</formula>
    </cfRule>
  </conditionalFormatting>
  <conditionalFormatting sqref="X20">
    <cfRule type="expression" dxfId="3957" priority="2432">
      <formula>AND(IF(OR($Q20=1,$Q20=2),1,0),IF($X20&lt;=20,1,0))</formula>
    </cfRule>
    <cfRule type="expression" dxfId="3956" priority="2433">
      <formula>AND(IF($Q20=2,1,0),IF($X20&lt;30,1,0))</formula>
    </cfRule>
    <cfRule type="expression" dxfId="3955" priority="2434">
      <formula>AND(IF($Q20=3,1,0),IF($X20&lt;30,1,0))</formula>
    </cfRule>
    <cfRule type="expression" dxfId="3954" priority="2435">
      <formula>AND(IF($Q20=3,1,IF($Q20=4,1,0)),IF($F20&lt;=85,1,0))</formula>
    </cfRule>
  </conditionalFormatting>
  <conditionalFormatting sqref="AI20">
    <cfRule type="expression" dxfId="3953" priority="2428">
      <formula>AND(IF(OR($Q20=1,$Q20=2),1,0),IF($X20&lt;=20,1,0))</formula>
    </cfRule>
    <cfRule type="expression" dxfId="3952" priority="2429">
      <formula>AND(IF($Q20=2,1,0),IF($X20&lt;30,1,0))</formula>
    </cfRule>
    <cfRule type="expression" dxfId="3951" priority="2430">
      <formula>AND(IF($Q20=3,1,0),IF($X20&lt;30,1,0))</formula>
    </cfRule>
    <cfRule type="expression" dxfId="3950" priority="2431">
      <formula>AND(IF($Q20=3,1,IF($Q20=4,1,0)),IF($F20&lt;=85,1,0))</formula>
    </cfRule>
  </conditionalFormatting>
  <conditionalFormatting sqref="AV21">
    <cfRule type="expression" dxfId="3949" priority="2426">
      <formula>AV21="X"</formula>
    </cfRule>
    <cfRule type="expression" dxfId="3948" priority="2427">
      <formula>AV21="후보"</formula>
    </cfRule>
  </conditionalFormatting>
  <conditionalFormatting sqref="Z21">
    <cfRule type="colorScale" priority="24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3947" priority="2423" operator="greaterThan">
      <formula>0.9</formula>
    </cfRule>
    <cfRule type="cellIs" dxfId="3946" priority="2424" operator="greaterThan">
      <formula>0.85</formula>
    </cfRule>
  </conditionalFormatting>
  <conditionalFormatting sqref="N21">
    <cfRule type="cellIs" dxfId="3945" priority="2421" operator="greaterThan">
      <formula>0.9</formula>
    </cfRule>
    <cfRule type="cellIs" dxfId="3944" priority="2422" operator="greaterThan">
      <formula>0.85</formula>
    </cfRule>
  </conditionalFormatting>
  <conditionalFormatting sqref="E21">
    <cfRule type="expression" dxfId="3943" priority="2417">
      <formula>AND(IF(OR($Q21=1,$Q21=2),1,0),IF($X21&lt;=20,1,0))</formula>
    </cfRule>
    <cfRule type="expression" dxfId="3942" priority="2418">
      <formula>AND(IF($Q21=2,1,0),IF($X21&lt;30,1,0))</formula>
    </cfRule>
    <cfRule type="expression" dxfId="3941" priority="2419">
      <formula>AND(IF($Q21=3,1,0),IF($X21&lt;30,1,0))</formula>
    </cfRule>
    <cfRule type="expression" dxfId="3940" priority="2420">
      <formula>AND(IF($Q21=3,1,IF($Q21=4,1,0)),IF($F21&lt;=85,1,0))</formula>
    </cfRule>
  </conditionalFormatting>
  <conditionalFormatting sqref="X21">
    <cfRule type="expression" dxfId="3939" priority="2413">
      <formula>AND(IF(OR($Q21=1,$Q21=2),1,0),IF($X21&lt;=20,1,0))</formula>
    </cfRule>
    <cfRule type="expression" dxfId="3938" priority="2414">
      <formula>AND(IF($Q21=2,1,0),IF($X21&lt;30,1,0))</formula>
    </cfRule>
    <cfRule type="expression" dxfId="3937" priority="2415">
      <formula>AND(IF($Q21=3,1,0),IF($X21&lt;30,1,0))</formula>
    </cfRule>
    <cfRule type="expression" dxfId="3936" priority="2416">
      <formula>AND(IF($Q21=3,1,IF($Q21=4,1,0)),IF($F21&lt;=85,1,0))</formula>
    </cfRule>
  </conditionalFormatting>
  <conditionalFormatting sqref="AI21">
    <cfRule type="expression" dxfId="3935" priority="2409">
      <formula>AND(IF(OR($Q21=1,$Q21=2),1,0),IF($X21&lt;=20,1,0))</formula>
    </cfRule>
    <cfRule type="expression" dxfId="3934" priority="2410">
      <formula>AND(IF($Q21=2,1,0),IF($X21&lt;30,1,0))</formula>
    </cfRule>
    <cfRule type="expression" dxfId="3933" priority="2411">
      <formula>AND(IF($Q21=3,1,0),IF($X21&lt;30,1,0))</formula>
    </cfRule>
    <cfRule type="expression" dxfId="3932" priority="2412">
      <formula>AND(IF($Q21=3,1,IF($Q21=4,1,0)),IF($F21&lt;=85,1,0))</formula>
    </cfRule>
  </conditionalFormatting>
  <conditionalFormatting sqref="AV22">
    <cfRule type="expression" dxfId="3931" priority="2407">
      <formula>AV22="X"</formula>
    </cfRule>
    <cfRule type="expression" dxfId="3930" priority="2408">
      <formula>AV22="후보"</formula>
    </cfRule>
  </conditionalFormatting>
  <conditionalFormatting sqref="Z22">
    <cfRule type="colorScale" priority="24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3929" priority="2404" operator="greaterThan">
      <formula>0.9</formula>
    </cfRule>
    <cfRule type="cellIs" dxfId="3928" priority="2405" operator="greaterThan">
      <formula>0.85</formula>
    </cfRule>
  </conditionalFormatting>
  <conditionalFormatting sqref="N22">
    <cfRule type="cellIs" dxfId="3927" priority="2402" operator="greaterThan">
      <formula>0.9</formula>
    </cfRule>
    <cfRule type="cellIs" dxfId="3926" priority="2403" operator="greaterThan">
      <formula>0.85</formula>
    </cfRule>
  </conditionalFormatting>
  <conditionalFormatting sqref="E22">
    <cfRule type="expression" dxfId="3925" priority="2398">
      <formula>AND(IF(OR($Q22=1,$Q22=2),1,0),IF($X22&lt;=20,1,0))</formula>
    </cfRule>
    <cfRule type="expression" dxfId="3924" priority="2399">
      <formula>AND(IF($Q22=2,1,0),IF($X22&lt;30,1,0))</formula>
    </cfRule>
    <cfRule type="expression" dxfId="3923" priority="2400">
      <formula>AND(IF($Q22=3,1,0),IF($X22&lt;30,1,0))</formula>
    </cfRule>
    <cfRule type="expression" dxfId="3922" priority="2401">
      <formula>AND(IF($Q22=3,1,IF($Q22=4,1,0)),IF($F22&lt;=85,1,0))</formula>
    </cfRule>
  </conditionalFormatting>
  <conditionalFormatting sqref="X22">
    <cfRule type="expression" dxfId="3921" priority="2394">
      <formula>AND(IF(OR($Q22=1,$Q22=2),1,0),IF($X22&lt;=20,1,0))</formula>
    </cfRule>
    <cfRule type="expression" dxfId="3920" priority="2395">
      <formula>AND(IF($Q22=2,1,0),IF($X22&lt;30,1,0))</formula>
    </cfRule>
    <cfRule type="expression" dxfId="3919" priority="2396">
      <formula>AND(IF($Q22=3,1,0),IF($X22&lt;30,1,0))</formula>
    </cfRule>
    <cfRule type="expression" dxfId="3918" priority="2397">
      <formula>AND(IF($Q22=3,1,IF($Q22=4,1,0)),IF($F22&lt;=85,1,0))</formula>
    </cfRule>
  </conditionalFormatting>
  <conditionalFormatting sqref="AI22">
    <cfRule type="expression" dxfId="3917" priority="2390">
      <formula>AND(IF(OR($Q22=1,$Q22=2),1,0),IF($X22&lt;=20,1,0))</formula>
    </cfRule>
    <cfRule type="expression" dxfId="3916" priority="2391">
      <formula>AND(IF($Q22=2,1,0),IF($X22&lt;30,1,0))</formula>
    </cfRule>
    <cfRule type="expression" dxfId="3915" priority="2392">
      <formula>AND(IF($Q22=3,1,0),IF($X22&lt;30,1,0))</formula>
    </cfRule>
    <cfRule type="expression" dxfId="3914" priority="2393">
      <formula>AND(IF($Q22=3,1,IF($Q22=4,1,0)),IF($F22&lt;=85,1,0))</formula>
    </cfRule>
  </conditionalFormatting>
  <conditionalFormatting sqref="AV23">
    <cfRule type="expression" dxfId="3913" priority="2388">
      <formula>AV23="X"</formula>
    </cfRule>
    <cfRule type="expression" dxfId="3912" priority="2389">
      <formula>AV23="후보"</formula>
    </cfRule>
  </conditionalFormatting>
  <conditionalFormatting sqref="Z23">
    <cfRule type="colorScale" priority="23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3911" priority="2385" operator="greaterThan">
      <formula>0.9</formula>
    </cfRule>
    <cfRule type="cellIs" dxfId="3910" priority="2386" operator="greaterThan">
      <formula>0.85</formula>
    </cfRule>
  </conditionalFormatting>
  <conditionalFormatting sqref="N23">
    <cfRule type="cellIs" dxfId="3909" priority="2383" operator="greaterThan">
      <formula>0.9</formula>
    </cfRule>
    <cfRule type="cellIs" dxfId="3908" priority="2384" operator="greaterThan">
      <formula>0.85</formula>
    </cfRule>
  </conditionalFormatting>
  <conditionalFormatting sqref="E23">
    <cfRule type="expression" dxfId="3907" priority="2379">
      <formula>AND(IF(OR($Q23=1,$Q23=2),1,0),IF($X23&lt;=20,1,0))</formula>
    </cfRule>
    <cfRule type="expression" dxfId="3906" priority="2380">
      <formula>AND(IF($Q23=2,1,0),IF($X23&lt;30,1,0))</formula>
    </cfRule>
    <cfRule type="expression" dxfId="3905" priority="2381">
      <formula>AND(IF($Q23=3,1,0),IF($X23&lt;30,1,0))</formula>
    </cfRule>
    <cfRule type="expression" dxfId="3904" priority="2382">
      <formula>AND(IF($Q23=3,1,IF($Q23=4,1,0)),IF($F23&lt;=85,1,0))</formula>
    </cfRule>
  </conditionalFormatting>
  <conditionalFormatting sqref="X23">
    <cfRule type="expression" dxfId="3903" priority="2375">
      <formula>AND(IF(OR($Q23=1,$Q23=2),1,0),IF($X23&lt;=20,1,0))</formula>
    </cfRule>
    <cfRule type="expression" dxfId="3902" priority="2376">
      <formula>AND(IF($Q23=2,1,0),IF($X23&lt;30,1,0))</formula>
    </cfRule>
    <cfRule type="expression" dxfId="3901" priority="2377">
      <formula>AND(IF($Q23=3,1,0),IF($X23&lt;30,1,0))</formula>
    </cfRule>
    <cfRule type="expression" dxfId="3900" priority="2378">
      <formula>AND(IF($Q23=3,1,IF($Q23=4,1,0)),IF($F23&lt;=85,1,0))</formula>
    </cfRule>
  </conditionalFormatting>
  <conditionalFormatting sqref="AI23">
    <cfRule type="expression" dxfId="3899" priority="2371">
      <formula>AND(IF(OR($Q23=1,$Q23=2),1,0),IF($X23&lt;=20,1,0))</formula>
    </cfRule>
    <cfRule type="expression" dxfId="3898" priority="2372">
      <formula>AND(IF($Q23=2,1,0),IF($X23&lt;30,1,0))</formula>
    </cfRule>
    <cfRule type="expression" dxfId="3897" priority="2373">
      <formula>AND(IF($Q23=3,1,0),IF($X23&lt;30,1,0))</formula>
    </cfRule>
    <cfRule type="expression" dxfId="3896" priority="2374">
      <formula>AND(IF($Q23=3,1,IF($Q23=4,1,0)),IF($F23&lt;=85,1,0))</formula>
    </cfRule>
  </conditionalFormatting>
  <conditionalFormatting sqref="AV24">
    <cfRule type="expression" dxfId="3895" priority="2369">
      <formula>AV24="X"</formula>
    </cfRule>
    <cfRule type="expression" dxfId="3894" priority="2370">
      <formula>AV24="후보"</formula>
    </cfRule>
  </conditionalFormatting>
  <conditionalFormatting sqref="Z24">
    <cfRule type="colorScale" priority="2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3893" priority="2366" operator="greaterThan">
      <formula>0.9</formula>
    </cfRule>
    <cfRule type="cellIs" dxfId="3892" priority="2367" operator="greaterThan">
      <formula>0.85</formula>
    </cfRule>
  </conditionalFormatting>
  <conditionalFormatting sqref="N24">
    <cfRule type="cellIs" dxfId="3891" priority="2364" operator="greaterThan">
      <formula>0.9</formula>
    </cfRule>
    <cfRule type="cellIs" dxfId="3890" priority="2365" operator="greaterThan">
      <formula>0.85</formula>
    </cfRule>
  </conditionalFormatting>
  <conditionalFormatting sqref="E24">
    <cfRule type="expression" dxfId="3889" priority="2360">
      <formula>AND(IF(OR($Q24=1,$Q24=2),1,0),IF($X24&lt;=20,1,0))</formula>
    </cfRule>
    <cfRule type="expression" dxfId="3888" priority="2361">
      <formula>AND(IF($Q24=2,1,0),IF($X24&lt;30,1,0))</formula>
    </cfRule>
    <cfRule type="expression" dxfId="3887" priority="2362">
      <formula>AND(IF($Q24=3,1,0),IF($X24&lt;30,1,0))</formula>
    </cfRule>
    <cfRule type="expression" dxfId="3886" priority="2363">
      <formula>AND(IF($Q24=3,1,IF($Q24=4,1,0)),IF($F24&lt;=85,1,0))</formula>
    </cfRule>
  </conditionalFormatting>
  <conditionalFormatting sqref="X24">
    <cfRule type="expression" dxfId="3885" priority="2356">
      <formula>AND(IF(OR($Q24=1,$Q24=2),1,0),IF($X24&lt;=20,1,0))</formula>
    </cfRule>
    <cfRule type="expression" dxfId="3884" priority="2357">
      <formula>AND(IF($Q24=2,1,0),IF($X24&lt;30,1,0))</formula>
    </cfRule>
    <cfRule type="expression" dxfId="3883" priority="2358">
      <formula>AND(IF($Q24=3,1,0),IF($X24&lt;30,1,0))</formula>
    </cfRule>
    <cfRule type="expression" dxfId="3882" priority="2359">
      <formula>AND(IF($Q24=3,1,IF($Q24=4,1,0)),IF($F24&lt;=85,1,0))</formula>
    </cfRule>
  </conditionalFormatting>
  <conditionalFormatting sqref="AI24">
    <cfRule type="expression" dxfId="3881" priority="2352">
      <formula>AND(IF(OR($Q24=1,$Q24=2),1,0),IF($X24&lt;=20,1,0))</formula>
    </cfRule>
    <cfRule type="expression" dxfId="3880" priority="2353">
      <formula>AND(IF($Q24=2,1,0),IF($X24&lt;30,1,0))</formula>
    </cfRule>
    <cfRule type="expression" dxfId="3879" priority="2354">
      <formula>AND(IF($Q24=3,1,0),IF($X24&lt;30,1,0))</formula>
    </cfRule>
    <cfRule type="expression" dxfId="3878" priority="2355">
      <formula>AND(IF($Q24=3,1,IF($Q24=4,1,0)),IF($F24&lt;=85,1,0))</formula>
    </cfRule>
  </conditionalFormatting>
  <conditionalFormatting sqref="AV25">
    <cfRule type="expression" dxfId="3877" priority="2350">
      <formula>AV25="X"</formula>
    </cfRule>
    <cfRule type="expression" dxfId="3876" priority="2351">
      <formula>AV25="후보"</formula>
    </cfRule>
  </conditionalFormatting>
  <conditionalFormatting sqref="Z25">
    <cfRule type="colorScale" priority="2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3875" priority="2347" operator="greaterThan">
      <formula>0.9</formula>
    </cfRule>
    <cfRule type="cellIs" dxfId="3874" priority="2348" operator="greaterThan">
      <formula>0.85</formula>
    </cfRule>
  </conditionalFormatting>
  <conditionalFormatting sqref="N25">
    <cfRule type="cellIs" dxfId="3873" priority="2345" operator="greaterThan">
      <formula>0.9</formula>
    </cfRule>
    <cfRule type="cellIs" dxfId="3872" priority="2346" operator="greaterThan">
      <formula>0.85</formula>
    </cfRule>
  </conditionalFormatting>
  <conditionalFormatting sqref="E25">
    <cfRule type="expression" dxfId="3871" priority="2341">
      <formula>AND(IF(OR($Q25=1,$Q25=2),1,0),IF($X25&lt;=20,1,0))</formula>
    </cfRule>
    <cfRule type="expression" dxfId="3870" priority="2342">
      <formula>AND(IF($Q25=2,1,0),IF($X25&lt;30,1,0))</formula>
    </cfRule>
    <cfRule type="expression" dxfId="3869" priority="2343">
      <formula>AND(IF($Q25=3,1,0),IF($X25&lt;30,1,0))</formula>
    </cfRule>
    <cfRule type="expression" dxfId="3868" priority="2344">
      <formula>AND(IF($Q25=3,1,IF($Q25=4,1,0)),IF($F25&lt;=85,1,0))</formula>
    </cfRule>
  </conditionalFormatting>
  <conditionalFormatting sqref="X25">
    <cfRule type="expression" dxfId="3867" priority="2337">
      <formula>AND(IF(OR($Q25=1,$Q25=2),1,0),IF($X25&lt;=20,1,0))</formula>
    </cfRule>
    <cfRule type="expression" dxfId="3866" priority="2338">
      <formula>AND(IF($Q25=2,1,0),IF($X25&lt;30,1,0))</formula>
    </cfRule>
    <cfRule type="expression" dxfId="3865" priority="2339">
      <formula>AND(IF($Q25=3,1,0),IF($X25&lt;30,1,0))</formula>
    </cfRule>
    <cfRule type="expression" dxfId="3864" priority="2340">
      <formula>AND(IF($Q25=3,1,IF($Q25=4,1,0)),IF($F25&lt;=85,1,0))</formula>
    </cfRule>
  </conditionalFormatting>
  <conditionalFormatting sqref="AI25">
    <cfRule type="expression" dxfId="3863" priority="2333">
      <formula>AND(IF(OR($Q25=1,$Q25=2),1,0),IF($X25&lt;=20,1,0))</formula>
    </cfRule>
    <cfRule type="expression" dxfId="3862" priority="2334">
      <formula>AND(IF($Q25=2,1,0),IF($X25&lt;30,1,0))</formula>
    </cfRule>
    <cfRule type="expression" dxfId="3861" priority="2335">
      <formula>AND(IF($Q25=3,1,0),IF($X25&lt;30,1,0))</formula>
    </cfRule>
    <cfRule type="expression" dxfId="3860" priority="2336">
      <formula>AND(IF($Q25=3,1,IF($Q25=4,1,0)),IF($F25&lt;=85,1,0))</formula>
    </cfRule>
  </conditionalFormatting>
  <conditionalFormatting sqref="AV26">
    <cfRule type="expression" dxfId="3859" priority="2331">
      <formula>AV26="X"</formula>
    </cfRule>
    <cfRule type="expression" dxfId="3858" priority="2332">
      <formula>AV26="후보"</formula>
    </cfRule>
  </conditionalFormatting>
  <conditionalFormatting sqref="Z26">
    <cfRule type="colorScale" priority="2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3857" priority="2328" operator="greaterThan">
      <formula>0.9</formula>
    </cfRule>
    <cfRule type="cellIs" dxfId="3856" priority="2329" operator="greaterThan">
      <formula>0.85</formula>
    </cfRule>
  </conditionalFormatting>
  <conditionalFormatting sqref="AV27">
    <cfRule type="expression" dxfId="3855" priority="2326">
      <formula>AV27="X"</formula>
    </cfRule>
    <cfRule type="expression" dxfId="3854" priority="2327">
      <formula>AV27="후보"</formula>
    </cfRule>
  </conditionalFormatting>
  <conditionalFormatting sqref="Z27">
    <cfRule type="colorScale" priority="23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3853" priority="2323" operator="greaterThan">
      <formula>0.9</formula>
    </cfRule>
    <cfRule type="cellIs" dxfId="3852" priority="2324" operator="greaterThan">
      <formula>0.85</formula>
    </cfRule>
  </conditionalFormatting>
  <conditionalFormatting sqref="N27">
    <cfRule type="cellIs" dxfId="3851" priority="2321" operator="greaterThan">
      <formula>0.9</formula>
    </cfRule>
    <cfRule type="cellIs" dxfId="3850" priority="2322" operator="greaterThan">
      <formula>0.85</formula>
    </cfRule>
  </conditionalFormatting>
  <conditionalFormatting sqref="E27">
    <cfRule type="expression" dxfId="3849" priority="2317">
      <formula>AND(IF(OR($Q27=1,$Q27=2),1,0),IF($X27&lt;=20,1,0))</formula>
    </cfRule>
    <cfRule type="expression" dxfId="3848" priority="2318">
      <formula>AND(IF($Q27=2,1,0),IF($X27&lt;30,1,0))</formula>
    </cfRule>
    <cfRule type="expression" dxfId="3847" priority="2319">
      <formula>AND(IF($Q27=3,1,0),IF($X27&lt;30,1,0))</formula>
    </cfRule>
    <cfRule type="expression" dxfId="3846" priority="2320">
      <formula>AND(IF($Q27=3,1,IF($Q27=4,1,0)),IF($F27&lt;=85,1,0))</formula>
    </cfRule>
  </conditionalFormatting>
  <conditionalFormatting sqref="X27">
    <cfRule type="expression" dxfId="3845" priority="2313">
      <formula>AND(IF(OR($Q27=1,$Q27=2),1,0),IF($X27&lt;=20,1,0))</formula>
    </cfRule>
    <cfRule type="expression" dxfId="3844" priority="2314">
      <formula>AND(IF($Q27=2,1,0),IF($X27&lt;30,1,0))</formula>
    </cfRule>
    <cfRule type="expression" dxfId="3843" priority="2315">
      <formula>AND(IF($Q27=3,1,0),IF($X27&lt;30,1,0))</formula>
    </cfRule>
    <cfRule type="expression" dxfId="3842" priority="2316">
      <formula>AND(IF($Q27=3,1,IF($Q27=4,1,0)),IF($F27&lt;=85,1,0))</formula>
    </cfRule>
  </conditionalFormatting>
  <conditionalFormatting sqref="AI27">
    <cfRule type="expression" dxfId="3841" priority="2309">
      <formula>AND(IF(OR($Q27=1,$Q27=2),1,0),IF($X27&lt;=20,1,0))</formula>
    </cfRule>
    <cfRule type="expression" dxfId="3840" priority="2310">
      <formula>AND(IF($Q27=2,1,0),IF($X27&lt;30,1,0))</formula>
    </cfRule>
    <cfRule type="expression" dxfId="3839" priority="2311">
      <formula>AND(IF($Q27=3,1,0),IF($X27&lt;30,1,0))</formula>
    </cfRule>
    <cfRule type="expression" dxfId="3838" priority="2312">
      <formula>AND(IF($Q27=3,1,IF($Q27=4,1,0)),IF($F27&lt;=85,1,0))</formula>
    </cfRule>
  </conditionalFormatting>
  <conditionalFormatting sqref="AV28">
    <cfRule type="expression" dxfId="3837" priority="2307">
      <formula>AV28="X"</formula>
    </cfRule>
    <cfRule type="expression" dxfId="3836" priority="2308">
      <formula>AV28="후보"</formula>
    </cfRule>
  </conditionalFormatting>
  <conditionalFormatting sqref="Z28">
    <cfRule type="colorScale" priority="23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3835" priority="2304" operator="greaterThan">
      <formula>0.9</formula>
    </cfRule>
    <cfRule type="cellIs" dxfId="3834" priority="2305" operator="greaterThan">
      <formula>0.85</formula>
    </cfRule>
  </conditionalFormatting>
  <conditionalFormatting sqref="N28">
    <cfRule type="cellIs" dxfId="3833" priority="2302" operator="greaterThan">
      <formula>0.9</formula>
    </cfRule>
    <cfRule type="cellIs" dxfId="3832" priority="2303" operator="greaterThan">
      <formula>0.85</formula>
    </cfRule>
  </conditionalFormatting>
  <conditionalFormatting sqref="E28">
    <cfRule type="expression" dxfId="3831" priority="2298">
      <formula>AND(IF(OR($Q28=1,$Q28=2),1,0),IF($X28&lt;=20,1,0))</formula>
    </cfRule>
    <cfRule type="expression" dxfId="3830" priority="2299">
      <formula>AND(IF($Q28=2,1,0),IF($X28&lt;30,1,0))</formula>
    </cfRule>
    <cfRule type="expression" dxfId="3829" priority="2300">
      <formula>AND(IF($Q28=3,1,0),IF($X28&lt;30,1,0))</formula>
    </cfRule>
    <cfRule type="expression" dxfId="3828" priority="2301">
      <formula>AND(IF($Q28=3,1,IF($Q28=4,1,0)),IF($F28&lt;=85,1,0))</formula>
    </cfRule>
  </conditionalFormatting>
  <conditionalFormatting sqref="X28">
    <cfRule type="expression" dxfId="3827" priority="2294">
      <formula>AND(IF(OR($Q28=1,$Q28=2),1,0),IF($X28&lt;=20,1,0))</formula>
    </cfRule>
    <cfRule type="expression" dxfId="3826" priority="2295">
      <formula>AND(IF($Q28=2,1,0),IF($X28&lt;30,1,0))</formula>
    </cfRule>
    <cfRule type="expression" dxfId="3825" priority="2296">
      <formula>AND(IF($Q28=3,1,0),IF($X28&lt;30,1,0))</formula>
    </cfRule>
    <cfRule type="expression" dxfId="3824" priority="2297">
      <formula>AND(IF($Q28=3,1,IF($Q28=4,1,0)),IF($F28&lt;=85,1,0))</formula>
    </cfRule>
  </conditionalFormatting>
  <conditionalFormatting sqref="AI28">
    <cfRule type="expression" dxfId="3823" priority="2290">
      <formula>AND(IF(OR($Q28=1,$Q28=2),1,0),IF($X28&lt;=20,1,0))</formula>
    </cfRule>
    <cfRule type="expression" dxfId="3822" priority="2291">
      <formula>AND(IF($Q28=2,1,0),IF($X28&lt;30,1,0))</formula>
    </cfRule>
    <cfRule type="expression" dxfId="3821" priority="2292">
      <formula>AND(IF($Q28=3,1,0),IF($X28&lt;30,1,0))</formula>
    </cfRule>
    <cfRule type="expression" dxfId="3820" priority="2293">
      <formula>AND(IF($Q28=3,1,IF($Q28=4,1,0)),IF($F28&lt;=85,1,0))</formula>
    </cfRule>
  </conditionalFormatting>
  <conditionalFormatting sqref="AV29">
    <cfRule type="expression" dxfId="3819" priority="2288">
      <formula>AV29="X"</formula>
    </cfRule>
    <cfRule type="expression" dxfId="3818" priority="2289">
      <formula>AV29="후보"</formula>
    </cfRule>
  </conditionalFormatting>
  <conditionalFormatting sqref="Z29">
    <cfRule type="colorScale" priority="22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3817" priority="2285" operator="greaterThan">
      <formula>0.9</formula>
    </cfRule>
    <cfRule type="cellIs" dxfId="3816" priority="2286" operator="greaterThan">
      <formula>0.85</formula>
    </cfRule>
  </conditionalFormatting>
  <conditionalFormatting sqref="AV30">
    <cfRule type="expression" dxfId="3815" priority="2283">
      <formula>AV30="X"</formula>
    </cfRule>
    <cfRule type="expression" dxfId="3814" priority="2284">
      <formula>AV30="후보"</formula>
    </cfRule>
  </conditionalFormatting>
  <conditionalFormatting sqref="Z30">
    <cfRule type="colorScale" priority="22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3813" priority="2280" operator="greaterThan">
      <formula>0.9</formula>
    </cfRule>
    <cfRule type="cellIs" dxfId="3812" priority="2281" operator="greaterThan">
      <formula>0.85</formula>
    </cfRule>
  </conditionalFormatting>
  <conditionalFormatting sqref="N30">
    <cfRule type="cellIs" dxfId="3811" priority="2278" operator="greaterThan">
      <formula>0.9</formula>
    </cfRule>
    <cfRule type="cellIs" dxfId="3810" priority="2279" operator="greaterThan">
      <formula>0.85</formula>
    </cfRule>
  </conditionalFormatting>
  <conditionalFormatting sqref="E30">
    <cfRule type="expression" dxfId="3809" priority="2274">
      <formula>AND(IF(OR($Q30=1,$Q30=2),1,0),IF($X30&lt;=20,1,0))</formula>
    </cfRule>
    <cfRule type="expression" dxfId="3808" priority="2275">
      <formula>AND(IF($Q30=2,1,0),IF($X30&lt;30,1,0))</formula>
    </cfRule>
    <cfRule type="expression" dxfId="3807" priority="2276">
      <formula>AND(IF($Q30=3,1,0),IF($X30&lt;30,1,0))</formula>
    </cfRule>
    <cfRule type="expression" dxfId="3806" priority="2277">
      <formula>AND(IF($Q30=3,1,IF($Q30=4,1,0)),IF($F30&lt;=85,1,0))</formula>
    </cfRule>
  </conditionalFormatting>
  <conditionalFormatting sqref="X30">
    <cfRule type="expression" dxfId="3805" priority="2270">
      <formula>AND(IF(OR($Q30=1,$Q30=2),1,0),IF($X30&lt;=20,1,0))</formula>
    </cfRule>
    <cfRule type="expression" dxfId="3804" priority="2271">
      <formula>AND(IF($Q30=2,1,0),IF($X30&lt;30,1,0))</formula>
    </cfRule>
    <cfRule type="expression" dxfId="3803" priority="2272">
      <formula>AND(IF($Q30=3,1,0),IF($X30&lt;30,1,0))</formula>
    </cfRule>
    <cfRule type="expression" dxfId="3802" priority="2273">
      <formula>AND(IF($Q30=3,1,IF($Q30=4,1,0)),IF($F30&lt;=85,1,0))</formula>
    </cfRule>
  </conditionalFormatting>
  <conditionalFormatting sqref="AI30">
    <cfRule type="expression" dxfId="3801" priority="2266">
      <formula>AND(IF(OR($Q30=1,$Q30=2),1,0),IF($X30&lt;=20,1,0))</formula>
    </cfRule>
    <cfRule type="expression" dxfId="3800" priority="2267">
      <formula>AND(IF($Q30=2,1,0),IF($X30&lt;30,1,0))</formula>
    </cfRule>
    <cfRule type="expression" dxfId="3799" priority="2268">
      <formula>AND(IF($Q30=3,1,0),IF($X30&lt;30,1,0))</formula>
    </cfRule>
    <cfRule type="expression" dxfId="3798" priority="2269">
      <formula>AND(IF($Q30=3,1,IF($Q30=4,1,0)),IF($F30&lt;=85,1,0))</formula>
    </cfRule>
  </conditionalFormatting>
  <conditionalFormatting sqref="AV31">
    <cfRule type="expression" dxfId="3797" priority="2264">
      <formula>AV31="X"</formula>
    </cfRule>
    <cfRule type="expression" dxfId="3796" priority="2265">
      <formula>AV31="후보"</formula>
    </cfRule>
  </conditionalFormatting>
  <conditionalFormatting sqref="Z31">
    <cfRule type="colorScale" priority="22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3795" priority="2261" operator="greaterThan">
      <formula>0.9</formula>
    </cfRule>
    <cfRule type="cellIs" dxfId="3794" priority="2262" operator="greaterThan">
      <formula>0.85</formula>
    </cfRule>
  </conditionalFormatting>
  <conditionalFormatting sqref="N31">
    <cfRule type="cellIs" dxfId="3793" priority="2259" operator="greaterThan">
      <formula>0.9</formula>
    </cfRule>
    <cfRule type="cellIs" dxfId="3792" priority="2260" operator="greaterThan">
      <formula>0.85</formula>
    </cfRule>
  </conditionalFormatting>
  <conditionalFormatting sqref="E31">
    <cfRule type="expression" dxfId="3791" priority="2255">
      <formula>AND(IF(OR($Q31=1,$Q31=2),1,0),IF($X31&lt;=20,1,0))</formula>
    </cfRule>
    <cfRule type="expression" dxfId="3790" priority="2256">
      <formula>AND(IF($Q31=2,1,0),IF($X31&lt;30,1,0))</formula>
    </cfRule>
    <cfRule type="expression" dxfId="3789" priority="2257">
      <formula>AND(IF($Q31=3,1,0),IF($X31&lt;30,1,0))</formula>
    </cfRule>
    <cfRule type="expression" dxfId="3788" priority="2258">
      <formula>AND(IF($Q31=3,1,IF($Q31=4,1,0)),IF($F31&lt;=85,1,0))</formula>
    </cfRule>
  </conditionalFormatting>
  <conditionalFormatting sqref="X31">
    <cfRule type="expression" dxfId="3787" priority="2251">
      <formula>AND(IF(OR($Q31=1,$Q31=2),1,0),IF($X31&lt;=20,1,0))</formula>
    </cfRule>
    <cfRule type="expression" dxfId="3786" priority="2252">
      <formula>AND(IF($Q31=2,1,0),IF($X31&lt;30,1,0))</formula>
    </cfRule>
    <cfRule type="expression" dxfId="3785" priority="2253">
      <formula>AND(IF($Q31=3,1,0),IF($X31&lt;30,1,0))</formula>
    </cfRule>
    <cfRule type="expression" dxfId="3784" priority="2254">
      <formula>AND(IF($Q31=3,1,IF($Q31=4,1,0)),IF($F31&lt;=85,1,0))</formula>
    </cfRule>
  </conditionalFormatting>
  <conditionalFormatting sqref="AI31">
    <cfRule type="expression" dxfId="3783" priority="2247">
      <formula>AND(IF(OR($Q31=1,$Q31=2),1,0),IF($X31&lt;=20,1,0))</formula>
    </cfRule>
    <cfRule type="expression" dxfId="3782" priority="2248">
      <formula>AND(IF($Q31=2,1,0),IF($X31&lt;30,1,0))</formula>
    </cfRule>
    <cfRule type="expression" dxfId="3781" priority="2249">
      <formula>AND(IF($Q31=3,1,0),IF($X31&lt;30,1,0))</formula>
    </cfRule>
    <cfRule type="expression" dxfId="3780" priority="2250">
      <formula>AND(IF($Q31=3,1,IF($Q31=4,1,0)),IF($F31&lt;=85,1,0))</formula>
    </cfRule>
  </conditionalFormatting>
  <conditionalFormatting sqref="AV32">
    <cfRule type="expression" dxfId="3779" priority="2245">
      <formula>AV32="X"</formula>
    </cfRule>
    <cfRule type="expression" dxfId="3778" priority="2246">
      <formula>AV32="후보"</formula>
    </cfRule>
  </conditionalFormatting>
  <conditionalFormatting sqref="Z32">
    <cfRule type="colorScale" priority="22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3777" priority="2242" operator="greaterThan">
      <formula>0.9</formula>
    </cfRule>
    <cfRule type="cellIs" dxfId="3776" priority="2243" operator="greaterThan">
      <formula>0.85</formula>
    </cfRule>
  </conditionalFormatting>
  <conditionalFormatting sqref="N32">
    <cfRule type="cellIs" dxfId="3775" priority="2240" operator="greaterThan">
      <formula>0.9</formula>
    </cfRule>
    <cfRule type="cellIs" dxfId="3774" priority="2241" operator="greaterThan">
      <formula>0.85</formula>
    </cfRule>
  </conditionalFormatting>
  <conditionalFormatting sqref="E32">
    <cfRule type="expression" dxfId="3773" priority="2236">
      <formula>AND(IF(OR($Q32=1,$Q32=2),1,0),IF($X32&lt;=20,1,0))</formula>
    </cfRule>
    <cfRule type="expression" dxfId="3772" priority="2237">
      <formula>AND(IF($Q32=2,1,0),IF($X32&lt;30,1,0))</formula>
    </cfRule>
    <cfRule type="expression" dxfId="3771" priority="2238">
      <formula>AND(IF($Q32=3,1,0),IF($X32&lt;30,1,0))</formula>
    </cfRule>
    <cfRule type="expression" dxfId="3770" priority="2239">
      <formula>AND(IF($Q32=3,1,IF($Q32=4,1,0)),IF($F32&lt;=85,1,0))</formula>
    </cfRule>
  </conditionalFormatting>
  <conditionalFormatting sqref="X32">
    <cfRule type="expression" dxfId="3769" priority="2232">
      <formula>AND(IF(OR($Q32=1,$Q32=2),1,0),IF($X32&lt;=20,1,0))</formula>
    </cfRule>
    <cfRule type="expression" dxfId="3768" priority="2233">
      <formula>AND(IF($Q32=2,1,0),IF($X32&lt;30,1,0))</formula>
    </cfRule>
    <cfRule type="expression" dxfId="3767" priority="2234">
      <formula>AND(IF($Q32=3,1,0),IF($X32&lt;30,1,0))</formula>
    </cfRule>
    <cfRule type="expression" dxfId="3766" priority="2235">
      <formula>AND(IF($Q32=3,1,IF($Q32=4,1,0)),IF($F32&lt;=85,1,0))</formula>
    </cfRule>
  </conditionalFormatting>
  <conditionalFormatting sqref="AI32">
    <cfRule type="expression" dxfId="3765" priority="2228">
      <formula>AND(IF(OR($Q32=1,$Q32=2),1,0),IF($X32&lt;=20,1,0))</formula>
    </cfRule>
    <cfRule type="expression" dxfId="3764" priority="2229">
      <formula>AND(IF($Q32=2,1,0),IF($X32&lt;30,1,0))</formula>
    </cfRule>
    <cfRule type="expression" dxfId="3763" priority="2230">
      <formula>AND(IF($Q32=3,1,0),IF($X32&lt;30,1,0))</formula>
    </cfRule>
    <cfRule type="expression" dxfId="3762" priority="2231">
      <formula>AND(IF($Q32=3,1,IF($Q32=4,1,0)),IF($F32&lt;=85,1,0))</formula>
    </cfRule>
  </conditionalFormatting>
  <conditionalFormatting sqref="AV33">
    <cfRule type="expression" dxfId="3761" priority="2226">
      <formula>AV33="X"</formula>
    </cfRule>
    <cfRule type="expression" dxfId="3760" priority="2227">
      <formula>AV33="후보"</formula>
    </cfRule>
  </conditionalFormatting>
  <conditionalFormatting sqref="Z33">
    <cfRule type="colorScale" priority="22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3759" priority="2223" operator="greaterThan">
      <formula>0.9</formula>
    </cfRule>
    <cfRule type="cellIs" dxfId="3758" priority="2224" operator="greaterThan">
      <formula>0.85</formula>
    </cfRule>
  </conditionalFormatting>
  <conditionalFormatting sqref="N33">
    <cfRule type="cellIs" dxfId="3757" priority="2221" operator="greaterThan">
      <formula>0.9</formula>
    </cfRule>
    <cfRule type="cellIs" dxfId="3756" priority="2222" operator="greaterThan">
      <formula>0.85</formula>
    </cfRule>
  </conditionalFormatting>
  <conditionalFormatting sqref="E33">
    <cfRule type="expression" dxfId="3755" priority="2217">
      <formula>AND(IF(OR($Q33=1,$Q33=2),1,0),IF($X33&lt;=20,1,0))</formula>
    </cfRule>
    <cfRule type="expression" dxfId="3754" priority="2218">
      <formula>AND(IF($Q33=2,1,0),IF($X33&lt;30,1,0))</formula>
    </cfRule>
    <cfRule type="expression" dxfId="3753" priority="2219">
      <formula>AND(IF($Q33=3,1,0),IF($X33&lt;30,1,0))</formula>
    </cfRule>
    <cfRule type="expression" dxfId="3752" priority="2220">
      <formula>AND(IF($Q33=3,1,IF($Q33=4,1,0)),IF($F33&lt;=85,1,0))</formula>
    </cfRule>
  </conditionalFormatting>
  <conditionalFormatting sqref="X33">
    <cfRule type="expression" dxfId="3751" priority="2213">
      <formula>AND(IF(OR($Q33=1,$Q33=2),1,0),IF($X33&lt;=20,1,0))</formula>
    </cfRule>
    <cfRule type="expression" dxfId="3750" priority="2214">
      <formula>AND(IF($Q33=2,1,0),IF($X33&lt;30,1,0))</formula>
    </cfRule>
    <cfRule type="expression" dxfId="3749" priority="2215">
      <formula>AND(IF($Q33=3,1,0),IF($X33&lt;30,1,0))</formula>
    </cfRule>
    <cfRule type="expression" dxfId="3748" priority="2216">
      <formula>AND(IF($Q33=3,1,IF($Q33=4,1,0)),IF($F33&lt;=85,1,0))</formula>
    </cfRule>
  </conditionalFormatting>
  <conditionalFormatting sqref="AI33">
    <cfRule type="expression" dxfId="3747" priority="2209">
      <formula>AND(IF(OR($Q33=1,$Q33=2),1,0),IF($X33&lt;=20,1,0))</formula>
    </cfRule>
    <cfRule type="expression" dxfId="3746" priority="2210">
      <formula>AND(IF($Q33=2,1,0),IF($X33&lt;30,1,0))</formula>
    </cfRule>
    <cfRule type="expression" dxfId="3745" priority="2211">
      <formula>AND(IF($Q33=3,1,0),IF($X33&lt;30,1,0))</formula>
    </cfRule>
    <cfRule type="expression" dxfId="3744" priority="2212">
      <formula>AND(IF($Q33=3,1,IF($Q33=4,1,0)),IF($F33&lt;=85,1,0))</formula>
    </cfRule>
  </conditionalFormatting>
  <conditionalFormatting sqref="AV34">
    <cfRule type="expression" dxfId="3743" priority="2207">
      <formula>AV34="X"</formula>
    </cfRule>
    <cfRule type="expression" dxfId="3742" priority="2208">
      <formula>AV34="후보"</formula>
    </cfRule>
  </conditionalFormatting>
  <conditionalFormatting sqref="Z34">
    <cfRule type="colorScale" priority="22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3741" priority="2204" operator="greaterThan">
      <formula>0.9</formula>
    </cfRule>
    <cfRule type="cellIs" dxfId="3740" priority="2205" operator="greaterThan">
      <formula>0.85</formula>
    </cfRule>
  </conditionalFormatting>
  <conditionalFormatting sqref="N34">
    <cfRule type="cellIs" dxfId="3739" priority="2202" operator="greaterThan">
      <formula>0.9</formula>
    </cfRule>
    <cfRule type="cellIs" dxfId="3738" priority="2203" operator="greaterThan">
      <formula>0.85</formula>
    </cfRule>
  </conditionalFormatting>
  <conditionalFormatting sqref="E34">
    <cfRule type="expression" dxfId="3737" priority="2198">
      <formula>AND(IF(OR($Q34=1,$Q34=2),1,0),IF($X34&lt;=20,1,0))</formula>
    </cfRule>
    <cfRule type="expression" dxfId="3736" priority="2199">
      <formula>AND(IF($Q34=2,1,0),IF($X34&lt;30,1,0))</formula>
    </cfRule>
    <cfRule type="expression" dxfId="3735" priority="2200">
      <formula>AND(IF($Q34=3,1,0),IF($X34&lt;30,1,0))</formula>
    </cfRule>
    <cfRule type="expression" dxfId="3734" priority="2201">
      <formula>AND(IF($Q34=3,1,IF($Q34=4,1,0)),IF($F34&lt;=85,1,0))</formula>
    </cfRule>
  </conditionalFormatting>
  <conditionalFormatting sqref="X34">
    <cfRule type="expression" dxfId="3733" priority="2194">
      <formula>AND(IF(OR($Q34=1,$Q34=2),1,0),IF($X34&lt;=20,1,0))</formula>
    </cfRule>
    <cfRule type="expression" dxfId="3732" priority="2195">
      <formula>AND(IF($Q34=2,1,0),IF($X34&lt;30,1,0))</formula>
    </cfRule>
    <cfRule type="expression" dxfId="3731" priority="2196">
      <formula>AND(IF($Q34=3,1,0),IF($X34&lt;30,1,0))</formula>
    </cfRule>
    <cfRule type="expression" dxfId="3730" priority="2197">
      <formula>AND(IF($Q34=3,1,IF($Q34=4,1,0)),IF($F34&lt;=85,1,0))</formula>
    </cfRule>
  </conditionalFormatting>
  <conditionalFormatting sqref="AI34">
    <cfRule type="expression" dxfId="3729" priority="2190">
      <formula>AND(IF(OR($Q34=1,$Q34=2),1,0),IF($X34&lt;=20,1,0))</formula>
    </cfRule>
    <cfRule type="expression" dxfId="3728" priority="2191">
      <formula>AND(IF($Q34=2,1,0),IF($X34&lt;30,1,0))</formula>
    </cfRule>
    <cfRule type="expression" dxfId="3727" priority="2192">
      <formula>AND(IF($Q34=3,1,0),IF($X34&lt;30,1,0))</formula>
    </cfRule>
    <cfRule type="expression" dxfId="3726" priority="2193">
      <formula>AND(IF($Q34=3,1,IF($Q34=4,1,0)),IF($F34&lt;=85,1,0))</formula>
    </cfRule>
  </conditionalFormatting>
  <conditionalFormatting sqref="AV35">
    <cfRule type="expression" dxfId="3725" priority="2188">
      <formula>AV35="X"</formula>
    </cfRule>
    <cfRule type="expression" dxfId="3724" priority="2189">
      <formula>AV35="후보"</formula>
    </cfRule>
  </conditionalFormatting>
  <conditionalFormatting sqref="Z35">
    <cfRule type="colorScale" priority="21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3723" priority="2185" operator="greaterThan">
      <formula>0.9</formula>
    </cfRule>
    <cfRule type="cellIs" dxfId="3722" priority="2186" operator="greaterThan">
      <formula>0.85</formula>
    </cfRule>
  </conditionalFormatting>
  <conditionalFormatting sqref="N35">
    <cfRule type="cellIs" dxfId="3721" priority="2183" operator="greaterThan">
      <formula>0.9</formula>
    </cfRule>
    <cfRule type="cellIs" dxfId="3720" priority="2184" operator="greaterThan">
      <formula>0.85</formula>
    </cfRule>
  </conditionalFormatting>
  <conditionalFormatting sqref="E35">
    <cfRule type="expression" dxfId="3719" priority="2179">
      <formula>AND(IF(OR($Q35=1,$Q35=2),1,0),IF($X35&lt;=20,1,0))</formula>
    </cfRule>
    <cfRule type="expression" dxfId="3718" priority="2180">
      <formula>AND(IF($Q35=2,1,0),IF($X35&lt;30,1,0))</formula>
    </cfRule>
    <cfRule type="expression" dxfId="3717" priority="2181">
      <formula>AND(IF($Q35=3,1,0),IF($X35&lt;30,1,0))</formula>
    </cfRule>
    <cfRule type="expression" dxfId="3716" priority="2182">
      <formula>AND(IF($Q35=3,1,IF($Q35=4,1,0)),IF($F35&lt;=85,1,0))</formula>
    </cfRule>
  </conditionalFormatting>
  <conditionalFormatting sqref="X35">
    <cfRule type="expression" dxfId="3715" priority="2175">
      <formula>AND(IF(OR($Q35=1,$Q35=2),1,0),IF($X35&lt;=20,1,0))</formula>
    </cfRule>
    <cfRule type="expression" dxfId="3714" priority="2176">
      <formula>AND(IF($Q35=2,1,0),IF($X35&lt;30,1,0))</formula>
    </cfRule>
    <cfRule type="expression" dxfId="3713" priority="2177">
      <formula>AND(IF($Q35=3,1,0),IF($X35&lt;30,1,0))</formula>
    </cfRule>
    <cfRule type="expression" dxfId="3712" priority="2178">
      <formula>AND(IF($Q35=3,1,IF($Q35=4,1,0)),IF($F35&lt;=85,1,0))</formula>
    </cfRule>
  </conditionalFormatting>
  <conditionalFormatting sqref="AI35">
    <cfRule type="expression" dxfId="3711" priority="2171">
      <formula>AND(IF(OR($Q35=1,$Q35=2),1,0),IF($X35&lt;=20,1,0))</formula>
    </cfRule>
    <cfRule type="expression" dxfId="3710" priority="2172">
      <formula>AND(IF($Q35=2,1,0),IF($X35&lt;30,1,0))</formula>
    </cfRule>
    <cfRule type="expression" dxfId="3709" priority="2173">
      <formula>AND(IF($Q35=3,1,0),IF($X35&lt;30,1,0))</formula>
    </cfRule>
    <cfRule type="expression" dxfId="3708" priority="2174">
      <formula>AND(IF($Q35=3,1,IF($Q35=4,1,0)),IF($F35&lt;=85,1,0))</formula>
    </cfRule>
  </conditionalFormatting>
  <conditionalFormatting sqref="AV36">
    <cfRule type="expression" dxfId="3707" priority="2169">
      <formula>AV36="X"</formula>
    </cfRule>
    <cfRule type="expression" dxfId="3706" priority="2170">
      <formula>AV36="후보"</formula>
    </cfRule>
  </conditionalFormatting>
  <conditionalFormatting sqref="Z36">
    <cfRule type="colorScale" priority="21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3705" priority="2166" operator="greaterThan">
      <formula>0.9</formula>
    </cfRule>
    <cfRule type="cellIs" dxfId="3704" priority="2167" operator="greaterThan">
      <formula>0.85</formula>
    </cfRule>
  </conditionalFormatting>
  <conditionalFormatting sqref="AV37">
    <cfRule type="expression" dxfId="3703" priority="2164">
      <formula>AV37="X"</formula>
    </cfRule>
    <cfRule type="expression" dxfId="3702" priority="2165">
      <formula>AV37="후보"</formula>
    </cfRule>
  </conditionalFormatting>
  <conditionalFormatting sqref="Z37">
    <cfRule type="colorScale" priority="21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3701" priority="2161" operator="greaterThan">
      <formula>0.9</formula>
    </cfRule>
    <cfRule type="cellIs" dxfId="3700" priority="2162" operator="greaterThan">
      <formula>0.85</formula>
    </cfRule>
  </conditionalFormatting>
  <conditionalFormatting sqref="N37">
    <cfRule type="cellIs" dxfId="3699" priority="2159" operator="greaterThan">
      <formula>0.9</formula>
    </cfRule>
    <cfRule type="cellIs" dxfId="3698" priority="2160" operator="greaterThan">
      <formula>0.85</formula>
    </cfRule>
  </conditionalFormatting>
  <conditionalFormatting sqref="E37">
    <cfRule type="expression" dxfId="3697" priority="2155">
      <formula>AND(IF(OR($Q37=1,$Q37=2),1,0),IF($X37&lt;=20,1,0))</formula>
    </cfRule>
    <cfRule type="expression" dxfId="3696" priority="2156">
      <formula>AND(IF($Q37=2,1,0),IF($X37&lt;30,1,0))</formula>
    </cfRule>
    <cfRule type="expression" dxfId="3695" priority="2157">
      <formula>AND(IF($Q37=3,1,0),IF($X37&lt;30,1,0))</formula>
    </cfRule>
    <cfRule type="expression" dxfId="3694" priority="2158">
      <formula>AND(IF($Q37=3,1,IF($Q37=4,1,0)),IF($F37&lt;=85,1,0))</formula>
    </cfRule>
  </conditionalFormatting>
  <conditionalFormatting sqref="X37">
    <cfRule type="expression" dxfId="3693" priority="2151">
      <formula>AND(IF(OR($Q37=1,$Q37=2),1,0),IF($X37&lt;=20,1,0))</formula>
    </cfRule>
    <cfRule type="expression" dxfId="3692" priority="2152">
      <formula>AND(IF($Q37=2,1,0),IF($X37&lt;30,1,0))</formula>
    </cfRule>
    <cfRule type="expression" dxfId="3691" priority="2153">
      <formula>AND(IF($Q37=3,1,0),IF($X37&lt;30,1,0))</formula>
    </cfRule>
    <cfRule type="expression" dxfId="3690" priority="2154">
      <formula>AND(IF($Q37=3,1,IF($Q37=4,1,0)),IF($F37&lt;=85,1,0))</formula>
    </cfRule>
  </conditionalFormatting>
  <conditionalFormatting sqref="AI37">
    <cfRule type="expression" dxfId="3689" priority="2147">
      <formula>AND(IF(OR($Q37=1,$Q37=2),1,0),IF($X37&lt;=20,1,0))</formula>
    </cfRule>
    <cfRule type="expression" dxfId="3688" priority="2148">
      <formula>AND(IF($Q37=2,1,0),IF($X37&lt;30,1,0))</formula>
    </cfRule>
    <cfRule type="expression" dxfId="3687" priority="2149">
      <formula>AND(IF($Q37=3,1,0),IF($X37&lt;30,1,0))</formula>
    </cfRule>
    <cfRule type="expression" dxfId="3686" priority="2150">
      <formula>AND(IF($Q37=3,1,IF($Q37=4,1,0)),IF($F37&lt;=85,1,0))</formula>
    </cfRule>
  </conditionalFormatting>
  <conditionalFormatting sqref="AV38">
    <cfRule type="expression" dxfId="3685" priority="2145">
      <formula>AV38="X"</formula>
    </cfRule>
    <cfRule type="expression" dxfId="3684" priority="2146">
      <formula>AV38="후보"</formula>
    </cfRule>
  </conditionalFormatting>
  <conditionalFormatting sqref="Z38">
    <cfRule type="colorScale" priority="21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3683" priority="2142" operator="greaterThan">
      <formula>0.9</formula>
    </cfRule>
    <cfRule type="cellIs" dxfId="3682" priority="2143" operator="greaterThan">
      <formula>0.85</formula>
    </cfRule>
  </conditionalFormatting>
  <conditionalFormatting sqref="N38">
    <cfRule type="cellIs" dxfId="3681" priority="2140" operator="greaterThan">
      <formula>0.9</formula>
    </cfRule>
    <cfRule type="cellIs" dxfId="3680" priority="2141" operator="greaterThan">
      <formula>0.85</formula>
    </cfRule>
  </conditionalFormatting>
  <conditionalFormatting sqref="E38">
    <cfRule type="expression" dxfId="3679" priority="2136">
      <formula>AND(IF(OR($Q38=1,$Q38=2),1,0),IF($X38&lt;=20,1,0))</formula>
    </cfRule>
    <cfRule type="expression" dxfId="3678" priority="2137">
      <formula>AND(IF($Q38=2,1,0),IF($X38&lt;30,1,0))</formula>
    </cfRule>
    <cfRule type="expression" dxfId="3677" priority="2138">
      <formula>AND(IF($Q38=3,1,0),IF($X38&lt;30,1,0))</formula>
    </cfRule>
    <cfRule type="expression" dxfId="3676" priority="2139">
      <formula>AND(IF($Q38=3,1,IF($Q38=4,1,0)),IF($F38&lt;=85,1,0))</formula>
    </cfRule>
  </conditionalFormatting>
  <conditionalFormatting sqref="X38">
    <cfRule type="expression" dxfId="3675" priority="2132">
      <formula>AND(IF(OR($Q38=1,$Q38=2),1,0),IF($X38&lt;=20,1,0))</formula>
    </cfRule>
    <cfRule type="expression" dxfId="3674" priority="2133">
      <formula>AND(IF($Q38=2,1,0),IF($X38&lt;30,1,0))</formula>
    </cfRule>
    <cfRule type="expression" dxfId="3673" priority="2134">
      <formula>AND(IF($Q38=3,1,0),IF($X38&lt;30,1,0))</formula>
    </cfRule>
    <cfRule type="expression" dxfId="3672" priority="2135">
      <formula>AND(IF($Q38=3,1,IF($Q38=4,1,0)),IF($F38&lt;=85,1,0))</formula>
    </cfRule>
  </conditionalFormatting>
  <conditionalFormatting sqref="AI38">
    <cfRule type="expression" dxfId="3671" priority="2128">
      <formula>AND(IF(OR($Q38=1,$Q38=2),1,0),IF($X38&lt;=20,1,0))</formula>
    </cfRule>
    <cfRule type="expression" dxfId="3670" priority="2129">
      <formula>AND(IF($Q38=2,1,0),IF($X38&lt;30,1,0))</formula>
    </cfRule>
    <cfRule type="expression" dxfId="3669" priority="2130">
      <formula>AND(IF($Q38=3,1,0),IF($X38&lt;30,1,0))</formula>
    </cfRule>
    <cfRule type="expression" dxfId="3668" priority="2131">
      <formula>AND(IF($Q38=3,1,IF($Q38=4,1,0)),IF($F38&lt;=85,1,0))</formula>
    </cfRule>
  </conditionalFormatting>
  <conditionalFormatting sqref="AV39">
    <cfRule type="expression" dxfId="3667" priority="2126">
      <formula>AV39="X"</formula>
    </cfRule>
    <cfRule type="expression" dxfId="3666" priority="2127">
      <formula>AV39="후보"</formula>
    </cfRule>
  </conditionalFormatting>
  <conditionalFormatting sqref="Z39">
    <cfRule type="colorScale" priority="21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3665" priority="2123" operator="greaterThan">
      <formula>0.9</formula>
    </cfRule>
    <cfRule type="cellIs" dxfId="3664" priority="2124" operator="greaterThan">
      <formula>0.85</formula>
    </cfRule>
  </conditionalFormatting>
  <conditionalFormatting sqref="N39">
    <cfRule type="cellIs" dxfId="3663" priority="2121" operator="greaterThan">
      <formula>0.9</formula>
    </cfRule>
    <cfRule type="cellIs" dxfId="3662" priority="2122" operator="greaterThan">
      <formula>0.85</formula>
    </cfRule>
  </conditionalFormatting>
  <conditionalFormatting sqref="E39">
    <cfRule type="expression" dxfId="3661" priority="2117">
      <formula>AND(IF(OR($Q39=1,$Q39=2),1,0),IF($X39&lt;=20,1,0))</formula>
    </cfRule>
    <cfRule type="expression" dxfId="3660" priority="2118">
      <formula>AND(IF($Q39=2,1,0),IF($X39&lt;30,1,0))</formula>
    </cfRule>
    <cfRule type="expression" dxfId="3659" priority="2119">
      <formula>AND(IF($Q39=3,1,0),IF($X39&lt;30,1,0))</formula>
    </cfRule>
    <cfRule type="expression" dxfId="3658" priority="2120">
      <formula>AND(IF($Q39=3,1,IF($Q39=4,1,0)),IF($F39&lt;=85,1,0))</formula>
    </cfRule>
  </conditionalFormatting>
  <conditionalFormatting sqref="X39">
    <cfRule type="expression" dxfId="3657" priority="2113">
      <formula>AND(IF(OR($Q39=1,$Q39=2),1,0),IF($X39&lt;=20,1,0))</formula>
    </cfRule>
    <cfRule type="expression" dxfId="3656" priority="2114">
      <formula>AND(IF($Q39=2,1,0),IF($X39&lt;30,1,0))</formula>
    </cfRule>
    <cfRule type="expression" dxfId="3655" priority="2115">
      <formula>AND(IF($Q39=3,1,0),IF($X39&lt;30,1,0))</formula>
    </cfRule>
    <cfRule type="expression" dxfId="3654" priority="2116">
      <formula>AND(IF($Q39=3,1,IF($Q39=4,1,0)),IF($F39&lt;=85,1,0))</formula>
    </cfRule>
  </conditionalFormatting>
  <conditionalFormatting sqref="AI39">
    <cfRule type="expression" dxfId="3653" priority="2109">
      <formula>AND(IF(OR($Q39=1,$Q39=2),1,0),IF($X39&lt;=20,1,0))</formula>
    </cfRule>
    <cfRule type="expression" dxfId="3652" priority="2110">
      <formula>AND(IF($Q39=2,1,0),IF($X39&lt;30,1,0))</formula>
    </cfRule>
    <cfRule type="expression" dxfId="3651" priority="2111">
      <formula>AND(IF($Q39=3,1,0),IF($X39&lt;30,1,0))</formula>
    </cfRule>
    <cfRule type="expression" dxfId="3650" priority="2112">
      <formula>AND(IF($Q39=3,1,IF($Q39=4,1,0)),IF($F39&lt;=85,1,0))</formula>
    </cfRule>
  </conditionalFormatting>
  <conditionalFormatting sqref="AV40">
    <cfRule type="expression" dxfId="3649" priority="2107">
      <formula>AV40="X"</formula>
    </cfRule>
    <cfRule type="expression" dxfId="3648" priority="2108">
      <formula>AV40="후보"</formula>
    </cfRule>
  </conditionalFormatting>
  <conditionalFormatting sqref="Z40">
    <cfRule type="colorScale" priority="21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647" priority="2104" operator="greaterThan">
      <formula>0.9</formula>
    </cfRule>
    <cfRule type="cellIs" dxfId="3646" priority="2105" operator="greaterThan">
      <formula>0.85</formula>
    </cfRule>
  </conditionalFormatting>
  <conditionalFormatting sqref="N40">
    <cfRule type="cellIs" dxfId="3645" priority="2102" operator="greaterThan">
      <formula>0.9</formula>
    </cfRule>
    <cfRule type="cellIs" dxfId="3644" priority="2103" operator="greaterThan">
      <formula>0.85</formula>
    </cfRule>
  </conditionalFormatting>
  <conditionalFormatting sqref="E40">
    <cfRule type="expression" dxfId="3643" priority="2098">
      <formula>AND(IF(OR($Q40=1,$Q40=2),1,0),IF($X40&lt;=20,1,0))</formula>
    </cfRule>
    <cfRule type="expression" dxfId="3642" priority="2099">
      <formula>AND(IF($Q40=2,1,0),IF($X40&lt;30,1,0))</formula>
    </cfRule>
    <cfRule type="expression" dxfId="3641" priority="2100">
      <formula>AND(IF($Q40=3,1,0),IF($X40&lt;30,1,0))</formula>
    </cfRule>
    <cfRule type="expression" dxfId="3640" priority="2101">
      <formula>AND(IF($Q40=3,1,IF($Q40=4,1,0)),IF($F40&lt;=85,1,0))</formula>
    </cfRule>
  </conditionalFormatting>
  <conditionalFormatting sqref="X40">
    <cfRule type="expression" dxfId="3639" priority="2094">
      <formula>AND(IF(OR($Q40=1,$Q40=2),1,0),IF($X40&lt;=20,1,0))</formula>
    </cfRule>
    <cfRule type="expression" dxfId="3638" priority="2095">
      <formula>AND(IF($Q40=2,1,0),IF($X40&lt;30,1,0))</formula>
    </cfRule>
    <cfRule type="expression" dxfId="3637" priority="2096">
      <formula>AND(IF($Q40=3,1,0),IF($X40&lt;30,1,0))</formula>
    </cfRule>
    <cfRule type="expression" dxfId="3636" priority="2097">
      <formula>AND(IF($Q40=3,1,IF($Q40=4,1,0)),IF($F40&lt;=85,1,0))</formula>
    </cfRule>
  </conditionalFormatting>
  <conditionalFormatting sqref="AI40">
    <cfRule type="expression" dxfId="3635" priority="2090">
      <formula>AND(IF(OR($Q40=1,$Q40=2),1,0),IF($X40&lt;=20,1,0))</formula>
    </cfRule>
    <cfRule type="expression" dxfId="3634" priority="2091">
      <formula>AND(IF($Q40=2,1,0),IF($X40&lt;30,1,0))</formula>
    </cfRule>
    <cfRule type="expression" dxfId="3633" priority="2092">
      <formula>AND(IF($Q40=3,1,0),IF($X40&lt;30,1,0))</formula>
    </cfRule>
    <cfRule type="expression" dxfId="3632" priority="2093">
      <formula>AND(IF($Q40=3,1,IF($Q40=4,1,0)),IF($F40&lt;=85,1,0))</formula>
    </cfRule>
  </conditionalFormatting>
  <conditionalFormatting sqref="AV41">
    <cfRule type="expression" dxfId="3631" priority="2088">
      <formula>AV41="X"</formula>
    </cfRule>
    <cfRule type="expression" dxfId="3630" priority="2089">
      <formula>AV41="후보"</formula>
    </cfRule>
  </conditionalFormatting>
  <conditionalFormatting sqref="Z41">
    <cfRule type="colorScale" priority="20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3629" priority="2085" operator="greaterThan">
      <formula>0.9</formula>
    </cfRule>
    <cfRule type="cellIs" dxfId="3628" priority="2086" operator="greaterThan">
      <formula>0.85</formula>
    </cfRule>
  </conditionalFormatting>
  <conditionalFormatting sqref="N41">
    <cfRule type="cellIs" dxfId="3627" priority="2083" operator="greaterThan">
      <formula>0.9</formula>
    </cfRule>
    <cfRule type="cellIs" dxfId="3626" priority="2084" operator="greaterThan">
      <formula>0.85</formula>
    </cfRule>
  </conditionalFormatting>
  <conditionalFormatting sqref="E41">
    <cfRule type="expression" dxfId="3625" priority="2079">
      <formula>AND(IF(OR($Q41=1,$Q41=2),1,0),IF($X41&lt;=20,1,0))</formula>
    </cfRule>
    <cfRule type="expression" dxfId="3624" priority="2080">
      <formula>AND(IF($Q41=2,1,0),IF($X41&lt;30,1,0))</formula>
    </cfRule>
    <cfRule type="expression" dxfId="3623" priority="2081">
      <formula>AND(IF($Q41=3,1,0),IF($X41&lt;30,1,0))</formula>
    </cfRule>
    <cfRule type="expression" dxfId="3622" priority="2082">
      <formula>AND(IF($Q41=3,1,IF($Q41=4,1,0)),IF($F41&lt;=85,1,0))</formula>
    </cfRule>
  </conditionalFormatting>
  <conditionalFormatting sqref="X41">
    <cfRule type="expression" dxfId="3621" priority="2075">
      <formula>AND(IF(OR($Q41=1,$Q41=2),1,0),IF($X41&lt;=20,1,0))</formula>
    </cfRule>
    <cfRule type="expression" dxfId="3620" priority="2076">
      <formula>AND(IF($Q41=2,1,0),IF($X41&lt;30,1,0))</formula>
    </cfRule>
    <cfRule type="expression" dxfId="3619" priority="2077">
      <formula>AND(IF($Q41=3,1,0),IF($X41&lt;30,1,0))</formula>
    </cfRule>
    <cfRule type="expression" dxfId="3618" priority="2078">
      <formula>AND(IF($Q41=3,1,IF($Q41=4,1,0)),IF($F41&lt;=85,1,0))</formula>
    </cfRule>
  </conditionalFormatting>
  <conditionalFormatting sqref="AI41">
    <cfRule type="expression" dxfId="3617" priority="2071">
      <formula>AND(IF(OR($Q41=1,$Q41=2),1,0),IF($X41&lt;=20,1,0))</formula>
    </cfRule>
    <cfRule type="expression" dxfId="3616" priority="2072">
      <formula>AND(IF($Q41=2,1,0),IF($X41&lt;30,1,0))</formula>
    </cfRule>
    <cfRule type="expression" dxfId="3615" priority="2073">
      <formula>AND(IF($Q41=3,1,0),IF($X41&lt;30,1,0))</formula>
    </cfRule>
    <cfRule type="expression" dxfId="3614" priority="2074">
      <formula>AND(IF($Q41=3,1,IF($Q41=4,1,0)),IF($F41&lt;=85,1,0))</formula>
    </cfRule>
  </conditionalFormatting>
  <conditionalFormatting sqref="AV42">
    <cfRule type="expression" dxfId="3613" priority="2069">
      <formula>AV42="X"</formula>
    </cfRule>
    <cfRule type="expression" dxfId="3612" priority="2070">
      <formula>AV42="후보"</formula>
    </cfRule>
  </conditionalFormatting>
  <conditionalFormatting sqref="Z42">
    <cfRule type="colorScale" priority="20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3611" priority="2066" operator="greaterThan">
      <formula>0.9</formula>
    </cfRule>
    <cfRule type="cellIs" dxfId="3610" priority="2067" operator="greaterThan">
      <formula>0.85</formula>
    </cfRule>
  </conditionalFormatting>
  <conditionalFormatting sqref="N42">
    <cfRule type="cellIs" dxfId="3609" priority="2064" operator="greaterThan">
      <formula>0.9</formula>
    </cfRule>
    <cfRule type="cellIs" dxfId="3608" priority="2065" operator="greaterThan">
      <formula>0.85</formula>
    </cfRule>
  </conditionalFormatting>
  <conditionalFormatting sqref="E42">
    <cfRule type="expression" dxfId="3607" priority="2060">
      <formula>AND(IF(OR($Q42=1,$Q42=2),1,0),IF($X42&lt;=20,1,0))</formula>
    </cfRule>
    <cfRule type="expression" dxfId="3606" priority="2061">
      <formula>AND(IF($Q42=2,1,0),IF($X42&lt;30,1,0))</formula>
    </cfRule>
    <cfRule type="expression" dxfId="3605" priority="2062">
      <formula>AND(IF($Q42=3,1,0),IF($X42&lt;30,1,0))</formula>
    </cfRule>
    <cfRule type="expression" dxfId="3604" priority="2063">
      <formula>AND(IF($Q42=3,1,IF($Q42=4,1,0)),IF($F42&lt;=85,1,0))</formula>
    </cfRule>
  </conditionalFormatting>
  <conditionalFormatting sqref="X42">
    <cfRule type="expression" dxfId="3603" priority="2056">
      <formula>AND(IF(OR($Q42=1,$Q42=2),1,0),IF($X42&lt;=20,1,0))</formula>
    </cfRule>
    <cfRule type="expression" dxfId="3602" priority="2057">
      <formula>AND(IF($Q42=2,1,0),IF($X42&lt;30,1,0))</formula>
    </cfRule>
    <cfRule type="expression" dxfId="3601" priority="2058">
      <formula>AND(IF($Q42=3,1,0),IF($X42&lt;30,1,0))</formula>
    </cfRule>
    <cfRule type="expression" dxfId="3600" priority="2059">
      <formula>AND(IF($Q42=3,1,IF($Q42=4,1,0)),IF($F42&lt;=85,1,0))</formula>
    </cfRule>
  </conditionalFormatting>
  <conditionalFormatting sqref="AI42">
    <cfRule type="expression" dxfId="3599" priority="2052">
      <formula>AND(IF(OR($Q42=1,$Q42=2),1,0),IF($X42&lt;=20,1,0))</formula>
    </cfRule>
    <cfRule type="expression" dxfId="3598" priority="2053">
      <formula>AND(IF($Q42=2,1,0),IF($X42&lt;30,1,0))</formula>
    </cfRule>
    <cfRule type="expression" dxfId="3597" priority="2054">
      <formula>AND(IF($Q42=3,1,0),IF($X42&lt;30,1,0))</formula>
    </cfRule>
    <cfRule type="expression" dxfId="3596" priority="2055">
      <formula>AND(IF($Q42=3,1,IF($Q42=4,1,0)),IF($F42&lt;=85,1,0))</formula>
    </cfRule>
  </conditionalFormatting>
  <conditionalFormatting sqref="AV43">
    <cfRule type="expression" dxfId="3595" priority="2050">
      <formula>AV43="X"</formula>
    </cfRule>
    <cfRule type="expression" dxfId="3594" priority="2051">
      <formula>AV43="후보"</formula>
    </cfRule>
  </conditionalFormatting>
  <conditionalFormatting sqref="Z43">
    <cfRule type="colorScale" priority="20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593" priority="2047" operator="greaterThan">
      <formula>0.9</formula>
    </cfRule>
    <cfRule type="cellIs" dxfId="3592" priority="2048" operator="greaterThan">
      <formula>0.85</formula>
    </cfRule>
  </conditionalFormatting>
  <conditionalFormatting sqref="N43">
    <cfRule type="cellIs" dxfId="3591" priority="2045" operator="greaterThan">
      <formula>0.9</formula>
    </cfRule>
    <cfRule type="cellIs" dxfId="3590" priority="2046" operator="greaterThan">
      <formula>0.85</formula>
    </cfRule>
  </conditionalFormatting>
  <conditionalFormatting sqref="E43">
    <cfRule type="expression" dxfId="3589" priority="2041">
      <formula>AND(IF(OR($Q43=1,$Q43=2),1,0),IF($X43&lt;=20,1,0))</formula>
    </cfRule>
    <cfRule type="expression" dxfId="3588" priority="2042">
      <formula>AND(IF($Q43=2,1,0),IF($X43&lt;30,1,0))</formula>
    </cfRule>
    <cfRule type="expression" dxfId="3587" priority="2043">
      <formula>AND(IF($Q43=3,1,0),IF($X43&lt;30,1,0))</formula>
    </cfRule>
    <cfRule type="expression" dxfId="3586" priority="2044">
      <formula>AND(IF($Q43=3,1,IF($Q43=4,1,0)),IF($F43&lt;=85,1,0))</formula>
    </cfRule>
  </conditionalFormatting>
  <conditionalFormatting sqref="X43">
    <cfRule type="expression" dxfId="3585" priority="2037">
      <formula>AND(IF(OR($Q43=1,$Q43=2),1,0),IF($X43&lt;=20,1,0))</formula>
    </cfRule>
    <cfRule type="expression" dxfId="3584" priority="2038">
      <formula>AND(IF($Q43=2,1,0),IF($X43&lt;30,1,0))</formula>
    </cfRule>
    <cfRule type="expression" dxfId="3583" priority="2039">
      <formula>AND(IF($Q43=3,1,0),IF($X43&lt;30,1,0))</formula>
    </cfRule>
    <cfRule type="expression" dxfId="3582" priority="2040">
      <formula>AND(IF($Q43=3,1,IF($Q43=4,1,0)),IF($F43&lt;=85,1,0))</formula>
    </cfRule>
  </conditionalFormatting>
  <conditionalFormatting sqref="AI43">
    <cfRule type="expression" dxfId="3581" priority="2033">
      <formula>AND(IF(OR($Q43=1,$Q43=2),1,0),IF($X43&lt;=20,1,0))</formula>
    </cfRule>
    <cfRule type="expression" dxfId="3580" priority="2034">
      <formula>AND(IF($Q43=2,1,0),IF($X43&lt;30,1,0))</formula>
    </cfRule>
    <cfRule type="expression" dxfId="3579" priority="2035">
      <formula>AND(IF($Q43=3,1,0),IF($X43&lt;30,1,0))</formula>
    </cfRule>
    <cfRule type="expression" dxfId="3578" priority="2036">
      <formula>AND(IF($Q43=3,1,IF($Q43=4,1,0)),IF($F43&lt;=85,1,0))</formula>
    </cfRule>
  </conditionalFormatting>
  <conditionalFormatting sqref="AV44">
    <cfRule type="expression" dxfId="3577" priority="2031">
      <formula>AV44="X"</formula>
    </cfRule>
    <cfRule type="expression" dxfId="3576" priority="2032">
      <formula>AV44="후보"</formula>
    </cfRule>
  </conditionalFormatting>
  <conditionalFormatting sqref="Z44">
    <cfRule type="colorScale" priority="20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3575" priority="2028" operator="greaterThan">
      <formula>0.9</formula>
    </cfRule>
    <cfRule type="cellIs" dxfId="3574" priority="2029" operator="greaterThan">
      <formula>0.85</formula>
    </cfRule>
  </conditionalFormatting>
  <conditionalFormatting sqref="N44">
    <cfRule type="cellIs" dxfId="3573" priority="2026" operator="greaterThan">
      <formula>0.9</formula>
    </cfRule>
    <cfRule type="cellIs" dxfId="3572" priority="2027" operator="greaterThan">
      <formula>0.85</formula>
    </cfRule>
  </conditionalFormatting>
  <conditionalFormatting sqref="E44">
    <cfRule type="expression" dxfId="3571" priority="2022">
      <formula>AND(IF(OR($Q44=1,$Q44=2),1,0),IF($X44&lt;=20,1,0))</formula>
    </cfRule>
    <cfRule type="expression" dxfId="3570" priority="2023">
      <formula>AND(IF($Q44=2,1,0),IF($X44&lt;30,1,0))</formula>
    </cfRule>
    <cfRule type="expression" dxfId="3569" priority="2024">
      <formula>AND(IF($Q44=3,1,0),IF($X44&lt;30,1,0))</formula>
    </cfRule>
    <cfRule type="expression" dxfId="3568" priority="2025">
      <formula>AND(IF($Q44=3,1,IF($Q44=4,1,0)),IF($F44&lt;=85,1,0))</formula>
    </cfRule>
  </conditionalFormatting>
  <conditionalFormatting sqref="X44">
    <cfRule type="expression" dxfId="3567" priority="2018">
      <formula>AND(IF(OR($Q44=1,$Q44=2),1,0),IF($X44&lt;=20,1,0))</formula>
    </cfRule>
    <cfRule type="expression" dxfId="3566" priority="2019">
      <formula>AND(IF($Q44=2,1,0),IF($X44&lt;30,1,0))</formula>
    </cfRule>
    <cfRule type="expression" dxfId="3565" priority="2020">
      <formula>AND(IF($Q44=3,1,0),IF($X44&lt;30,1,0))</formula>
    </cfRule>
    <cfRule type="expression" dxfId="3564" priority="2021">
      <formula>AND(IF($Q44=3,1,IF($Q44=4,1,0)),IF($F44&lt;=85,1,0))</formula>
    </cfRule>
  </conditionalFormatting>
  <conditionalFormatting sqref="AI44">
    <cfRule type="expression" dxfId="3563" priority="2014">
      <formula>AND(IF(OR($Q44=1,$Q44=2),1,0),IF($X44&lt;=20,1,0))</formula>
    </cfRule>
    <cfRule type="expression" dxfId="3562" priority="2015">
      <formula>AND(IF($Q44=2,1,0),IF($X44&lt;30,1,0))</formula>
    </cfRule>
    <cfRule type="expression" dxfId="3561" priority="2016">
      <formula>AND(IF($Q44=3,1,0),IF($X44&lt;30,1,0))</formula>
    </cfRule>
    <cfRule type="expression" dxfId="3560" priority="2017">
      <formula>AND(IF($Q44=3,1,IF($Q44=4,1,0)),IF($F44&lt;=85,1,0))</formula>
    </cfRule>
  </conditionalFormatting>
  <conditionalFormatting sqref="AV45">
    <cfRule type="expression" dxfId="3559" priority="2012">
      <formula>AV45="X"</formula>
    </cfRule>
    <cfRule type="expression" dxfId="3558" priority="2013">
      <formula>AV45="후보"</formula>
    </cfRule>
  </conditionalFormatting>
  <conditionalFormatting sqref="Z45">
    <cfRule type="colorScale" priority="20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3557" priority="2009" operator="greaterThan">
      <formula>0.9</formula>
    </cfRule>
    <cfRule type="cellIs" dxfId="3556" priority="2010" operator="greaterThan">
      <formula>0.85</formula>
    </cfRule>
  </conditionalFormatting>
  <conditionalFormatting sqref="N45">
    <cfRule type="cellIs" dxfId="3555" priority="2007" operator="greaterThan">
      <formula>0.9</formula>
    </cfRule>
    <cfRule type="cellIs" dxfId="3554" priority="2008" operator="greaterThan">
      <formula>0.85</formula>
    </cfRule>
  </conditionalFormatting>
  <conditionalFormatting sqref="E45">
    <cfRule type="expression" dxfId="3553" priority="2003">
      <formula>AND(IF(OR($Q45=1,$Q45=2),1,0),IF($X45&lt;=20,1,0))</formula>
    </cfRule>
    <cfRule type="expression" dxfId="3552" priority="2004">
      <formula>AND(IF($Q45=2,1,0),IF($X45&lt;30,1,0))</formula>
    </cfRule>
    <cfRule type="expression" dxfId="3551" priority="2005">
      <formula>AND(IF($Q45=3,1,0),IF($X45&lt;30,1,0))</formula>
    </cfRule>
    <cfRule type="expression" dxfId="3550" priority="2006">
      <formula>AND(IF($Q45=3,1,IF($Q45=4,1,0)),IF($F45&lt;=85,1,0))</formula>
    </cfRule>
  </conditionalFormatting>
  <conditionalFormatting sqref="X45">
    <cfRule type="expression" dxfId="3549" priority="1999">
      <formula>AND(IF(OR($Q45=1,$Q45=2),1,0),IF($X45&lt;=20,1,0))</formula>
    </cfRule>
    <cfRule type="expression" dxfId="3548" priority="2000">
      <formula>AND(IF($Q45=2,1,0),IF($X45&lt;30,1,0))</formula>
    </cfRule>
    <cfRule type="expression" dxfId="3547" priority="2001">
      <formula>AND(IF($Q45=3,1,0),IF($X45&lt;30,1,0))</formula>
    </cfRule>
    <cfRule type="expression" dxfId="3546" priority="2002">
      <formula>AND(IF($Q45=3,1,IF($Q45=4,1,0)),IF($F45&lt;=85,1,0))</formula>
    </cfRule>
  </conditionalFormatting>
  <conditionalFormatting sqref="AI45">
    <cfRule type="expression" dxfId="3545" priority="1995">
      <formula>AND(IF(OR($Q45=1,$Q45=2),1,0),IF($X45&lt;=20,1,0))</formula>
    </cfRule>
    <cfRule type="expression" dxfId="3544" priority="1996">
      <formula>AND(IF($Q45=2,1,0),IF($X45&lt;30,1,0))</formula>
    </cfRule>
    <cfRule type="expression" dxfId="3543" priority="1997">
      <formula>AND(IF($Q45=3,1,0),IF($X45&lt;30,1,0))</formula>
    </cfRule>
    <cfRule type="expression" dxfId="3542" priority="1998">
      <formula>AND(IF($Q45=3,1,IF($Q45=4,1,0)),IF($F45&lt;=85,1,0))</formula>
    </cfRule>
  </conditionalFormatting>
  <conditionalFormatting sqref="AV46">
    <cfRule type="expression" dxfId="3541" priority="1993">
      <formula>AV46="X"</formula>
    </cfRule>
    <cfRule type="expression" dxfId="3540" priority="1994">
      <formula>AV46="후보"</formula>
    </cfRule>
  </conditionalFormatting>
  <conditionalFormatting sqref="Z46">
    <cfRule type="colorScale" priority="19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539" priority="1990" operator="greaterThan">
      <formula>0.9</formula>
    </cfRule>
    <cfRule type="cellIs" dxfId="3538" priority="1991" operator="greaterThan">
      <formula>0.85</formula>
    </cfRule>
  </conditionalFormatting>
  <conditionalFormatting sqref="N46">
    <cfRule type="cellIs" dxfId="3537" priority="1988" operator="greaterThan">
      <formula>0.9</formula>
    </cfRule>
    <cfRule type="cellIs" dxfId="3536" priority="1989" operator="greaterThan">
      <formula>0.85</formula>
    </cfRule>
  </conditionalFormatting>
  <conditionalFormatting sqref="E46">
    <cfRule type="expression" dxfId="3535" priority="1984">
      <formula>AND(IF(OR($Q46=1,$Q46=2),1,0),IF($X46&lt;=20,1,0))</formula>
    </cfRule>
    <cfRule type="expression" dxfId="3534" priority="1985">
      <formula>AND(IF($Q46=2,1,0),IF($X46&lt;30,1,0))</formula>
    </cfRule>
    <cfRule type="expression" dxfId="3533" priority="1986">
      <formula>AND(IF($Q46=3,1,0),IF($X46&lt;30,1,0))</formula>
    </cfRule>
    <cfRule type="expression" dxfId="3532" priority="1987">
      <formula>AND(IF($Q46=3,1,IF($Q46=4,1,0)),IF($F46&lt;=85,1,0))</formula>
    </cfRule>
  </conditionalFormatting>
  <conditionalFormatting sqref="X46">
    <cfRule type="expression" dxfId="3531" priority="1980">
      <formula>AND(IF(OR($Q46=1,$Q46=2),1,0),IF($X46&lt;=20,1,0))</formula>
    </cfRule>
    <cfRule type="expression" dxfId="3530" priority="1981">
      <formula>AND(IF($Q46=2,1,0),IF($X46&lt;30,1,0))</formula>
    </cfRule>
    <cfRule type="expression" dxfId="3529" priority="1982">
      <formula>AND(IF($Q46=3,1,0),IF($X46&lt;30,1,0))</formula>
    </cfRule>
    <cfRule type="expression" dxfId="3528" priority="1983">
      <formula>AND(IF($Q46=3,1,IF($Q46=4,1,0)),IF($F46&lt;=85,1,0))</formula>
    </cfRule>
  </conditionalFormatting>
  <conditionalFormatting sqref="AI46">
    <cfRule type="expression" dxfId="3527" priority="1976">
      <formula>AND(IF(OR($Q46=1,$Q46=2),1,0),IF($X46&lt;=20,1,0))</formula>
    </cfRule>
    <cfRule type="expression" dxfId="3526" priority="1977">
      <formula>AND(IF($Q46=2,1,0),IF($X46&lt;30,1,0))</formula>
    </cfRule>
    <cfRule type="expression" dxfId="3525" priority="1978">
      <formula>AND(IF($Q46=3,1,0),IF($X46&lt;30,1,0))</formula>
    </cfRule>
    <cfRule type="expression" dxfId="3524" priority="1979">
      <formula>AND(IF($Q46=3,1,IF($Q46=4,1,0)),IF($F46&lt;=85,1,0))</formula>
    </cfRule>
  </conditionalFormatting>
  <conditionalFormatting sqref="AV47">
    <cfRule type="expression" dxfId="3523" priority="1974">
      <formula>AV47="X"</formula>
    </cfRule>
    <cfRule type="expression" dxfId="3522" priority="1975">
      <formula>AV47="후보"</formula>
    </cfRule>
  </conditionalFormatting>
  <conditionalFormatting sqref="Z47">
    <cfRule type="colorScale" priority="19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3521" priority="1971" operator="greaterThan">
      <formula>0.9</formula>
    </cfRule>
    <cfRule type="cellIs" dxfId="3520" priority="1972" operator="greaterThan">
      <formula>0.85</formula>
    </cfRule>
  </conditionalFormatting>
  <conditionalFormatting sqref="AV48">
    <cfRule type="expression" dxfId="3519" priority="1969">
      <formula>AV48="X"</formula>
    </cfRule>
    <cfRule type="expression" dxfId="3518" priority="1970">
      <formula>AV48="후보"</formula>
    </cfRule>
  </conditionalFormatting>
  <conditionalFormatting sqref="Z48">
    <cfRule type="colorScale" priority="19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3517" priority="1966" operator="greaterThan">
      <formula>0.9</formula>
    </cfRule>
    <cfRule type="cellIs" dxfId="3516" priority="1967" operator="greaterThan">
      <formula>0.85</formula>
    </cfRule>
  </conditionalFormatting>
  <conditionalFormatting sqref="N48">
    <cfRule type="cellIs" dxfId="3515" priority="1964" operator="greaterThan">
      <formula>0.9</formula>
    </cfRule>
    <cfRule type="cellIs" dxfId="3514" priority="1965" operator="greaterThan">
      <formula>0.85</formula>
    </cfRule>
  </conditionalFormatting>
  <conditionalFormatting sqref="E48">
    <cfRule type="expression" dxfId="3513" priority="1960">
      <formula>AND(IF(OR($Q48=1,$Q48=2),1,0),IF($X48&lt;=20,1,0))</formula>
    </cfRule>
    <cfRule type="expression" dxfId="3512" priority="1961">
      <formula>AND(IF($Q48=2,1,0),IF($X48&lt;30,1,0))</formula>
    </cfRule>
    <cfRule type="expression" dxfId="3511" priority="1962">
      <formula>AND(IF($Q48=3,1,0),IF($X48&lt;30,1,0))</formula>
    </cfRule>
    <cfRule type="expression" dxfId="3510" priority="1963">
      <formula>AND(IF($Q48=3,1,IF($Q48=4,1,0)),IF($F48&lt;=85,1,0))</formula>
    </cfRule>
  </conditionalFormatting>
  <conditionalFormatting sqref="X48">
    <cfRule type="expression" dxfId="3509" priority="1956">
      <formula>AND(IF(OR($Q48=1,$Q48=2),1,0),IF($X48&lt;=20,1,0))</formula>
    </cfRule>
    <cfRule type="expression" dxfId="3508" priority="1957">
      <formula>AND(IF($Q48=2,1,0),IF($X48&lt;30,1,0))</formula>
    </cfRule>
    <cfRule type="expression" dxfId="3507" priority="1958">
      <formula>AND(IF($Q48=3,1,0),IF($X48&lt;30,1,0))</formula>
    </cfRule>
    <cfRule type="expression" dxfId="3506" priority="1959">
      <formula>AND(IF($Q48=3,1,IF($Q48=4,1,0)),IF($F48&lt;=85,1,0))</formula>
    </cfRule>
  </conditionalFormatting>
  <conditionalFormatting sqref="AI48">
    <cfRule type="expression" dxfId="3505" priority="1952">
      <formula>AND(IF(OR($Q48=1,$Q48=2),1,0),IF($X48&lt;=20,1,0))</formula>
    </cfRule>
    <cfRule type="expression" dxfId="3504" priority="1953">
      <formula>AND(IF($Q48=2,1,0),IF($X48&lt;30,1,0))</formula>
    </cfRule>
    <cfRule type="expression" dxfId="3503" priority="1954">
      <formula>AND(IF($Q48=3,1,0),IF($X48&lt;30,1,0))</formula>
    </cfRule>
    <cfRule type="expression" dxfId="3502" priority="1955">
      <formula>AND(IF($Q48=3,1,IF($Q48=4,1,0)),IF($F48&lt;=85,1,0))</formula>
    </cfRule>
  </conditionalFormatting>
  <conditionalFormatting sqref="AV49">
    <cfRule type="expression" dxfId="3501" priority="1950">
      <formula>AV49="X"</formula>
    </cfRule>
    <cfRule type="expression" dxfId="3500" priority="1951">
      <formula>AV49="후보"</formula>
    </cfRule>
  </conditionalFormatting>
  <conditionalFormatting sqref="Z49">
    <cfRule type="colorScale" priority="19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3499" priority="1947" operator="greaterThan">
      <formula>0.9</formula>
    </cfRule>
    <cfRule type="cellIs" dxfId="3498" priority="1948" operator="greaterThan">
      <formula>0.85</formula>
    </cfRule>
  </conditionalFormatting>
  <conditionalFormatting sqref="N49">
    <cfRule type="cellIs" dxfId="3497" priority="1945" operator="greaterThan">
      <formula>0.9</formula>
    </cfRule>
    <cfRule type="cellIs" dxfId="3496" priority="1946" operator="greaterThan">
      <formula>0.85</formula>
    </cfRule>
  </conditionalFormatting>
  <conditionalFormatting sqref="E49">
    <cfRule type="expression" dxfId="3495" priority="1941">
      <formula>AND(IF(OR($Q49=1,$Q49=2),1,0),IF($X49&lt;=20,1,0))</formula>
    </cfRule>
    <cfRule type="expression" dxfId="3494" priority="1942">
      <formula>AND(IF($Q49=2,1,0),IF($X49&lt;30,1,0))</formula>
    </cfRule>
    <cfRule type="expression" dxfId="3493" priority="1943">
      <formula>AND(IF($Q49=3,1,0),IF($X49&lt;30,1,0))</formula>
    </cfRule>
    <cfRule type="expression" dxfId="3492" priority="1944">
      <formula>AND(IF($Q49=3,1,IF($Q49=4,1,0)),IF($F49&lt;=85,1,0))</formula>
    </cfRule>
  </conditionalFormatting>
  <conditionalFormatting sqref="X49">
    <cfRule type="expression" dxfId="3491" priority="1937">
      <formula>AND(IF(OR($Q49=1,$Q49=2),1,0),IF($X49&lt;=20,1,0))</formula>
    </cfRule>
    <cfRule type="expression" dxfId="3490" priority="1938">
      <formula>AND(IF($Q49=2,1,0),IF($X49&lt;30,1,0))</formula>
    </cfRule>
    <cfRule type="expression" dxfId="3489" priority="1939">
      <formula>AND(IF($Q49=3,1,0),IF($X49&lt;30,1,0))</formula>
    </cfRule>
    <cfRule type="expression" dxfId="3488" priority="1940">
      <formula>AND(IF($Q49=3,1,IF($Q49=4,1,0)),IF($F49&lt;=85,1,0))</formula>
    </cfRule>
  </conditionalFormatting>
  <conditionalFormatting sqref="AI49">
    <cfRule type="expression" dxfId="3487" priority="1933">
      <formula>AND(IF(OR($Q49=1,$Q49=2),1,0),IF($X49&lt;=20,1,0))</formula>
    </cfRule>
    <cfRule type="expression" dxfId="3486" priority="1934">
      <formula>AND(IF($Q49=2,1,0),IF($X49&lt;30,1,0))</formula>
    </cfRule>
    <cfRule type="expression" dxfId="3485" priority="1935">
      <formula>AND(IF($Q49=3,1,0),IF($X49&lt;30,1,0))</formula>
    </cfRule>
    <cfRule type="expression" dxfId="3484" priority="1936">
      <formula>AND(IF($Q49=3,1,IF($Q49=4,1,0)),IF($F49&lt;=85,1,0))</formula>
    </cfRule>
  </conditionalFormatting>
  <conditionalFormatting sqref="AV50">
    <cfRule type="expression" dxfId="3483" priority="1931">
      <formula>AV50="X"</formula>
    </cfRule>
    <cfRule type="expression" dxfId="3482" priority="1932">
      <formula>AV50="후보"</formula>
    </cfRule>
  </conditionalFormatting>
  <conditionalFormatting sqref="Z50">
    <cfRule type="colorScale" priority="19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3481" priority="1928" operator="greaterThan">
      <formula>0.9</formula>
    </cfRule>
    <cfRule type="cellIs" dxfId="3480" priority="1929" operator="greaterThan">
      <formula>0.85</formula>
    </cfRule>
  </conditionalFormatting>
  <conditionalFormatting sqref="N50">
    <cfRule type="cellIs" dxfId="3479" priority="1926" operator="greaterThan">
      <formula>0.9</formula>
    </cfRule>
    <cfRule type="cellIs" dxfId="3478" priority="1927" operator="greaterThan">
      <formula>0.85</formula>
    </cfRule>
  </conditionalFormatting>
  <conditionalFormatting sqref="E50">
    <cfRule type="expression" dxfId="3477" priority="1922">
      <formula>AND(IF(OR($Q50=1,$Q50=2),1,0),IF($X50&lt;=20,1,0))</formula>
    </cfRule>
    <cfRule type="expression" dxfId="3476" priority="1923">
      <formula>AND(IF($Q50=2,1,0),IF($X50&lt;30,1,0))</formula>
    </cfRule>
    <cfRule type="expression" dxfId="3475" priority="1924">
      <formula>AND(IF($Q50=3,1,0),IF($X50&lt;30,1,0))</formula>
    </cfRule>
    <cfRule type="expression" dxfId="3474" priority="1925">
      <formula>AND(IF($Q50=3,1,IF($Q50=4,1,0)),IF($F50&lt;=85,1,0))</formula>
    </cfRule>
  </conditionalFormatting>
  <conditionalFormatting sqref="X50">
    <cfRule type="expression" dxfId="3473" priority="1918">
      <formula>AND(IF(OR($Q50=1,$Q50=2),1,0),IF($X50&lt;=20,1,0))</formula>
    </cfRule>
    <cfRule type="expression" dxfId="3472" priority="1919">
      <formula>AND(IF($Q50=2,1,0),IF($X50&lt;30,1,0))</formula>
    </cfRule>
    <cfRule type="expression" dxfId="3471" priority="1920">
      <formula>AND(IF($Q50=3,1,0),IF($X50&lt;30,1,0))</formula>
    </cfRule>
    <cfRule type="expression" dxfId="3470" priority="1921">
      <formula>AND(IF($Q50=3,1,IF($Q50=4,1,0)),IF($F50&lt;=85,1,0))</formula>
    </cfRule>
  </conditionalFormatting>
  <conditionalFormatting sqref="AI50">
    <cfRule type="expression" dxfId="3469" priority="1914">
      <formula>AND(IF(OR($Q50=1,$Q50=2),1,0),IF($X50&lt;=20,1,0))</formula>
    </cfRule>
    <cfRule type="expression" dxfId="3468" priority="1915">
      <formula>AND(IF($Q50=2,1,0),IF($X50&lt;30,1,0))</formula>
    </cfRule>
    <cfRule type="expression" dxfId="3467" priority="1916">
      <formula>AND(IF($Q50=3,1,0),IF($X50&lt;30,1,0))</formula>
    </cfRule>
    <cfRule type="expression" dxfId="3466" priority="1917">
      <formula>AND(IF($Q50=3,1,IF($Q50=4,1,0)),IF($F50&lt;=85,1,0))</formula>
    </cfRule>
  </conditionalFormatting>
  <conditionalFormatting sqref="AV51">
    <cfRule type="expression" dxfId="3465" priority="1912">
      <formula>AV51="X"</formula>
    </cfRule>
    <cfRule type="expression" dxfId="3464" priority="1913">
      <formula>AV51="후보"</formula>
    </cfRule>
  </conditionalFormatting>
  <conditionalFormatting sqref="Z51">
    <cfRule type="colorScale" priority="19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3463" priority="1909" operator="greaterThan">
      <formula>0.9</formula>
    </cfRule>
    <cfRule type="cellIs" dxfId="3462" priority="1910" operator="greaterThan">
      <formula>0.85</formula>
    </cfRule>
  </conditionalFormatting>
  <conditionalFormatting sqref="AV52">
    <cfRule type="expression" dxfId="3461" priority="1907">
      <formula>AV52="X"</formula>
    </cfRule>
    <cfRule type="expression" dxfId="3460" priority="1908">
      <formula>AV52="후보"</formula>
    </cfRule>
  </conditionalFormatting>
  <conditionalFormatting sqref="Z52">
    <cfRule type="colorScale" priority="19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3459" priority="1904" operator="greaterThan">
      <formula>0.9</formula>
    </cfRule>
    <cfRule type="cellIs" dxfId="3458" priority="1905" operator="greaterThan">
      <formula>0.85</formula>
    </cfRule>
  </conditionalFormatting>
  <conditionalFormatting sqref="N52">
    <cfRule type="cellIs" dxfId="3457" priority="1902" operator="greaterThan">
      <formula>0.9</formula>
    </cfRule>
    <cfRule type="cellIs" dxfId="3456" priority="1903" operator="greaterThan">
      <formula>0.85</formula>
    </cfRule>
  </conditionalFormatting>
  <conditionalFormatting sqref="E52">
    <cfRule type="expression" dxfId="3455" priority="1898">
      <formula>AND(IF(OR($Q52=1,$Q52=2),1,0),IF($X52&lt;=20,1,0))</formula>
    </cfRule>
    <cfRule type="expression" dxfId="3454" priority="1899">
      <formula>AND(IF($Q52=2,1,0),IF($X52&lt;30,1,0))</formula>
    </cfRule>
    <cfRule type="expression" dxfId="3453" priority="1900">
      <formula>AND(IF($Q52=3,1,0),IF($X52&lt;30,1,0))</formula>
    </cfRule>
    <cfRule type="expression" dxfId="3452" priority="1901">
      <formula>AND(IF($Q52=3,1,IF($Q52=4,1,0)),IF($F52&lt;=85,1,0))</formula>
    </cfRule>
  </conditionalFormatting>
  <conditionalFormatting sqref="X52">
    <cfRule type="expression" dxfId="3451" priority="1894">
      <formula>AND(IF(OR($Q52=1,$Q52=2),1,0),IF($X52&lt;=20,1,0))</formula>
    </cfRule>
    <cfRule type="expression" dxfId="3450" priority="1895">
      <formula>AND(IF($Q52=2,1,0),IF($X52&lt;30,1,0))</formula>
    </cfRule>
    <cfRule type="expression" dxfId="3449" priority="1896">
      <formula>AND(IF($Q52=3,1,0),IF($X52&lt;30,1,0))</formula>
    </cfRule>
    <cfRule type="expression" dxfId="3448" priority="1897">
      <formula>AND(IF($Q52=3,1,IF($Q52=4,1,0)),IF($F52&lt;=85,1,0))</formula>
    </cfRule>
  </conditionalFormatting>
  <conditionalFormatting sqref="AI52">
    <cfRule type="expression" dxfId="3447" priority="1890">
      <formula>AND(IF(OR($Q52=1,$Q52=2),1,0),IF($X52&lt;=20,1,0))</formula>
    </cfRule>
    <cfRule type="expression" dxfId="3446" priority="1891">
      <formula>AND(IF($Q52=2,1,0),IF($X52&lt;30,1,0))</formula>
    </cfRule>
    <cfRule type="expression" dxfId="3445" priority="1892">
      <formula>AND(IF($Q52=3,1,0),IF($X52&lt;30,1,0))</formula>
    </cfRule>
    <cfRule type="expression" dxfId="3444" priority="1893">
      <formula>AND(IF($Q52=3,1,IF($Q52=4,1,0)),IF($F52&lt;=85,1,0))</formula>
    </cfRule>
  </conditionalFormatting>
  <conditionalFormatting sqref="AV53">
    <cfRule type="expression" dxfId="3443" priority="1888">
      <formula>AV53="X"</formula>
    </cfRule>
    <cfRule type="expression" dxfId="3442" priority="1889">
      <formula>AV53="후보"</formula>
    </cfRule>
  </conditionalFormatting>
  <conditionalFormatting sqref="Z53">
    <cfRule type="colorScale" priority="18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3441" priority="1885" operator="greaterThan">
      <formula>0.9</formula>
    </cfRule>
    <cfRule type="cellIs" dxfId="3440" priority="1886" operator="greaterThan">
      <formula>0.85</formula>
    </cfRule>
  </conditionalFormatting>
  <conditionalFormatting sqref="N53">
    <cfRule type="cellIs" dxfId="3439" priority="1883" operator="greaterThan">
      <formula>0.9</formula>
    </cfRule>
    <cfRule type="cellIs" dxfId="3438" priority="1884" operator="greaterThan">
      <formula>0.85</formula>
    </cfRule>
  </conditionalFormatting>
  <conditionalFormatting sqref="E53">
    <cfRule type="expression" dxfId="3437" priority="1879">
      <formula>AND(IF(OR($Q53=1,$Q53=2),1,0),IF($X53&lt;=20,1,0))</formula>
    </cfRule>
    <cfRule type="expression" dxfId="3436" priority="1880">
      <formula>AND(IF($Q53=2,1,0),IF($X53&lt;30,1,0))</formula>
    </cfRule>
    <cfRule type="expression" dxfId="3435" priority="1881">
      <formula>AND(IF($Q53=3,1,0),IF($X53&lt;30,1,0))</formula>
    </cfRule>
    <cfRule type="expression" dxfId="3434" priority="1882">
      <formula>AND(IF($Q53=3,1,IF($Q53=4,1,0)),IF($F53&lt;=85,1,0))</formula>
    </cfRule>
  </conditionalFormatting>
  <conditionalFormatting sqref="X53">
    <cfRule type="expression" dxfId="3433" priority="1875">
      <formula>AND(IF(OR($Q53=1,$Q53=2),1,0),IF($X53&lt;=20,1,0))</formula>
    </cfRule>
    <cfRule type="expression" dxfId="3432" priority="1876">
      <formula>AND(IF($Q53=2,1,0),IF($X53&lt;30,1,0))</formula>
    </cfRule>
    <cfRule type="expression" dxfId="3431" priority="1877">
      <formula>AND(IF($Q53=3,1,0),IF($X53&lt;30,1,0))</formula>
    </cfRule>
    <cfRule type="expression" dxfId="3430" priority="1878">
      <formula>AND(IF($Q53=3,1,IF($Q53=4,1,0)),IF($F53&lt;=85,1,0))</formula>
    </cfRule>
  </conditionalFormatting>
  <conditionalFormatting sqref="AI53">
    <cfRule type="expression" dxfId="3429" priority="1871">
      <formula>AND(IF(OR($Q53=1,$Q53=2),1,0),IF($X53&lt;=20,1,0))</formula>
    </cfRule>
    <cfRule type="expression" dxfId="3428" priority="1872">
      <formula>AND(IF($Q53=2,1,0),IF($X53&lt;30,1,0))</formula>
    </cfRule>
    <cfRule type="expression" dxfId="3427" priority="1873">
      <formula>AND(IF($Q53=3,1,0),IF($X53&lt;30,1,0))</formula>
    </cfRule>
    <cfRule type="expression" dxfId="3426" priority="1874">
      <formula>AND(IF($Q53=3,1,IF($Q53=4,1,0)),IF($F53&lt;=85,1,0))</formula>
    </cfRule>
  </conditionalFormatting>
  <conditionalFormatting sqref="AV54">
    <cfRule type="expression" dxfId="3425" priority="1869">
      <formula>AV54="X"</formula>
    </cfRule>
    <cfRule type="expression" dxfId="3424" priority="1870">
      <formula>AV54="후보"</formula>
    </cfRule>
  </conditionalFormatting>
  <conditionalFormatting sqref="Z54">
    <cfRule type="colorScale" priority="18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3423" priority="1866" operator="greaterThan">
      <formula>0.9</formula>
    </cfRule>
    <cfRule type="cellIs" dxfId="3422" priority="1867" operator="greaterThan">
      <formula>0.85</formula>
    </cfRule>
  </conditionalFormatting>
  <conditionalFormatting sqref="N54">
    <cfRule type="cellIs" dxfId="3421" priority="1864" operator="greaterThan">
      <formula>0.9</formula>
    </cfRule>
    <cfRule type="cellIs" dxfId="3420" priority="1865" operator="greaterThan">
      <formula>0.85</formula>
    </cfRule>
  </conditionalFormatting>
  <conditionalFormatting sqref="E54">
    <cfRule type="expression" dxfId="3419" priority="1860">
      <formula>AND(IF(OR($Q54=1,$Q54=2),1,0),IF($X54&lt;=20,1,0))</formula>
    </cfRule>
    <cfRule type="expression" dxfId="3418" priority="1861">
      <formula>AND(IF($Q54=2,1,0),IF($X54&lt;30,1,0))</formula>
    </cfRule>
    <cfRule type="expression" dxfId="3417" priority="1862">
      <formula>AND(IF($Q54=3,1,0),IF($X54&lt;30,1,0))</formula>
    </cfRule>
    <cfRule type="expression" dxfId="3416" priority="1863">
      <formula>AND(IF($Q54=3,1,IF($Q54=4,1,0)),IF($F54&lt;=85,1,0))</formula>
    </cfRule>
  </conditionalFormatting>
  <conditionalFormatting sqref="X54">
    <cfRule type="expression" dxfId="3415" priority="1856">
      <formula>AND(IF(OR($Q54=1,$Q54=2),1,0),IF($X54&lt;=20,1,0))</formula>
    </cfRule>
    <cfRule type="expression" dxfId="3414" priority="1857">
      <formula>AND(IF($Q54=2,1,0),IF($X54&lt;30,1,0))</formula>
    </cfRule>
    <cfRule type="expression" dxfId="3413" priority="1858">
      <formula>AND(IF($Q54=3,1,0),IF($X54&lt;30,1,0))</formula>
    </cfRule>
    <cfRule type="expression" dxfId="3412" priority="1859">
      <formula>AND(IF($Q54=3,1,IF($Q54=4,1,0)),IF($F54&lt;=85,1,0))</formula>
    </cfRule>
  </conditionalFormatting>
  <conditionalFormatting sqref="AI54">
    <cfRule type="expression" dxfId="3411" priority="1852">
      <formula>AND(IF(OR($Q54=1,$Q54=2),1,0),IF($X54&lt;=20,1,0))</formula>
    </cfRule>
    <cfRule type="expression" dxfId="3410" priority="1853">
      <formula>AND(IF($Q54=2,1,0),IF($X54&lt;30,1,0))</formula>
    </cfRule>
    <cfRule type="expression" dxfId="3409" priority="1854">
      <formula>AND(IF($Q54=3,1,0),IF($X54&lt;30,1,0))</formula>
    </cfRule>
    <cfRule type="expression" dxfId="3408" priority="1855">
      <formula>AND(IF($Q54=3,1,IF($Q54=4,1,0)),IF($F54&lt;=85,1,0))</formula>
    </cfRule>
  </conditionalFormatting>
  <conditionalFormatting sqref="AV55">
    <cfRule type="expression" dxfId="3407" priority="1850">
      <formula>AV55="X"</formula>
    </cfRule>
    <cfRule type="expression" dxfId="3406" priority="1851">
      <formula>AV55="후보"</formula>
    </cfRule>
  </conditionalFormatting>
  <conditionalFormatting sqref="Z55">
    <cfRule type="colorScale" priority="18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3405" priority="1847" operator="greaterThan">
      <formula>0.9</formula>
    </cfRule>
    <cfRule type="cellIs" dxfId="3404" priority="1848" operator="greaterThan">
      <formula>0.85</formula>
    </cfRule>
  </conditionalFormatting>
  <conditionalFormatting sqref="AV56">
    <cfRule type="expression" dxfId="3403" priority="1845">
      <formula>AV56="X"</formula>
    </cfRule>
    <cfRule type="expression" dxfId="3402" priority="1846">
      <formula>AV56="후보"</formula>
    </cfRule>
  </conditionalFormatting>
  <conditionalFormatting sqref="Z56">
    <cfRule type="colorScale" priority="18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3401" priority="1842" operator="greaterThan">
      <formula>0.9</formula>
    </cfRule>
    <cfRule type="cellIs" dxfId="3400" priority="1843" operator="greaterThan">
      <formula>0.85</formula>
    </cfRule>
  </conditionalFormatting>
  <conditionalFormatting sqref="N56">
    <cfRule type="cellIs" dxfId="3399" priority="1840" operator="greaterThan">
      <formula>0.9</formula>
    </cfRule>
    <cfRule type="cellIs" dxfId="3398" priority="1841" operator="greaterThan">
      <formula>0.85</formula>
    </cfRule>
  </conditionalFormatting>
  <conditionalFormatting sqref="E56">
    <cfRule type="expression" dxfId="3397" priority="1836">
      <formula>AND(IF(OR($Q56=1,$Q56=2),1,0),IF($X56&lt;=20,1,0))</formula>
    </cfRule>
    <cfRule type="expression" dxfId="3396" priority="1837">
      <formula>AND(IF($Q56=2,1,0),IF($X56&lt;30,1,0))</formula>
    </cfRule>
    <cfRule type="expression" dxfId="3395" priority="1838">
      <formula>AND(IF($Q56=3,1,0),IF($X56&lt;30,1,0))</formula>
    </cfRule>
    <cfRule type="expression" dxfId="3394" priority="1839">
      <formula>AND(IF($Q56=3,1,IF($Q56=4,1,0)),IF($F56&lt;=85,1,0))</formula>
    </cfRule>
  </conditionalFormatting>
  <conditionalFormatting sqref="X56">
    <cfRule type="expression" dxfId="3393" priority="1832">
      <formula>AND(IF(OR($Q56=1,$Q56=2),1,0),IF($X56&lt;=20,1,0))</formula>
    </cfRule>
    <cfRule type="expression" dxfId="3392" priority="1833">
      <formula>AND(IF($Q56=2,1,0),IF($X56&lt;30,1,0))</formula>
    </cfRule>
    <cfRule type="expression" dxfId="3391" priority="1834">
      <formula>AND(IF($Q56=3,1,0),IF($X56&lt;30,1,0))</formula>
    </cfRule>
    <cfRule type="expression" dxfId="3390" priority="1835">
      <formula>AND(IF($Q56=3,1,IF($Q56=4,1,0)),IF($F56&lt;=85,1,0))</formula>
    </cfRule>
  </conditionalFormatting>
  <conditionalFormatting sqref="AI56">
    <cfRule type="expression" dxfId="3389" priority="1828">
      <formula>AND(IF(OR($Q56=1,$Q56=2),1,0),IF($X56&lt;=20,1,0))</formula>
    </cfRule>
    <cfRule type="expression" dxfId="3388" priority="1829">
      <formula>AND(IF($Q56=2,1,0),IF($X56&lt;30,1,0))</formula>
    </cfRule>
    <cfRule type="expression" dxfId="3387" priority="1830">
      <formula>AND(IF($Q56=3,1,0),IF($X56&lt;30,1,0))</formula>
    </cfRule>
    <cfRule type="expression" dxfId="3386" priority="1831">
      <formula>AND(IF($Q56=3,1,IF($Q56=4,1,0)),IF($F56&lt;=85,1,0))</formula>
    </cfRule>
  </conditionalFormatting>
  <conditionalFormatting sqref="AV57">
    <cfRule type="expression" dxfId="3385" priority="1826">
      <formula>AV57="X"</formula>
    </cfRule>
    <cfRule type="expression" dxfId="3384" priority="1827">
      <formula>AV57="후보"</formula>
    </cfRule>
  </conditionalFormatting>
  <conditionalFormatting sqref="Z57">
    <cfRule type="colorScale" priority="18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3383" priority="1823" operator="greaterThan">
      <formula>0.9</formula>
    </cfRule>
    <cfRule type="cellIs" dxfId="3382" priority="1824" operator="greaterThan">
      <formula>0.85</formula>
    </cfRule>
  </conditionalFormatting>
  <conditionalFormatting sqref="N57">
    <cfRule type="cellIs" dxfId="3381" priority="1821" operator="greaterThan">
      <formula>0.9</formula>
    </cfRule>
    <cfRule type="cellIs" dxfId="3380" priority="1822" operator="greaterThan">
      <formula>0.85</formula>
    </cfRule>
  </conditionalFormatting>
  <conditionalFormatting sqref="E57">
    <cfRule type="expression" dxfId="3379" priority="1817">
      <formula>AND(IF(OR($Q57=1,$Q57=2),1,0),IF($X57&lt;=20,1,0))</formula>
    </cfRule>
    <cfRule type="expression" dxfId="3378" priority="1818">
      <formula>AND(IF($Q57=2,1,0),IF($X57&lt;30,1,0))</formula>
    </cfRule>
    <cfRule type="expression" dxfId="3377" priority="1819">
      <formula>AND(IF($Q57=3,1,0),IF($X57&lt;30,1,0))</formula>
    </cfRule>
    <cfRule type="expression" dxfId="3376" priority="1820">
      <formula>AND(IF($Q57=3,1,IF($Q57=4,1,0)),IF($F57&lt;=85,1,0))</formula>
    </cfRule>
  </conditionalFormatting>
  <conditionalFormatting sqref="X57">
    <cfRule type="expression" dxfId="3375" priority="1813">
      <formula>AND(IF(OR($Q57=1,$Q57=2),1,0),IF($X57&lt;=20,1,0))</formula>
    </cfRule>
    <cfRule type="expression" dxfId="3374" priority="1814">
      <formula>AND(IF($Q57=2,1,0),IF($X57&lt;30,1,0))</formula>
    </cfRule>
    <cfRule type="expression" dxfId="3373" priority="1815">
      <formula>AND(IF($Q57=3,1,0),IF($X57&lt;30,1,0))</formula>
    </cfRule>
    <cfRule type="expression" dxfId="3372" priority="1816">
      <formula>AND(IF($Q57=3,1,IF($Q57=4,1,0)),IF($F57&lt;=85,1,0))</formula>
    </cfRule>
  </conditionalFormatting>
  <conditionalFormatting sqref="AI57">
    <cfRule type="expression" dxfId="3371" priority="1809">
      <formula>AND(IF(OR($Q57=1,$Q57=2),1,0),IF($X57&lt;=20,1,0))</formula>
    </cfRule>
    <cfRule type="expression" dxfId="3370" priority="1810">
      <formula>AND(IF($Q57=2,1,0),IF($X57&lt;30,1,0))</formula>
    </cfRule>
    <cfRule type="expression" dxfId="3369" priority="1811">
      <formula>AND(IF($Q57=3,1,0),IF($X57&lt;30,1,0))</formula>
    </cfRule>
    <cfRule type="expression" dxfId="3368" priority="1812">
      <formula>AND(IF($Q57=3,1,IF($Q57=4,1,0)),IF($F57&lt;=85,1,0))</formula>
    </cfRule>
  </conditionalFormatting>
  <conditionalFormatting sqref="AV58">
    <cfRule type="expression" dxfId="3367" priority="1807">
      <formula>AV58="X"</formula>
    </cfRule>
    <cfRule type="expression" dxfId="3366" priority="1808">
      <formula>AV58="후보"</formula>
    </cfRule>
  </conditionalFormatting>
  <conditionalFormatting sqref="Z58">
    <cfRule type="colorScale" priority="18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365" priority="1804" operator="greaterThan">
      <formula>0.9</formula>
    </cfRule>
    <cfRule type="cellIs" dxfId="3364" priority="1805" operator="greaterThan">
      <formula>0.85</formula>
    </cfRule>
  </conditionalFormatting>
  <conditionalFormatting sqref="N58">
    <cfRule type="cellIs" dxfId="3363" priority="1802" operator="greaterThan">
      <formula>0.9</formula>
    </cfRule>
    <cfRule type="cellIs" dxfId="3362" priority="1803" operator="greaterThan">
      <formula>0.85</formula>
    </cfRule>
  </conditionalFormatting>
  <conditionalFormatting sqref="E58">
    <cfRule type="expression" dxfId="3361" priority="1798">
      <formula>AND(IF(OR($Q58=1,$Q58=2),1,0),IF($X58&lt;=20,1,0))</formula>
    </cfRule>
    <cfRule type="expression" dxfId="3360" priority="1799">
      <formula>AND(IF($Q58=2,1,0),IF($X58&lt;30,1,0))</formula>
    </cfRule>
    <cfRule type="expression" dxfId="3359" priority="1800">
      <formula>AND(IF($Q58=3,1,0),IF($X58&lt;30,1,0))</formula>
    </cfRule>
    <cfRule type="expression" dxfId="3358" priority="1801">
      <formula>AND(IF($Q58=3,1,IF($Q58=4,1,0)),IF($F58&lt;=85,1,0))</formula>
    </cfRule>
  </conditionalFormatting>
  <conditionalFormatting sqref="X58">
    <cfRule type="expression" dxfId="3357" priority="1794">
      <formula>AND(IF(OR($Q58=1,$Q58=2),1,0),IF($X58&lt;=20,1,0))</formula>
    </cfRule>
    <cfRule type="expression" dxfId="3356" priority="1795">
      <formula>AND(IF($Q58=2,1,0),IF($X58&lt;30,1,0))</formula>
    </cfRule>
    <cfRule type="expression" dxfId="3355" priority="1796">
      <formula>AND(IF($Q58=3,1,0),IF($X58&lt;30,1,0))</formula>
    </cfRule>
    <cfRule type="expression" dxfId="3354" priority="1797">
      <formula>AND(IF($Q58=3,1,IF($Q58=4,1,0)),IF($F58&lt;=85,1,0))</formula>
    </cfRule>
  </conditionalFormatting>
  <conditionalFormatting sqref="AI58">
    <cfRule type="expression" dxfId="3353" priority="1790">
      <formula>AND(IF(OR($Q58=1,$Q58=2),1,0),IF($X58&lt;=20,1,0))</formula>
    </cfRule>
    <cfRule type="expression" dxfId="3352" priority="1791">
      <formula>AND(IF($Q58=2,1,0),IF($X58&lt;30,1,0))</formula>
    </cfRule>
    <cfRule type="expression" dxfId="3351" priority="1792">
      <formula>AND(IF($Q58=3,1,0),IF($X58&lt;30,1,0))</formula>
    </cfRule>
    <cfRule type="expression" dxfId="3350" priority="1793">
      <formula>AND(IF($Q58=3,1,IF($Q58=4,1,0)),IF($F58&lt;=85,1,0))</formula>
    </cfRule>
  </conditionalFormatting>
  <conditionalFormatting sqref="AV59">
    <cfRule type="expression" dxfId="3349" priority="1788">
      <formula>AV59="X"</formula>
    </cfRule>
    <cfRule type="expression" dxfId="3348" priority="1789">
      <formula>AV59="후보"</formula>
    </cfRule>
  </conditionalFormatting>
  <conditionalFormatting sqref="Z59">
    <cfRule type="colorScale" priority="17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3347" priority="1785" operator="greaterThan">
      <formula>0.9</formula>
    </cfRule>
    <cfRule type="cellIs" dxfId="3346" priority="1786" operator="greaterThan">
      <formula>0.85</formula>
    </cfRule>
  </conditionalFormatting>
  <conditionalFormatting sqref="N59">
    <cfRule type="cellIs" dxfId="3345" priority="1783" operator="greaterThan">
      <formula>0.9</formula>
    </cfRule>
    <cfRule type="cellIs" dxfId="3344" priority="1784" operator="greaterThan">
      <formula>0.85</formula>
    </cfRule>
  </conditionalFormatting>
  <conditionalFormatting sqref="E59">
    <cfRule type="expression" dxfId="3343" priority="1779">
      <formula>AND(IF(OR($Q59=1,$Q59=2),1,0),IF($X59&lt;=20,1,0))</formula>
    </cfRule>
    <cfRule type="expression" dxfId="3342" priority="1780">
      <formula>AND(IF($Q59=2,1,0),IF($X59&lt;30,1,0))</formula>
    </cfRule>
    <cfRule type="expression" dxfId="3341" priority="1781">
      <formula>AND(IF($Q59=3,1,0),IF($X59&lt;30,1,0))</formula>
    </cfRule>
    <cfRule type="expression" dxfId="3340" priority="1782">
      <formula>AND(IF($Q59=3,1,IF($Q59=4,1,0)),IF($F59&lt;=85,1,0))</formula>
    </cfRule>
  </conditionalFormatting>
  <conditionalFormatting sqref="X59">
    <cfRule type="expression" dxfId="3339" priority="1775">
      <formula>AND(IF(OR($Q59=1,$Q59=2),1,0),IF($X59&lt;=20,1,0))</formula>
    </cfRule>
    <cfRule type="expression" dxfId="3338" priority="1776">
      <formula>AND(IF($Q59=2,1,0),IF($X59&lt;30,1,0))</formula>
    </cfRule>
    <cfRule type="expression" dxfId="3337" priority="1777">
      <formula>AND(IF($Q59=3,1,0),IF($X59&lt;30,1,0))</formula>
    </cfRule>
    <cfRule type="expression" dxfId="3336" priority="1778">
      <formula>AND(IF($Q59=3,1,IF($Q59=4,1,0)),IF($F59&lt;=85,1,0))</formula>
    </cfRule>
  </conditionalFormatting>
  <conditionalFormatting sqref="AI59">
    <cfRule type="expression" dxfId="3335" priority="1771">
      <formula>AND(IF(OR($Q59=1,$Q59=2),1,0),IF($X59&lt;=20,1,0))</formula>
    </cfRule>
    <cfRule type="expression" dxfId="3334" priority="1772">
      <formula>AND(IF($Q59=2,1,0),IF($X59&lt;30,1,0))</formula>
    </cfRule>
    <cfRule type="expression" dxfId="3333" priority="1773">
      <formula>AND(IF($Q59=3,1,0),IF($X59&lt;30,1,0))</formula>
    </cfRule>
    <cfRule type="expression" dxfId="3332" priority="1774">
      <formula>AND(IF($Q59=3,1,IF($Q59=4,1,0)),IF($F59&lt;=85,1,0))</formula>
    </cfRule>
  </conditionalFormatting>
  <conditionalFormatting sqref="AV60">
    <cfRule type="expression" dxfId="3331" priority="1769">
      <formula>AV60="X"</formula>
    </cfRule>
    <cfRule type="expression" dxfId="3330" priority="1770">
      <formula>AV60="후보"</formula>
    </cfRule>
  </conditionalFormatting>
  <conditionalFormatting sqref="Z60">
    <cfRule type="colorScale" priority="17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3329" priority="1766" operator="greaterThan">
      <formula>0.9</formula>
    </cfRule>
    <cfRule type="cellIs" dxfId="3328" priority="1767" operator="greaterThan">
      <formula>0.85</formula>
    </cfRule>
  </conditionalFormatting>
  <conditionalFormatting sqref="AV61">
    <cfRule type="expression" dxfId="3327" priority="1764">
      <formula>AV61="X"</formula>
    </cfRule>
    <cfRule type="expression" dxfId="3326" priority="1765">
      <formula>AV61="후보"</formula>
    </cfRule>
  </conditionalFormatting>
  <conditionalFormatting sqref="Z61">
    <cfRule type="colorScale" priority="1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3325" priority="1761" operator="greaterThan">
      <formula>0.9</formula>
    </cfRule>
    <cfRule type="cellIs" dxfId="3324" priority="1762" operator="greaterThan">
      <formula>0.85</formula>
    </cfRule>
  </conditionalFormatting>
  <conditionalFormatting sqref="N61">
    <cfRule type="cellIs" dxfId="3323" priority="1759" operator="greaterThan">
      <formula>0.9</formula>
    </cfRule>
    <cfRule type="cellIs" dxfId="3322" priority="1760" operator="greaterThan">
      <formula>0.85</formula>
    </cfRule>
  </conditionalFormatting>
  <conditionalFormatting sqref="E61">
    <cfRule type="expression" dxfId="3321" priority="1755">
      <formula>AND(IF(OR($Q61=1,$Q61=2),1,0),IF($X61&lt;=20,1,0))</formula>
    </cfRule>
    <cfRule type="expression" dxfId="3320" priority="1756">
      <formula>AND(IF($Q61=2,1,0),IF($X61&lt;30,1,0))</formula>
    </cfRule>
    <cfRule type="expression" dxfId="3319" priority="1757">
      <formula>AND(IF($Q61=3,1,0),IF($X61&lt;30,1,0))</formula>
    </cfRule>
    <cfRule type="expression" dxfId="3318" priority="1758">
      <formula>AND(IF($Q61=3,1,IF($Q61=4,1,0)),IF($F61&lt;=85,1,0))</formula>
    </cfRule>
  </conditionalFormatting>
  <conditionalFormatting sqref="X61">
    <cfRule type="expression" dxfId="3317" priority="1751">
      <formula>AND(IF(OR($Q61=1,$Q61=2),1,0),IF($X61&lt;=20,1,0))</formula>
    </cfRule>
    <cfRule type="expression" dxfId="3316" priority="1752">
      <formula>AND(IF($Q61=2,1,0),IF($X61&lt;30,1,0))</formula>
    </cfRule>
    <cfRule type="expression" dxfId="3315" priority="1753">
      <formula>AND(IF($Q61=3,1,0),IF($X61&lt;30,1,0))</formula>
    </cfRule>
    <cfRule type="expression" dxfId="3314" priority="1754">
      <formula>AND(IF($Q61=3,1,IF($Q61=4,1,0)),IF($F61&lt;=85,1,0))</formula>
    </cfRule>
  </conditionalFormatting>
  <conditionalFormatting sqref="AI61">
    <cfRule type="expression" dxfId="3313" priority="1747">
      <formula>AND(IF(OR($Q61=1,$Q61=2),1,0),IF($X61&lt;=20,1,0))</formula>
    </cfRule>
    <cfRule type="expression" dxfId="3312" priority="1748">
      <formula>AND(IF($Q61=2,1,0),IF($X61&lt;30,1,0))</formula>
    </cfRule>
    <cfRule type="expression" dxfId="3311" priority="1749">
      <formula>AND(IF($Q61=3,1,0),IF($X61&lt;30,1,0))</formula>
    </cfRule>
    <cfRule type="expression" dxfId="3310" priority="1750">
      <formula>AND(IF($Q61=3,1,IF($Q61=4,1,0)),IF($F61&lt;=85,1,0))</formula>
    </cfRule>
  </conditionalFormatting>
  <conditionalFormatting sqref="AV62">
    <cfRule type="expression" dxfId="3309" priority="1745">
      <formula>AV62="X"</formula>
    </cfRule>
    <cfRule type="expression" dxfId="3308" priority="1746">
      <formula>AV62="후보"</formula>
    </cfRule>
  </conditionalFormatting>
  <conditionalFormatting sqref="Z62">
    <cfRule type="colorScale" priority="1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3307" priority="1742" operator="greaterThan">
      <formula>0.9</formula>
    </cfRule>
    <cfRule type="cellIs" dxfId="3306" priority="1743" operator="greaterThan">
      <formula>0.85</formula>
    </cfRule>
  </conditionalFormatting>
  <conditionalFormatting sqref="N62">
    <cfRule type="cellIs" dxfId="3305" priority="1740" operator="greaterThan">
      <formula>0.9</formula>
    </cfRule>
    <cfRule type="cellIs" dxfId="3304" priority="1741" operator="greaterThan">
      <formula>0.85</formula>
    </cfRule>
  </conditionalFormatting>
  <conditionalFormatting sqref="E62">
    <cfRule type="expression" dxfId="3303" priority="1736">
      <formula>AND(IF(OR($Q62=1,$Q62=2),1,0),IF($X62&lt;=20,1,0))</formula>
    </cfRule>
    <cfRule type="expression" dxfId="3302" priority="1737">
      <formula>AND(IF($Q62=2,1,0),IF($X62&lt;30,1,0))</formula>
    </cfRule>
    <cfRule type="expression" dxfId="3301" priority="1738">
      <formula>AND(IF($Q62=3,1,0),IF($X62&lt;30,1,0))</formula>
    </cfRule>
    <cfRule type="expression" dxfId="3300" priority="1739">
      <formula>AND(IF($Q62=3,1,IF($Q62=4,1,0)),IF($F62&lt;=85,1,0))</formula>
    </cfRule>
  </conditionalFormatting>
  <conditionalFormatting sqref="X62">
    <cfRule type="expression" dxfId="3299" priority="1732">
      <formula>AND(IF(OR($Q62=1,$Q62=2),1,0),IF($X62&lt;=20,1,0))</formula>
    </cfRule>
    <cfRule type="expression" dxfId="3298" priority="1733">
      <formula>AND(IF($Q62=2,1,0),IF($X62&lt;30,1,0))</formula>
    </cfRule>
    <cfRule type="expression" dxfId="3297" priority="1734">
      <formula>AND(IF($Q62=3,1,0),IF($X62&lt;30,1,0))</formula>
    </cfRule>
    <cfRule type="expression" dxfId="3296" priority="1735">
      <formula>AND(IF($Q62=3,1,IF($Q62=4,1,0)),IF($F62&lt;=85,1,0))</formula>
    </cfRule>
  </conditionalFormatting>
  <conditionalFormatting sqref="AI62">
    <cfRule type="expression" dxfId="3295" priority="1728">
      <formula>AND(IF(OR($Q62=1,$Q62=2),1,0),IF($X62&lt;=20,1,0))</formula>
    </cfRule>
    <cfRule type="expression" dxfId="3294" priority="1729">
      <formula>AND(IF($Q62=2,1,0),IF($X62&lt;30,1,0))</formula>
    </cfRule>
    <cfRule type="expression" dxfId="3293" priority="1730">
      <formula>AND(IF($Q62=3,1,0),IF($X62&lt;30,1,0))</formula>
    </cfRule>
    <cfRule type="expression" dxfId="3292" priority="1731">
      <formula>AND(IF($Q62=3,1,IF($Q62=4,1,0)),IF($F62&lt;=85,1,0))</formula>
    </cfRule>
  </conditionalFormatting>
  <conditionalFormatting sqref="AV63">
    <cfRule type="expression" dxfId="3291" priority="1726">
      <formula>AV63="X"</formula>
    </cfRule>
    <cfRule type="expression" dxfId="3290" priority="1727">
      <formula>AV63="후보"</formula>
    </cfRule>
  </conditionalFormatting>
  <conditionalFormatting sqref="Z63">
    <cfRule type="colorScale" priority="1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3289" priority="1723" operator="greaterThan">
      <formula>0.9</formula>
    </cfRule>
    <cfRule type="cellIs" dxfId="3288" priority="1724" operator="greaterThan">
      <formula>0.85</formula>
    </cfRule>
  </conditionalFormatting>
  <conditionalFormatting sqref="N63">
    <cfRule type="cellIs" dxfId="3287" priority="1721" operator="greaterThan">
      <formula>0.9</formula>
    </cfRule>
    <cfRule type="cellIs" dxfId="3286" priority="1722" operator="greaterThan">
      <formula>0.85</formula>
    </cfRule>
  </conditionalFormatting>
  <conditionalFormatting sqref="E63">
    <cfRule type="expression" dxfId="3285" priority="1717">
      <formula>AND(IF(OR($Q63=1,$Q63=2),1,0),IF($X63&lt;=20,1,0))</formula>
    </cfRule>
    <cfRule type="expression" dxfId="3284" priority="1718">
      <formula>AND(IF($Q63=2,1,0),IF($X63&lt;30,1,0))</formula>
    </cfRule>
    <cfRule type="expression" dxfId="3283" priority="1719">
      <formula>AND(IF($Q63=3,1,0),IF($X63&lt;30,1,0))</formula>
    </cfRule>
    <cfRule type="expression" dxfId="3282" priority="1720">
      <formula>AND(IF($Q63=3,1,IF($Q63=4,1,0)),IF($F63&lt;=85,1,0))</formula>
    </cfRule>
  </conditionalFormatting>
  <conditionalFormatting sqref="X63">
    <cfRule type="expression" dxfId="3281" priority="1713">
      <formula>AND(IF(OR($Q63=1,$Q63=2),1,0),IF($X63&lt;=20,1,0))</formula>
    </cfRule>
    <cfRule type="expression" dxfId="3280" priority="1714">
      <formula>AND(IF($Q63=2,1,0),IF($X63&lt;30,1,0))</formula>
    </cfRule>
    <cfRule type="expression" dxfId="3279" priority="1715">
      <formula>AND(IF($Q63=3,1,0),IF($X63&lt;30,1,0))</formula>
    </cfRule>
    <cfRule type="expression" dxfId="3278" priority="1716">
      <formula>AND(IF($Q63=3,1,IF($Q63=4,1,0)),IF($F63&lt;=85,1,0))</formula>
    </cfRule>
  </conditionalFormatting>
  <conditionalFormatting sqref="AI63">
    <cfRule type="expression" dxfId="3277" priority="1709">
      <formula>AND(IF(OR($Q63=1,$Q63=2),1,0),IF($X63&lt;=20,1,0))</formula>
    </cfRule>
    <cfRule type="expression" dxfId="3276" priority="1710">
      <formula>AND(IF($Q63=2,1,0),IF($X63&lt;30,1,0))</formula>
    </cfRule>
    <cfRule type="expression" dxfId="3275" priority="1711">
      <formula>AND(IF($Q63=3,1,0),IF($X63&lt;30,1,0))</formula>
    </cfRule>
    <cfRule type="expression" dxfId="3274" priority="1712">
      <formula>AND(IF($Q63=3,1,IF($Q63=4,1,0)),IF($F63&lt;=85,1,0))</formula>
    </cfRule>
  </conditionalFormatting>
  <conditionalFormatting sqref="AV64">
    <cfRule type="expression" dxfId="3273" priority="1707">
      <formula>AV64="X"</formula>
    </cfRule>
    <cfRule type="expression" dxfId="3272" priority="1708">
      <formula>AV64="후보"</formula>
    </cfRule>
  </conditionalFormatting>
  <conditionalFormatting sqref="Z64">
    <cfRule type="colorScale" priority="17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3271" priority="1704" operator="greaterThan">
      <formula>0.9</formula>
    </cfRule>
    <cfRule type="cellIs" dxfId="3270" priority="1705" operator="greaterThan">
      <formula>0.85</formula>
    </cfRule>
  </conditionalFormatting>
  <conditionalFormatting sqref="N64">
    <cfRule type="cellIs" dxfId="3269" priority="1702" operator="greaterThan">
      <formula>0.9</formula>
    </cfRule>
    <cfRule type="cellIs" dxfId="3268" priority="1703" operator="greaterThan">
      <formula>0.85</formula>
    </cfRule>
  </conditionalFormatting>
  <conditionalFormatting sqref="E64">
    <cfRule type="expression" dxfId="3267" priority="1698">
      <formula>AND(IF(OR($Q64=1,$Q64=2),1,0),IF($X64&lt;=20,1,0))</formula>
    </cfRule>
    <cfRule type="expression" dxfId="3266" priority="1699">
      <formula>AND(IF($Q64=2,1,0),IF($X64&lt;30,1,0))</formula>
    </cfRule>
    <cfRule type="expression" dxfId="3265" priority="1700">
      <formula>AND(IF($Q64=3,1,0),IF($X64&lt;30,1,0))</formula>
    </cfRule>
    <cfRule type="expression" dxfId="3264" priority="1701">
      <formula>AND(IF($Q64=3,1,IF($Q64=4,1,0)),IF($F64&lt;=85,1,0))</formula>
    </cfRule>
  </conditionalFormatting>
  <conditionalFormatting sqref="X64">
    <cfRule type="expression" dxfId="3263" priority="1694">
      <formula>AND(IF(OR($Q64=1,$Q64=2),1,0),IF($X64&lt;=20,1,0))</formula>
    </cfRule>
    <cfRule type="expression" dxfId="3262" priority="1695">
      <formula>AND(IF($Q64=2,1,0),IF($X64&lt;30,1,0))</formula>
    </cfRule>
    <cfRule type="expression" dxfId="3261" priority="1696">
      <formula>AND(IF($Q64=3,1,0),IF($X64&lt;30,1,0))</formula>
    </cfRule>
    <cfRule type="expression" dxfId="3260" priority="1697">
      <formula>AND(IF($Q64=3,1,IF($Q64=4,1,0)),IF($F64&lt;=85,1,0))</formula>
    </cfRule>
  </conditionalFormatting>
  <conditionalFormatting sqref="AI64">
    <cfRule type="expression" dxfId="3259" priority="1690">
      <formula>AND(IF(OR($Q64=1,$Q64=2),1,0),IF($X64&lt;=20,1,0))</formula>
    </cfRule>
    <cfRule type="expression" dxfId="3258" priority="1691">
      <formula>AND(IF($Q64=2,1,0),IF($X64&lt;30,1,0))</formula>
    </cfRule>
    <cfRule type="expression" dxfId="3257" priority="1692">
      <formula>AND(IF($Q64=3,1,0),IF($X64&lt;30,1,0))</formula>
    </cfRule>
    <cfRule type="expression" dxfId="3256" priority="1693">
      <formula>AND(IF($Q64=3,1,IF($Q64=4,1,0)),IF($F64&lt;=85,1,0))</formula>
    </cfRule>
  </conditionalFormatting>
  <conditionalFormatting sqref="AV65">
    <cfRule type="expression" dxfId="3255" priority="1688">
      <formula>AV65="X"</formula>
    </cfRule>
    <cfRule type="expression" dxfId="3254" priority="1689">
      <formula>AV65="후보"</formula>
    </cfRule>
  </conditionalFormatting>
  <conditionalFormatting sqref="Z65">
    <cfRule type="colorScale" priority="1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3253" priority="1685" operator="greaterThan">
      <formula>0.9</formula>
    </cfRule>
    <cfRule type="cellIs" dxfId="3252" priority="1686" operator="greaterThan">
      <formula>0.85</formula>
    </cfRule>
  </conditionalFormatting>
  <conditionalFormatting sqref="N65">
    <cfRule type="cellIs" dxfId="3251" priority="1683" operator="greaterThan">
      <formula>0.9</formula>
    </cfRule>
    <cfRule type="cellIs" dxfId="3250" priority="1684" operator="greaterThan">
      <formula>0.85</formula>
    </cfRule>
  </conditionalFormatting>
  <conditionalFormatting sqref="E65">
    <cfRule type="expression" dxfId="3249" priority="1679">
      <formula>AND(IF(OR($Q65=1,$Q65=2),1,0),IF($X65&lt;=20,1,0))</formula>
    </cfRule>
    <cfRule type="expression" dxfId="3248" priority="1680">
      <formula>AND(IF($Q65=2,1,0),IF($X65&lt;30,1,0))</formula>
    </cfRule>
    <cfRule type="expression" dxfId="3247" priority="1681">
      <formula>AND(IF($Q65=3,1,0),IF($X65&lt;30,1,0))</formula>
    </cfRule>
    <cfRule type="expression" dxfId="3246" priority="1682">
      <formula>AND(IF($Q65=3,1,IF($Q65=4,1,0)),IF($F65&lt;=85,1,0))</formula>
    </cfRule>
  </conditionalFormatting>
  <conditionalFormatting sqref="X65">
    <cfRule type="expression" dxfId="3245" priority="1675">
      <formula>AND(IF(OR($Q65=1,$Q65=2),1,0),IF($X65&lt;=20,1,0))</formula>
    </cfRule>
    <cfRule type="expression" dxfId="3244" priority="1676">
      <formula>AND(IF($Q65=2,1,0),IF($X65&lt;30,1,0))</formula>
    </cfRule>
    <cfRule type="expression" dxfId="3243" priority="1677">
      <formula>AND(IF($Q65=3,1,0),IF($X65&lt;30,1,0))</formula>
    </cfRule>
    <cfRule type="expression" dxfId="3242" priority="1678">
      <formula>AND(IF($Q65=3,1,IF($Q65=4,1,0)),IF($F65&lt;=85,1,0))</formula>
    </cfRule>
  </conditionalFormatting>
  <conditionalFormatting sqref="AI65">
    <cfRule type="expression" dxfId="3241" priority="1671">
      <formula>AND(IF(OR($Q65=1,$Q65=2),1,0),IF($X65&lt;=20,1,0))</formula>
    </cfRule>
    <cfRule type="expression" dxfId="3240" priority="1672">
      <formula>AND(IF($Q65=2,1,0),IF($X65&lt;30,1,0))</formula>
    </cfRule>
    <cfRule type="expression" dxfId="3239" priority="1673">
      <formula>AND(IF($Q65=3,1,0),IF($X65&lt;30,1,0))</formula>
    </cfRule>
    <cfRule type="expression" dxfId="3238" priority="1674">
      <formula>AND(IF($Q65=3,1,IF($Q65=4,1,0)),IF($F65&lt;=85,1,0))</formula>
    </cfRule>
  </conditionalFormatting>
  <conditionalFormatting sqref="AV66">
    <cfRule type="expression" dxfId="3237" priority="1669">
      <formula>AV66="X"</formula>
    </cfRule>
    <cfRule type="expression" dxfId="3236" priority="1670">
      <formula>AV66="후보"</formula>
    </cfRule>
  </conditionalFormatting>
  <conditionalFormatting sqref="Z66">
    <cfRule type="colorScale" priority="16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3235" priority="1666" operator="greaterThan">
      <formula>0.9</formula>
    </cfRule>
    <cfRule type="cellIs" dxfId="3234" priority="1667" operator="greaterThan">
      <formula>0.85</formula>
    </cfRule>
  </conditionalFormatting>
  <conditionalFormatting sqref="N66">
    <cfRule type="cellIs" dxfId="3233" priority="1664" operator="greaterThan">
      <formula>0.9</formula>
    </cfRule>
    <cfRule type="cellIs" dxfId="3232" priority="1665" operator="greaterThan">
      <formula>0.85</formula>
    </cfRule>
  </conditionalFormatting>
  <conditionalFormatting sqref="E66">
    <cfRule type="expression" dxfId="3231" priority="1660">
      <formula>AND(IF(OR($Q66=1,$Q66=2),1,0),IF($X66&lt;=20,1,0))</formula>
    </cfRule>
    <cfRule type="expression" dxfId="3230" priority="1661">
      <formula>AND(IF($Q66=2,1,0),IF($X66&lt;30,1,0))</formula>
    </cfRule>
    <cfRule type="expression" dxfId="3229" priority="1662">
      <formula>AND(IF($Q66=3,1,0),IF($X66&lt;30,1,0))</formula>
    </cfRule>
    <cfRule type="expression" dxfId="3228" priority="1663">
      <formula>AND(IF($Q66=3,1,IF($Q66=4,1,0)),IF($F66&lt;=85,1,0))</formula>
    </cfRule>
  </conditionalFormatting>
  <conditionalFormatting sqref="X66">
    <cfRule type="expression" dxfId="3227" priority="1656">
      <formula>AND(IF(OR($Q66=1,$Q66=2),1,0),IF($X66&lt;=20,1,0))</formula>
    </cfRule>
    <cfRule type="expression" dxfId="3226" priority="1657">
      <formula>AND(IF($Q66=2,1,0),IF($X66&lt;30,1,0))</formula>
    </cfRule>
    <cfRule type="expression" dxfId="3225" priority="1658">
      <formula>AND(IF($Q66=3,1,0),IF($X66&lt;30,1,0))</formula>
    </cfRule>
    <cfRule type="expression" dxfId="3224" priority="1659">
      <formula>AND(IF($Q66=3,1,IF($Q66=4,1,0)),IF($F66&lt;=85,1,0))</formula>
    </cfRule>
  </conditionalFormatting>
  <conditionalFormatting sqref="AI66">
    <cfRule type="expression" dxfId="3223" priority="1652">
      <formula>AND(IF(OR($Q66=1,$Q66=2),1,0),IF($X66&lt;=20,1,0))</formula>
    </cfRule>
    <cfRule type="expression" dxfId="3222" priority="1653">
      <formula>AND(IF($Q66=2,1,0),IF($X66&lt;30,1,0))</formula>
    </cfRule>
    <cfRule type="expression" dxfId="3221" priority="1654">
      <formula>AND(IF($Q66=3,1,0),IF($X66&lt;30,1,0))</formula>
    </cfRule>
    <cfRule type="expression" dxfId="3220" priority="1655">
      <formula>AND(IF($Q66=3,1,IF($Q66=4,1,0)),IF($F66&lt;=85,1,0))</formula>
    </cfRule>
  </conditionalFormatting>
  <conditionalFormatting sqref="AV67">
    <cfRule type="expression" dxfId="3219" priority="1650">
      <formula>AV67="X"</formula>
    </cfRule>
    <cfRule type="expression" dxfId="3218" priority="1651">
      <formula>AV67="후보"</formula>
    </cfRule>
  </conditionalFormatting>
  <conditionalFormatting sqref="Z67">
    <cfRule type="colorScale" priority="16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3217" priority="1647" operator="greaterThan">
      <formula>0.9</formula>
    </cfRule>
    <cfRule type="cellIs" dxfId="3216" priority="1648" operator="greaterThan">
      <formula>0.85</formula>
    </cfRule>
  </conditionalFormatting>
  <conditionalFormatting sqref="N67">
    <cfRule type="cellIs" dxfId="3215" priority="1645" operator="greaterThan">
      <formula>0.9</formula>
    </cfRule>
    <cfRule type="cellIs" dxfId="3214" priority="1646" operator="greaterThan">
      <formula>0.85</formula>
    </cfRule>
  </conditionalFormatting>
  <conditionalFormatting sqref="E67">
    <cfRule type="expression" dxfId="3213" priority="1641">
      <formula>AND(IF(OR($Q67=1,$Q67=2),1,0),IF($X67&lt;=20,1,0))</formula>
    </cfRule>
    <cfRule type="expression" dxfId="3212" priority="1642">
      <formula>AND(IF($Q67=2,1,0),IF($X67&lt;30,1,0))</formula>
    </cfRule>
    <cfRule type="expression" dxfId="3211" priority="1643">
      <formula>AND(IF($Q67=3,1,0),IF($X67&lt;30,1,0))</formula>
    </cfRule>
    <cfRule type="expression" dxfId="3210" priority="1644">
      <formula>AND(IF($Q67=3,1,IF($Q67=4,1,0)),IF($F67&lt;=85,1,0))</formula>
    </cfRule>
  </conditionalFormatting>
  <conditionalFormatting sqref="X67">
    <cfRule type="expression" dxfId="3209" priority="1637">
      <formula>AND(IF(OR($Q67=1,$Q67=2),1,0),IF($X67&lt;=20,1,0))</formula>
    </cfRule>
    <cfRule type="expression" dxfId="3208" priority="1638">
      <formula>AND(IF($Q67=2,1,0),IF($X67&lt;30,1,0))</formula>
    </cfRule>
    <cfRule type="expression" dxfId="3207" priority="1639">
      <formula>AND(IF($Q67=3,1,0),IF($X67&lt;30,1,0))</formula>
    </cfRule>
    <cfRule type="expression" dxfId="3206" priority="1640">
      <formula>AND(IF($Q67=3,1,IF($Q67=4,1,0)),IF($F67&lt;=85,1,0))</formula>
    </cfRule>
  </conditionalFormatting>
  <conditionalFormatting sqref="AI67">
    <cfRule type="expression" dxfId="3205" priority="1633">
      <formula>AND(IF(OR($Q67=1,$Q67=2),1,0),IF($X67&lt;=20,1,0))</formula>
    </cfRule>
    <cfRule type="expression" dxfId="3204" priority="1634">
      <formula>AND(IF($Q67=2,1,0),IF($X67&lt;30,1,0))</formula>
    </cfRule>
    <cfRule type="expression" dxfId="3203" priority="1635">
      <formula>AND(IF($Q67=3,1,0),IF($X67&lt;30,1,0))</formula>
    </cfRule>
    <cfRule type="expression" dxfId="3202" priority="1636">
      <formula>AND(IF($Q67=3,1,IF($Q67=4,1,0)),IF($F67&lt;=85,1,0))</formula>
    </cfRule>
  </conditionalFormatting>
  <conditionalFormatting sqref="AV68">
    <cfRule type="expression" dxfId="3201" priority="1631">
      <formula>AV68="X"</formula>
    </cfRule>
    <cfRule type="expression" dxfId="3200" priority="1632">
      <formula>AV68="후보"</formula>
    </cfRule>
  </conditionalFormatting>
  <conditionalFormatting sqref="Z68">
    <cfRule type="colorScale" priority="16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3199" priority="1628" operator="greaterThan">
      <formula>0.9</formula>
    </cfRule>
    <cfRule type="cellIs" dxfId="3198" priority="1629" operator="greaterThan">
      <formula>0.85</formula>
    </cfRule>
  </conditionalFormatting>
  <conditionalFormatting sqref="N68">
    <cfRule type="cellIs" dxfId="3197" priority="1626" operator="greaterThan">
      <formula>0.9</formula>
    </cfRule>
    <cfRule type="cellIs" dxfId="3196" priority="1627" operator="greaterThan">
      <formula>0.85</formula>
    </cfRule>
  </conditionalFormatting>
  <conditionalFormatting sqref="E68">
    <cfRule type="expression" dxfId="3195" priority="1622">
      <formula>AND(IF(OR($Q68=1,$Q68=2),1,0),IF($X68&lt;=20,1,0))</formula>
    </cfRule>
    <cfRule type="expression" dxfId="3194" priority="1623">
      <formula>AND(IF($Q68=2,1,0),IF($X68&lt;30,1,0))</formula>
    </cfRule>
    <cfRule type="expression" dxfId="3193" priority="1624">
      <formula>AND(IF($Q68=3,1,0),IF($X68&lt;30,1,0))</formula>
    </cfRule>
    <cfRule type="expression" dxfId="3192" priority="1625">
      <formula>AND(IF($Q68=3,1,IF($Q68=4,1,0)),IF($F68&lt;=85,1,0))</formula>
    </cfRule>
  </conditionalFormatting>
  <conditionalFormatting sqref="X68">
    <cfRule type="expression" dxfId="3191" priority="1618">
      <formula>AND(IF(OR($Q68=1,$Q68=2),1,0),IF($X68&lt;=20,1,0))</formula>
    </cfRule>
    <cfRule type="expression" dxfId="3190" priority="1619">
      <formula>AND(IF($Q68=2,1,0),IF($X68&lt;30,1,0))</formula>
    </cfRule>
    <cfRule type="expression" dxfId="3189" priority="1620">
      <formula>AND(IF($Q68=3,1,0),IF($X68&lt;30,1,0))</formula>
    </cfRule>
    <cfRule type="expression" dxfId="3188" priority="1621">
      <formula>AND(IF($Q68=3,1,IF($Q68=4,1,0)),IF($F68&lt;=85,1,0))</formula>
    </cfRule>
  </conditionalFormatting>
  <conditionalFormatting sqref="AI68">
    <cfRule type="expression" dxfId="3187" priority="1614">
      <formula>AND(IF(OR($Q68=1,$Q68=2),1,0),IF($X68&lt;=20,1,0))</formula>
    </cfRule>
    <cfRule type="expression" dxfId="3186" priority="1615">
      <formula>AND(IF($Q68=2,1,0),IF($X68&lt;30,1,0))</formula>
    </cfRule>
    <cfRule type="expression" dxfId="3185" priority="1616">
      <formula>AND(IF($Q68=3,1,0),IF($X68&lt;30,1,0))</formula>
    </cfRule>
    <cfRule type="expression" dxfId="3184" priority="1617">
      <formula>AND(IF($Q68=3,1,IF($Q68=4,1,0)),IF($F68&lt;=85,1,0))</formula>
    </cfRule>
  </conditionalFormatting>
  <conditionalFormatting sqref="AV69">
    <cfRule type="expression" dxfId="3183" priority="1612">
      <formula>AV69="X"</formula>
    </cfRule>
    <cfRule type="expression" dxfId="3182" priority="1613">
      <formula>AV69="후보"</formula>
    </cfRule>
  </conditionalFormatting>
  <conditionalFormatting sqref="Z69">
    <cfRule type="colorScale" priority="16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3181" priority="1609" operator="greaterThan">
      <formula>0.9</formula>
    </cfRule>
    <cfRule type="cellIs" dxfId="3180" priority="1610" operator="greaterThan">
      <formula>0.85</formula>
    </cfRule>
  </conditionalFormatting>
  <conditionalFormatting sqref="N69">
    <cfRule type="cellIs" dxfId="3179" priority="1607" operator="greaterThan">
      <formula>0.9</formula>
    </cfRule>
    <cfRule type="cellIs" dxfId="3178" priority="1608" operator="greaterThan">
      <formula>0.85</formula>
    </cfRule>
  </conditionalFormatting>
  <conditionalFormatting sqref="E69">
    <cfRule type="expression" dxfId="3177" priority="1603">
      <formula>AND(IF(OR($Q69=1,$Q69=2),1,0),IF($X69&lt;=20,1,0))</formula>
    </cfRule>
    <cfRule type="expression" dxfId="3176" priority="1604">
      <formula>AND(IF($Q69=2,1,0),IF($X69&lt;30,1,0))</formula>
    </cfRule>
    <cfRule type="expression" dxfId="3175" priority="1605">
      <formula>AND(IF($Q69=3,1,0),IF($X69&lt;30,1,0))</formula>
    </cfRule>
    <cfRule type="expression" dxfId="3174" priority="1606">
      <formula>AND(IF($Q69=3,1,IF($Q69=4,1,0)),IF($F69&lt;=85,1,0))</formula>
    </cfRule>
  </conditionalFormatting>
  <conditionalFormatting sqref="X69">
    <cfRule type="expression" dxfId="3173" priority="1599">
      <formula>AND(IF(OR($Q69=1,$Q69=2),1,0),IF($X69&lt;=20,1,0))</formula>
    </cfRule>
    <cfRule type="expression" dxfId="3172" priority="1600">
      <formula>AND(IF($Q69=2,1,0),IF($X69&lt;30,1,0))</formula>
    </cfRule>
    <cfRule type="expression" dxfId="3171" priority="1601">
      <formula>AND(IF($Q69=3,1,0),IF($X69&lt;30,1,0))</formula>
    </cfRule>
    <cfRule type="expression" dxfId="3170" priority="1602">
      <formula>AND(IF($Q69=3,1,IF($Q69=4,1,0)),IF($F69&lt;=85,1,0))</formula>
    </cfRule>
  </conditionalFormatting>
  <conditionalFormatting sqref="AI69">
    <cfRule type="expression" dxfId="3169" priority="1595">
      <formula>AND(IF(OR($Q69=1,$Q69=2),1,0),IF($X69&lt;=20,1,0))</formula>
    </cfRule>
    <cfRule type="expression" dxfId="3168" priority="1596">
      <formula>AND(IF($Q69=2,1,0),IF($X69&lt;30,1,0))</formula>
    </cfRule>
    <cfRule type="expression" dxfId="3167" priority="1597">
      <formula>AND(IF($Q69=3,1,0),IF($X69&lt;30,1,0))</formula>
    </cfRule>
    <cfRule type="expression" dxfId="3166" priority="1598">
      <formula>AND(IF($Q69=3,1,IF($Q69=4,1,0)),IF($F69&lt;=85,1,0))</formula>
    </cfRule>
  </conditionalFormatting>
  <conditionalFormatting sqref="AV70">
    <cfRule type="expression" dxfId="3165" priority="1593">
      <formula>AV70="X"</formula>
    </cfRule>
    <cfRule type="expression" dxfId="3164" priority="1594">
      <formula>AV70="후보"</formula>
    </cfRule>
  </conditionalFormatting>
  <conditionalFormatting sqref="Z70">
    <cfRule type="colorScale" priority="15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3163" priority="1590" operator="greaterThan">
      <formula>0.9</formula>
    </cfRule>
    <cfRule type="cellIs" dxfId="3162" priority="1591" operator="greaterThan">
      <formula>0.85</formula>
    </cfRule>
  </conditionalFormatting>
  <conditionalFormatting sqref="AV71">
    <cfRule type="expression" dxfId="3161" priority="1588">
      <formula>AV71="X"</formula>
    </cfRule>
    <cfRule type="expression" dxfId="3160" priority="1589">
      <formula>AV71="후보"</formula>
    </cfRule>
  </conditionalFormatting>
  <conditionalFormatting sqref="Z71">
    <cfRule type="colorScale" priority="1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3159" priority="1585" operator="greaterThan">
      <formula>0.9</formula>
    </cfRule>
    <cfRule type="cellIs" dxfId="3158" priority="1586" operator="greaterThan">
      <formula>0.85</formula>
    </cfRule>
  </conditionalFormatting>
  <conditionalFormatting sqref="N71">
    <cfRule type="cellIs" dxfId="3157" priority="1583" operator="greaterThan">
      <formula>0.9</formula>
    </cfRule>
    <cfRule type="cellIs" dxfId="3156" priority="1584" operator="greaterThan">
      <formula>0.85</formula>
    </cfRule>
  </conditionalFormatting>
  <conditionalFormatting sqref="E71">
    <cfRule type="expression" dxfId="3155" priority="1579">
      <formula>AND(IF(OR($Q71=1,$Q71=2),1,0),IF($X71&lt;=20,1,0))</formula>
    </cfRule>
    <cfRule type="expression" dxfId="3154" priority="1580">
      <formula>AND(IF($Q71=2,1,0),IF($X71&lt;30,1,0))</formula>
    </cfRule>
    <cfRule type="expression" dxfId="3153" priority="1581">
      <formula>AND(IF($Q71=3,1,0),IF($X71&lt;30,1,0))</formula>
    </cfRule>
    <cfRule type="expression" dxfId="3152" priority="1582">
      <formula>AND(IF($Q71=3,1,IF($Q71=4,1,0)),IF($F71&lt;=85,1,0))</formula>
    </cfRule>
  </conditionalFormatting>
  <conditionalFormatting sqref="X71">
    <cfRule type="expression" dxfId="3151" priority="1575">
      <formula>AND(IF(OR($Q71=1,$Q71=2),1,0),IF($X71&lt;=20,1,0))</formula>
    </cfRule>
    <cfRule type="expression" dxfId="3150" priority="1576">
      <formula>AND(IF($Q71=2,1,0),IF($X71&lt;30,1,0))</formula>
    </cfRule>
    <cfRule type="expression" dxfId="3149" priority="1577">
      <formula>AND(IF($Q71=3,1,0),IF($X71&lt;30,1,0))</formula>
    </cfRule>
    <cfRule type="expression" dxfId="3148" priority="1578">
      <formula>AND(IF($Q71=3,1,IF($Q71=4,1,0)),IF($F71&lt;=85,1,0))</formula>
    </cfRule>
  </conditionalFormatting>
  <conditionalFormatting sqref="AI71">
    <cfRule type="expression" dxfId="3147" priority="1571">
      <formula>AND(IF(OR($Q71=1,$Q71=2),1,0),IF($X71&lt;=20,1,0))</formula>
    </cfRule>
    <cfRule type="expression" dxfId="3146" priority="1572">
      <formula>AND(IF($Q71=2,1,0),IF($X71&lt;30,1,0))</formula>
    </cfRule>
    <cfRule type="expression" dxfId="3145" priority="1573">
      <formula>AND(IF($Q71=3,1,0),IF($X71&lt;30,1,0))</formula>
    </cfRule>
    <cfRule type="expression" dxfId="3144" priority="1574">
      <formula>AND(IF($Q71=3,1,IF($Q71=4,1,0)),IF($F71&lt;=85,1,0))</formula>
    </cfRule>
  </conditionalFormatting>
  <conditionalFormatting sqref="AV72">
    <cfRule type="expression" dxfId="3143" priority="1569">
      <formula>AV72="X"</formula>
    </cfRule>
    <cfRule type="expression" dxfId="3142" priority="1570">
      <formula>AV72="후보"</formula>
    </cfRule>
  </conditionalFormatting>
  <conditionalFormatting sqref="Z72">
    <cfRule type="colorScale" priority="1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3141" priority="1566" operator="greaterThan">
      <formula>0.9</formula>
    </cfRule>
    <cfRule type="cellIs" dxfId="3140" priority="1567" operator="greaterThan">
      <formula>0.85</formula>
    </cfRule>
  </conditionalFormatting>
  <conditionalFormatting sqref="N72">
    <cfRule type="cellIs" dxfId="3139" priority="1564" operator="greaterThan">
      <formula>0.9</formula>
    </cfRule>
    <cfRule type="cellIs" dxfId="3138" priority="1565" operator="greaterThan">
      <formula>0.85</formula>
    </cfRule>
  </conditionalFormatting>
  <conditionalFormatting sqref="E72">
    <cfRule type="expression" dxfId="3137" priority="1560">
      <formula>AND(IF(OR($Q72=1,$Q72=2),1,0),IF($X72&lt;=20,1,0))</formula>
    </cfRule>
    <cfRule type="expression" dxfId="3136" priority="1561">
      <formula>AND(IF($Q72=2,1,0),IF($X72&lt;30,1,0))</formula>
    </cfRule>
    <cfRule type="expression" dxfId="3135" priority="1562">
      <formula>AND(IF($Q72=3,1,0),IF($X72&lt;30,1,0))</formula>
    </cfRule>
    <cfRule type="expression" dxfId="3134" priority="1563">
      <formula>AND(IF($Q72=3,1,IF($Q72=4,1,0)),IF($F72&lt;=85,1,0))</formula>
    </cfRule>
  </conditionalFormatting>
  <conditionalFormatting sqref="X72">
    <cfRule type="expression" dxfId="3133" priority="1556">
      <formula>AND(IF(OR($Q72=1,$Q72=2),1,0),IF($X72&lt;=20,1,0))</formula>
    </cfRule>
    <cfRule type="expression" dxfId="3132" priority="1557">
      <formula>AND(IF($Q72=2,1,0),IF($X72&lt;30,1,0))</formula>
    </cfRule>
    <cfRule type="expression" dxfId="3131" priority="1558">
      <formula>AND(IF($Q72=3,1,0),IF($X72&lt;30,1,0))</formula>
    </cfRule>
    <cfRule type="expression" dxfId="3130" priority="1559">
      <formula>AND(IF($Q72=3,1,IF($Q72=4,1,0)),IF($F72&lt;=85,1,0))</formula>
    </cfRule>
  </conditionalFormatting>
  <conditionalFormatting sqref="AI72">
    <cfRule type="expression" dxfId="3129" priority="1552">
      <formula>AND(IF(OR($Q72=1,$Q72=2),1,0),IF($X72&lt;=20,1,0))</formula>
    </cfRule>
    <cfRule type="expression" dxfId="3128" priority="1553">
      <formula>AND(IF($Q72=2,1,0),IF($X72&lt;30,1,0))</formula>
    </cfRule>
    <cfRule type="expression" dxfId="3127" priority="1554">
      <formula>AND(IF($Q72=3,1,0),IF($X72&lt;30,1,0))</formula>
    </cfRule>
    <cfRule type="expression" dxfId="3126" priority="1555">
      <formula>AND(IF($Q72=3,1,IF($Q72=4,1,0)),IF($F72&lt;=85,1,0))</formula>
    </cfRule>
  </conditionalFormatting>
  <conditionalFormatting sqref="AV73">
    <cfRule type="expression" dxfId="3125" priority="1550">
      <formula>AV73="X"</formula>
    </cfRule>
    <cfRule type="expression" dxfId="3124" priority="1551">
      <formula>AV73="후보"</formula>
    </cfRule>
  </conditionalFormatting>
  <conditionalFormatting sqref="Z73">
    <cfRule type="colorScale" priority="1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3123" priority="1547" operator="greaterThan">
      <formula>0.9</formula>
    </cfRule>
    <cfRule type="cellIs" dxfId="3122" priority="1548" operator="greaterThan">
      <formula>0.85</formula>
    </cfRule>
  </conditionalFormatting>
  <conditionalFormatting sqref="N73">
    <cfRule type="cellIs" dxfId="3121" priority="1545" operator="greaterThan">
      <formula>0.9</formula>
    </cfRule>
    <cfRule type="cellIs" dxfId="3120" priority="1546" operator="greaterThan">
      <formula>0.85</formula>
    </cfRule>
  </conditionalFormatting>
  <conditionalFormatting sqref="E73">
    <cfRule type="expression" dxfId="3119" priority="1541">
      <formula>AND(IF(OR($Q73=1,$Q73=2),1,0),IF($X73&lt;=20,1,0))</formula>
    </cfRule>
    <cfRule type="expression" dxfId="3118" priority="1542">
      <formula>AND(IF($Q73=2,1,0),IF($X73&lt;30,1,0))</formula>
    </cfRule>
    <cfRule type="expression" dxfId="3117" priority="1543">
      <formula>AND(IF($Q73=3,1,0),IF($X73&lt;30,1,0))</formula>
    </cfRule>
    <cfRule type="expression" dxfId="3116" priority="1544">
      <formula>AND(IF($Q73=3,1,IF($Q73=4,1,0)),IF($F73&lt;=85,1,0))</formula>
    </cfRule>
  </conditionalFormatting>
  <conditionalFormatting sqref="X73">
    <cfRule type="expression" dxfId="3115" priority="1537">
      <formula>AND(IF(OR($Q73=1,$Q73=2),1,0),IF($X73&lt;=20,1,0))</formula>
    </cfRule>
    <cfRule type="expression" dxfId="3114" priority="1538">
      <formula>AND(IF($Q73=2,1,0),IF($X73&lt;30,1,0))</formula>
    </cfRule>
    <cfRule type="expression" dxfId="3113" priority="1539">
      <formula>AND(IF($Q73=3,1,0),IF($X73&lt;30,1,0))</formula>
    </cfRule>
    <cfRule type="expression" dxfId="3112" priority="1540">
      <formula>AND(IF($Q73=3,1,IF($Q73=4,1,0)),IF($F73&lt;=85,1,0))</formula>
    </cfRule>
  </conditionalFormatting>
  <conditionalFormatting sqref="AI73">
    <cfRule type="expression" dxfId="3111" priority="1533">
      <formula>AND(IF(OR($Q73=1,$Q73=2),1,0),IF($X73&lt;=20,1,0))</formula>
    </cfRule>
    <cfRule type="expression" dxfId="3110" priority="1534">
      <formula>AND(IF($Q73=2,1,0),IF($X73&lt;30,1,0))</formula>
    </cfRule>
    <cfRule type="expression" dxfId="3109" priority="1535">
      <formula>AND(IF($Q73=3,1,0),IF($X73&lt;30,1,0))</formula>
    </cfRule>
    <cfRule type="expression" dxfId="3108" priority="1536">
      <formula>AND(IF($Q73=3,1,IF($Q73=4,1,0)),IF($F73&lt;=85,1,0))</formula>
    </cfRule>
  </conditionalFormatting>
  <conditionalFormatting sqref="AV74">
    <cfRule type="expression" dxfId="3107" priority="1531">
      <formula>AV74="X"</formula>
    </cfRule>
    <cfRule type="expression" dxfId="3106" priority="1532">
      <formula>AV74="후보"</formula>
    </cfRule>
  </conditionalFormatting>
  <conditionalFormatting sqref="Z74">
    <cfRule type="colorScale" priority="1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3105" priority="1528" operator="greaterThan">
      <formula>0.9</formula>
    </cfRule>
    <cfRule type="cellIs" dxfId="3104" priority="1529" operator="greaterThan">
      <formula>0.85</formula>
    </cfRule>
  </conditionalFormatting>
  <conditionalFormatting sqref="N74">
    <cfRule type="cellIs" dxfId="3103" priority="1526" operator="greaterThan">
      <formula>0.9</formula>
    </cfRule>
    <cfRule type="cellIs" dxfId="3102" priority="1527" operator="greaterThan">
      <formula>0.85</formula>
    </cfRule>
  </conditionalFormatting>
  <conditionalFormatting sqref="E74">
    <cfRule type="expression" dxfId="3101" priority="1522">
      <formula>AND(IF(OR($Q74=1,$Q74=2),1,0),IF($X74&lt;=20,1,0))</formula>
    </cfRule>
    <cfRule type="expression" dxfId="3100" priority="1523">
      <formula>AND(IF($Q74=2,1,0),IF($X74&lt;30,1,0))</formula>
    </cfRule>
    <cfRule type="expression" dxfId="3099" priority="1524">
      <formula>AND(IF($Q74=3,1,0),IF($X74&lt;30,1,0))</formula>
    </cfRule>
    <cfRule type="expression" dxfId="3098" priority="1525">
      <formula>AND(IF($Q74=3,1,IF($Q74=4,1,0)),IF($F74&lt;=85,1,0))</formula>
    </cfRule>
  </conditionalFormatting>
  <conditionalFormatting sqref="X74">
    <cfRule type="expression" dxfId="3097" priority="1518">
      <formula>AND(IF(OR($Q74=1,$Q74=2),1,0),IF($X74&lt;=20,1,0))</formula>
    </cfRule>
    <cfRule type="expression" dxfId="3096" priority="1519">
      <formula>AND(IF($Q74=2,1,0),IF($X74&lt;30,1,0))</formula>
    </cfRule>
    <cfRule type="expression" dxfId="3095" priority="1520">
      <formula>AND(IF($Q74=3,1,0),IF($X74&lt;30,1,0))</formula>
    </cfRule>
    <cfRule type="expression" dxfId="3094" priority="1521">
      <formula>AND(IF($Q74=3,1,IF($Q74=4,1,0)),IF($F74&lt;=85,1,0))</formula>
    </cfRule>
  </conditionalFormatting>
  <conditionalFormatting sqref="AI74">
    <cfRule type="expression" dxfId="3093" priority="1514">
      <formula>AND(IF(OR($Q74=1,$Q74=2),1,0),IF($X74&lt;=20,1,0))</formula>
    </cfRule>
    <cfRule type="expression" dxfId="3092" priority="1515">
      <formula>AND(IF($Q74=2,1,0),IF($X74&lt;30,1,0))</formula>
    </cfRule>
    <cfRule type="expression" dxfId="3091" priority="1516">
      <formula>AND(IF($Q74=3,1,0),IF($X74&lt;30,1,0))</formula>
    </cfRule>
    <cfRule type="expression" dxfId="3090" priority="1517">
      <formula>AND(IF($Q74=3,1,IF($Q74=4,1,0)),IF($F74&lt;=85,1,0))</formula>
    </cfRule>
  </conditionalFormatting>
  <conditionalFormatting sqref="AV75">
    <cfRule type="expression" dxfId="3089" priority="1512">
      <formula>AV75="X"</formula>
    </cfRule>
    <cfRule type="expression" dxfId="3088" priority="1513">
      <formula>AV75="후보"</formula>
    </cfRule>
  </conditionalFormatting>
  <conditionalFormatting sqref="Z75">
    <cfRule type="colorScale" priority="1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3087" priority="1509" operator="greaterThan">
      <formula>0.9</formula>
    </cfRule>
    <cfRule type="cellIs" dxfId="3086" priority="1510" operator="greaterThan">
      <formula>0.85</formula>
    </cfRule>
  </conditionalFormatting>
  <conditionalFormatting sqref="N75">
    <cfRule type="cellIs" dxfId="3085" priority="1507" operator="greaterThan">
      <formula>0.9</formula>
    </cfRule>
    <cfRule type="cellIs" dxfId="3084" priority="1508" operator="greaterThan">
      <formula>0.85</formula>
    </cfRule>
  </conditionalFormatting>
  <conditionalFormatting sqref="E75">
    <cfRule type="expression" dxfId="3083" priority="1503">
      <formula>AND(IF(OR($Q75=1,$Q75=2),1,0),IF($X75&lt;=20,1,0))</formula>
    </cfRule>
    <cfRule type="expression" dxfId="3082" priority="1504">
      <formula>AND(IF($Q75=2,1,0),IF($X75&lt;30,1,0))</formula>
    </cfRule>
    <cfRule type="expression" dxfId="3081" priority="1505">
      <formula>AND(IF($Q75=3,1,0),IF($X75&lt;30,1,0))</formula>
    </cfRule>
    <cfRule type="expression" dxfId="3080" priority="1506">
      <formula>AND(IF($Q75=3,1,IF($Q75=4,1,0)),IF($F75&lt;=85,1,0))</formula>
    </cfRule>
  </conditionalFormatting>
  <conditionalFormatting sqref="X75">
    <cfRule type="expression" dxfId="3079" priority="1499">
      <formula>AND(IF(OR($Q75=1,$Q75=2),1,0),IF($X75&lt;=20,1,0))</formula>
    </cfRule>
    <cfRule type="expression" dxfId="3078" priority="1500">
      <formula>AND(IF($Q75=2,1,0),IF($X75&lt;30,1,0))</formula>
    </cfRule>
    <cfRule type="expression" dxfId="3077" priority="1501">
      <formula>AND(IF($Q75=3,1,0),IF($X75&lt;30,1,0))</formula>
    </cfRule>
    <cfRule type="expression" dxfId="3076" priority="1502">
      <formula>AND(IF($Q75=3,1,IF($Q75=4,1,0)),IF($F75&lt;=85,1,0))</formula>
    </cfRule>
  </conditionalFormatting>
  <conditionalFormatting sqref="AI75">
    <cfRule type="expression" dxfId="3075" priority="1495">
      <formula>AND(IF(OR($Q75=1,$Q75=2),1,0),IF($X75&lt;=20,1,0))</formula>
    </cfRule>
    <cfRule type="expression" dxfId="3074" priority="1496">
      <formula>AND(IF($Q75=2,1,0),IF($X75&lt;30,1,0))</formula>
    </cfRule>
    <cfRule type="expression" dxfId="3073" priority="1497">
      <formula>AND(IF($Q75=3,1,0),IF($X75&lt;30,1,0))</formula>
    </cfRule>
    <cfRule type="expression" dxfId="3072" priority="1498">
      <formula>AND(IF($Q75=3,1,IF($Q75=4,1,0)),IF($F75&lt;=85,1,0))</formula>
    </cfRule>
  </conditionalFormatting>
  <conditionalFormatting sqref="AV76">
    <cfRule type="expression" dxfId="3071" priority="1493">
      <formula>AV76="X"</formula>
    </cfRule>
    <cfRule type="expression" dxfId="3070" priority="1494">
      <formula>AV76="후보"</formula>
    </cfRule>
  </conditionalFormatting>
  <conditionalFormatting sqref="Z76">
    <cfRule type="colorScale" priority="1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3069" priority="1490" operator="greaterThan">
      <formula>0.9</formula>
    </cfRule>
    <cfRule type="cellIs" dxfId="3068" priority="1491" operator="greaterThan">
      <formula>0.85</formula>
    </cfRule>
  </conditionalFormatting>
  <conditionalFormatting sqref="N76">
    <cfRule type="cellIs" dxfId="3067" priority="1488" operator="greaterThan">
      <formula>0.9</formula>
    </cfRule>
    <cfRule type="cellIs" dxfId="3066" priority="1489" operator="greaterThan">
      <formula>0.85</formula>
    </cfRule>
  </conditionalFormatting>
  <conditionalFormatting sqref="E76">
    <cfRule type="expression" dxfId="3065" priority="1484">
      <formula>AND(IF(OR($Q76=1,$Q76=2),1,0),IF($X76&lt;=20,1,0))</formula>
    </cfRule>
    <cfRule type="expression" dxfId="3064" priority="1485">
      <formula>AND(IF($Q76=2,1,0),IF($X76&lt;30,1,0))</formula>
    </cfRule>
    <cfRule type="expression" dxfId="3063" priority="1486">
      <formula>AND(IF($Q76=3,1,0),IF($X76&lt;30,1,0))</formula>
    </cfRule>
    <cfRule type="expression" dxfId="3062" priority="1487">
      <formula>AND(IF($Q76=3,1,IF($Q76=4,1,0)),IF($F76&lt;=85,1,0))</formula>
    </cfRule>
  </conditionalFormatting>
  <conditionalFormatting sqref="X76">
    <cfRule type="expression" dxfId="3061" priority="1480">
      <formula>AND(IF(OR($Q76=1,$Q76=2),1,0),IF($X76&lt;=20,1,0))</formula>
    </cfRule>
    <cfRule type="expression" dxfId="3060" priority="1481">
      <formula>AND(IF($Q76=2,1,0),IF($X76&lt;30,1,0))</formula>
    </cfRule>
    <cfRule type="expression" dxfId="3059" priority="1482">
      <formula>AND(IF($Q76=3,1,0),IF($X76&lt;30,1,0))</formula>
    </cfRule>
    <cfRule type="expression" dxfId="3058" priority="1483">
      <formula>AND(IF($Q76=3,1,IF($Q76=4,1,0)),IF($F76&lt;=85,1,0))</formula>
    </cfRule>
  </conditionalFormatting>
  <conditionalFormatting sqref="AI76">
    <cfRule type="expression" dxfId="3057" priority="1476">
      <formula>AND(IF(OR($Q76=1,$Q76=2),1,0),IF($X76&lt;=20,1,0))</formula>
    </cfRule>
    <cfRule type="expression" dxfId="3056" priority="1477">
      <formula>AND(IF($Q76=2,1,0),IF($X76&lt;30,1,0))</formula>
    </cfRule>
    <cfRule type="expression" dxfId="3055" priority="1478">
      <formula>AND(IF($Q76=3,1,0),IF($X76&lt;30,1,0))</formula>
    </cfRule>
    <cfRule type="expression" dxfId="3054" priority="1479">
      <formula>AND(IF($Q76=3,1,IF($Q76=4,1,0)),IF($F76&lt;=85,1,0))</formula>
    </cfRule>
  </conditionalFormatting>
  <conditionalFormatting sqref="AV77">
    <cfRule type="expression" dxfId="3053" priority="1474">
      <formula>AV77="X"</formula>
    </cfRule>
    <cfRule type="expression" dxfId="3052" priority="1475">
      <formula>AV77="후보"</formula>
    </cfRule>
  </conditionalFormatting>
  <conditionalFormatting sqref="Z77">
    <cfRule type="colorScale" priority="1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3051" priority="1471" operator="greaterThan">
      <formula>0.9</formula>
    </cfRule>
    <cfRule type="cellIs" dxfId="3050" priority="1472" operator="greaterThan">
      <formula>0.85</formula>
    </cfRule>
  </conditionalFormatting>
  <conditionalFormatting sqref="N77">
    <cfRule type="cellIs" dxfId="3049" priority="1469" operator="greaterThan">
      <formula>0.9</formula>
    </cfRule>
    <cfRule type="cellIs" dxfId="3048" priority="1470" operator="greaterThan">
      <formula>0.85</formula>
    </cfRule>
  </conditionalFormatting>
  <conditionalFormatting sqref="E77">
    <cfRule type="expression" dxfId="3047" priority="1465">
      <formula>AND(IF(OR($Q77=1,$Q77=2),1,0),IF($X77&lt;=20,1,0))</formula>
    </cfRule>
    <cfRule type="expression" dxfId="3046" priority="1466">
      <formula>AND(IF($Q77=2,1,0),IF($X77&lt;30,1,0))</formula>
    </cfRule>
    <cfRule type="expression" dxfId="3045" priority="1467">
      <formula>AND(IF($Q77=3,1,0),IF($X77&lt;30,1,0))</formula>
    </cfRule>
    <cfRule type="expression" dxfId="3044" priority="1468">
      <formula>AND(IF($Q77=3,1,IF($Q77=4,1,0)),IF($F77&lt;=85,1,0))</formula>
    </cfRule>
  </conditionalFormatting>
  <conditionalFormatting sqref="X77">
    <cfRule type="expression" dxfId="3043" priority="1461">
      <formula>AND(IF(OR($Q77=1,$Q77=2),1,0),IF($X77&lt;=20,1,0))</formula>
    </cfRule>
    <cfRule type="expression" dxfId="3042" priority="1462">
      <formula>AND(IF($Q77=2,1,0),IF($X77&lt;30,1,0))</formula>
    </cfRule>
    <cfRule type="expression" dxfId="3041" priority="1463">
      <formula>AND(IF($Q77=3,1,0),IF($X77&lt;30,1,0))</formula>
    </cfRule>
    <cfRule type="expression" dxfId="3040" priority="1464">
      <formula>AND(IF($Q77=3,1,IF($Q77=4,1,0)),IF($F77&lt;=85,1,0))</formula>
    </cfRule>
  </conditionalFormatting>
  <conditionalFormatting sqref="AI77">
    <cfRule type="expression" dxfId="3039" priority="1457">
      <formula>AND(IF(OR($Q77=1,$Q77=2),1,0),IF($X77&lt;=20,1,0))</formula>
    </cfRule>
    <cfRule type="expression" dxfId="3038" priority="1458">
      <formula>AND(IF($Q77=2,1,0),IF($X77&lt;30,1,0))</formula>
    </cfRule>
    <cfRule type="expression" dxfId="3037" priority="1459">
      <formula>AND(IF($Q77=3,1,0),IF($X77&lt;30,1,0))</formula>
    </cfRule>
    <cfRule type="expression" dxfId="3036" priority="1460">
      <formula>AND(IF($Q77=3,1,IF($Q77=4,1,0)),IF($F77&lt;=85,1,0))</formula>
    </cfRule>
  </conditionalFormatting>
  <conditionalFormatting sqref="AV78">
    <cfRule type="expression" dxfId="3035" priority="1455">
      <formula>AV78="X"</formula>
    </cfRule>
    <cfRule type="expression" dxfId="3034" priority="1456">
      <formula>AV78="후보"</formula>
    </cfRule>
  </conditionalFormatting>
  <conditionalFormatting sqref="Z78">
    <cfRule type="colorScale" priority="1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3033" priority="1452" operator="greaterThan">
      <formula>0.9</formula>
    </cfRule>
    <cfRule type="cellIs" dxfId="3032" priority="1453" operator="greaterThan">
      <formula>0.85</formula>
    </cfRule>
  </conditionalFormatting>
  <conditionalFormatting sqref="N78">
    <cfRule type="cellIs" dxfId="3031" priority="1450" operator="greaterThan">
      <formula>0.9</formula>
    </cfRule>
    <cfRule type="cellIs" dxfId="3030" priority="1451" operator="greaterThan">
      <formula>0.85</formula>
    </cfRule>
  </conditionalFormatting>
  <conditionalFormatting sqref="E78">
    <cfRule type="expression" dxfId="3029" priority="1446">
      <formula>AND(IF(OR($Q78=1,$Q78=2),1,0),IF($X78&lt;=20,1,0))</formula>
    </cfRule>
    <cfRule type="expression" dxfId="3028" priority="1447">
      <formula>AND(IF($Q78=2,1,0),IF($X78&lt;30,1,0))</formula>
    </cfRule>
    <cfRule type="expression" dxfId="3027" priority="1448">
      <formula>AND(IF($Q78=3,1,0),IF($X78&lt;30,1,0))</formula>
    </cfRule>
    <cfRule type="expression" dxfId="3026" priority="1449">
      <formula>AND(IF($Q78=3,1,IF($Q78=4,1,0)),IF($F78&lt;=85,1,0))</formula>
    </cfRule>
  </conditionalFormatting>
  <conditionalFormatting sqref="X78">
    <cfRule type="expression" dxfId="3025" priority="1442">
      <formula>AND(IF(OR($Q78=1,$Q78=2),1,0),IF($X78&lt;=20,1,0))</formula>
    </cfRule>
    <cfRule type="expression" dxfId="3024" priority="1443">
      <formula>AND(IF($Q78=2,1,0),IF($X78&lt;30,1,0))</formula>
    </cfRule>
    <cfRule type="expression" dxfId="3023" priority="1444">
      <formula>AND(IF($Q78=3,1,0),IF($X78&lt;30,1,0))</formula>
    </cfRule>
    <cfRule type="expression" dxfId="3022" priority="1445">
      <formula>AND(IF($Q78=3,1,IF($Q78=4,1,0)),IF($F78&lt;=85,1,0))</formula>
    </cfRule>
  </conditionalFormatting>
  <conditionalFormatting sqref="AI78">
    <cfRule type="expression" dxfId="3021" priority="1438">
      <formula>AND(IF(OR($Q78=1,$Q78=2),1,0),IF($X78&lt;=20,1,0))</formula>
    </cfRule>
    <cfRule type="expression" dxfId="3020" priority="1439">
      <formula>AND(IF($Q78=2,1,0),IF($X78&lt;30,1,0))</formula>
    </cfRule>
    <cfRule type="expression" dxfId="3019" priority="1440">
      <formula>AND(IF($Q78=3,1,0),IF($X78&lt;30,1,0))</formula>
    </cfRule>
    <cfRule type="expression" dxfId="3018" priority="1441">
      <formula>AND(IF($Q78=3,1,IF($Q78=4,1,0)),IF($F78&lt;=85,1,0))</formula>
    </cfRule>
  </conditionalFormatting>
  <conditionalFormatting sqref="AV79">
    <cfRule type="expression" dxfId="3017" priority="1436">
      <formula>AV79="X"</formula>
    </cfRule>
    <cfRule type="expression" dxfId="3016" priority="1437">
      <formula>AV79="후보"</formula>
    </cfRule>
  </conditionalFormatting>
  <conditionalFormatting sqref="Z79">
    <cfRule type="colorScale" priority="1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3015" priority="1433" operator="greaterThan">
      <formula>0.9</formula>
    </cfRule>
    <cfRule type="cellIs" dxfId="3014" priority="1434" operator="greaterThan">
      <formula>0.85</formula>
    </cfRule>
  </conditionalFormatting>
  <conditionalFormatting sqref="N79">
    <cfRule type="cellIs" dxfId="3013" priority="1431" operator="greaterThan">
      <formula>0.9</formula>
    </cfRule>
    <cfRule type="cellIs" dxfId="3012" priority="1432" operator="greaterThan">
      <formula>0.85</formula>
    </cfRule>
  </conditionalFormatting>
  <conditionalFormatting sqref="E79">
    <cfRule type="expression" dxfId="3011" priority="1427">
      <formula>AND(IF(OR($Q79=1,$Q79=2),1,0),IF($X79&lt;=20,1,0))</formula>
    </cfRule>
    <cfRule type="expression" dxfId="3010" priority="1428">
      <formula>AND(IF($Q79=2,1,0),IF($X79&lt;30,1,0))</formula>
    </cfRule>
    <cfRule type="expression" dxfId="3009" priority="1429">
      <formula>AND(IF($Q79=3,1,0),IF($X79&lt;30,1,0))</formula>
    </cfRule>
    <cfRule type="expression" dxfId="3008" priority="1430">
      <formula>AND(IF($Q79=3,1,IF($Q79=4,1,0)),IF($F79&lt;=85,1,0))</formula>
    </cfRule>
  </conditionalFormatting>
  <conditionalFormatting sqref="X79">
    <cfRule type="expression" dxfId="3007" priority="1423">
      <formula>AND(IF(OR($Q79=1,$Q79=2),1,0),IF($X79&lt;=20,1,0))</formula>
    </cfRule>
    <cfRule type="expression" dxfId="3006" priority="1424">
      <formula>AND(IF($Q79=2,1,0),IF($X79&lt;30,1,0))</formula>
    </cfRule>
    <cfRule type="expression" dxfId="3005" priority="1425">
      <formula>AND(IF($Q79=3,1,0),IF($X79&lt;30,1,0))</formula>
    </cfRule>
    <cfRule type="expression" dxfId="3004" priority="1426">
      <formula>AND(IF($Q79=3,1,IF($Q79=4,1,0)),IF($F79&lt;=85,1,0))</formula>
    </cfRule>
  </conditionalFormatting>
  <conditionalFormatting sqref="AI79">
    <cfRule type="expression" dxfId="3003" priority="1419">
      <formula>AND(IF(OR($Q79=1,$Q79=2),1,0),IF($X79&lt;=20,1,0))</formula>
    </cfRule>
    <cfRule type="expression" dxfId="3002" priority="1420">
      <formula>AND(IF($Q79=2,1,0),IF($X79&lt;30,1,0))</formula>
    </cfRule>
    <cfRule type="expression" dxfId="3001" priority="1421">
      <formula>AND(IF($Q79=3,1,0),IF($X79&lt;30,1,0))</formula>
    </cfRule>
    <cfRule type="expression" dxfId="3000" priority="1422">
      <formula>AND(IF($Q79=3,1,IF($Q79=4,1,0)),IF($F79&lt;=85,1,0))</formula>
    </cfRule>
  </conditionalFormatting>
  <conditionalFormatting sqref="AV80">
    <cfRule type="expression" dxfId="2999" priority="1417">
      <formula>AV80="X"</formula>
    </cfRule>
    <cfRule type="expression" dxfId="2998" priority="1418">
      <formula>AV80="후보"</formula>
    </cfRule>
  </conditionalFormatting>
  <conditionalFormatting sqref="Z80">
    <cfRule type="colorScale" priority="1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2997" priority="1414" operator="greaterThan">
      <formula>0.9</formula>
    </cfRule>
    <cfRule type="cellIs" dxfId="2996" priority="1415" operator="greaterThan">
      <formula>0.85</formula>
    </cfRule>
  </conditionalFormatting>
  <conditionalFormatting sqref="N80">
    <cfRule type="cellIs" dxfId="2995" priority="1412" operator="greaterThan">
      <formula>0.9</formula>
    </cfRule>
    <cfRule type="cellIs" dxfId="2994" priority="1413" operator="greaterThan">
      <formula>0.85</formula>
    </cfRule>
  </conditionalFormatting>
  <conditionalFormatting sqref="E80">
    <cfRule type="expression" dxfId="2993" priority="1408">
      <formula>AND(IF(OR($Q80=1,$Q80=2),1,0),IF($X80&lt;=20,1,0))</formula>
    </cfRule>
    <cfRule type="expression" dxfId="2992" priority="1409">
      <formula>AND(IF($Q80=2,1,0),IF($X80&lt;30,1,0))</formula>
    </cfRule>
    <cfRule type="expression" dxfId="2991" priority="1410">
      <formula>AND(IF($Q80=3,1,0),IF($X80&lt;30,1,0))</formula>
    </cfRule>
    <cfRule type="expression" dxfId="2990" priority="1411">
      <formula>AND(IF($Q80=3,1,IF($Q80=4,1,0)),IF($F80&lt;=85,1,0))</formula>
    </cfRule>
  </conditionalFormatting>
  <conditionalFormatting sqref="X80">
    <cfRule type="expression" dxfId="2989" priority="1404">
      <formula>AND(IF(OR($Q80=1,$Q80=2),1,0),IF($X80&lt;=20,1,0))</formula>
    </cfRule>
    <cfRule type="expression" dxfId="2988" priority="1405">
      <formula>AND(IF($Q80=2,1,0),IF($X80&lt;30,1,0))</formula>
    </cfRule>
    <cfRule type="expression" dxfId="2987" priority="1406">
      <formula>AND(IF($Q80=3,1,0),IF($X80&lt;30,1,0))</formula>
    </cfRule>
    <cfRule type="expression" dxfId="2986" priority="1407">
      <formula>AND(IF($Q80=3,1,IF($Q80=4,1,0)),IF($F80&lt;=85,1,0))</formula>
    </cfRule>
  </conditionalFormatting>
  <conditionalFormatting sqref="AI80">
    <cfRule type="expression" dxfId="2985" priority="1400">
      <formula>AND(IF(OR($Q80=1,$Q80=2),1,0),IF($X80&lt;=20,1,0))</formula>
    </cfRule>
    <cfRule type="expression" dxfId="2984" priority="1401">
      <formula>AND(IF($Q80=2,1,0),IF($X80&lt;30,1,0))</formula>
    </cfRule>
    <cfRule type="expression" dxfId="2983" priority="1402">
      <formula>AND(IF($Q80=3,1,0),IF($X80&lt;30,1,0))</formula>
    </cfRule>
    <cfRule type="expression" dxfId="2982" priority="1403">
      <formula>AND(IF($Q80=3,1,IF($Q80=4,1,0)),IF($F80&lt;=85,1,0))</formula>
    </cfRule>
  </conditionalFormatting>
  <conditionalFormatting sqref="AV81">
    <cfRule type="expression" dxfId="2981" priority="1398">
      <formula>AV81="X"</formula>
    </cfRule>
    <cfRule type="expression" dxfId="2980" priority="1399">
      <formula>AV81="후보"</formula>
    </cfRule>
  </conditionalFormatting>
  <conditionalFormatting sqref="Z81">
    <cfRule type="colorScale" priority="1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2979" priority="1395" operator="greaterThan">
      <formula>0.9</formula>
    </cfRule>
    <cfRule type="cellIs" dxfId="2978" priority="1396" operator="greaterThan">
      <formula>0.85</formula>
    </cfRule>
  </conditionalFormatting>
  <conditionalFormatting sqref="AV82">
    <cfRule type="expression" dxfId="2977" priority="1393">
      <formula>AV82="X"</formula>
    </cfRule>
    <cfRule type="expression" dxfId="2976" priority="1394">
      <formula>AV82="후보"</formula>
    </cfRule>
  </conditionalFormatting>
  <conditionalFormatting sqref="Z82">
    <cfRule type="colorScale" priority="13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975" priority="1390" operator="greaterThan">
      <formula>0.9</formula>
    </cfRule>
    <cfRule type="cellIs" dxfId="2974" priority="1391" operator="greaterThan">
      <formula>0.85</formula>
    </cfRule>
  </conditionalFormatting>
  <conditionalFormatting sqref="N82">
    <cfRule type="cellIs" dxfId="2973" priority="1388" operator="greaterThan">
      <formula>0.9</formula>
    </cfRule>
    <cfRule type="cellIs" dxfId="2972" priority="1389" operator="greaterThan">
      <formula>0.85</formula>
    </cfRule>
  </conditionalFormatting>
  <conditionalFormatting sqref="E82">
    <cfRule type="expression" dxfId="2971" priority="1384">
      <formula>AND(IF(OR($Q82=1,$Q82=2),1,0),IF($X82&lt;=20,1,0))</formula>
    </cfRule>
    <cfRule type="expression" dxfId="2970" priority="1385">
      <formula>AND(IF($Q82=2,1,0),IF($X82&lt;30,1,0))</formula>
    </cfRule>
    <cfRule type="expression" dxfId="2969" priority="1386">
      <formula>AND(IF($Q82=3,1,0),IF($X82&lt;30,1,0))</formula>
    </cfRule>
    <cfRule type="expression" dxfId="2968" priority="1387">
      <formula>AND(IF($Q82=3,1,IF($Q82=4,1,0)),IF($F82&lt;=85,1,0))</formula>
    </cfRule>
  </conditionalFormatting>
  <conditionalFormatting sqref="X82">
    <cfRule type="expression" dxfId="2967" priority="1380">
      <formula>AND(IF(OR($Q82=1,$Q82=2),1,0),IF($X82&lt;=20,1,0))</formula>
    </cfRule>
    <cfRule type="expression" dxfId="2966" priority="1381">
      <formula>AND(IF($Q82=2,1,0),IF($X82&lt;30,1,0))</formula>
    </cfRule>
    <cfRule type="expression" dxfId="2965" priority="1382">
      <formula>AND(IF($Q82=3,1,0),IF($X82&lt;30,1,0))</formula>
    </cfRule>
    <cfRule type="expression" dxfId="2964" priority="1383">
      <formula>AND(IF($Q82=3,1,IF($Q82=4,1,0)),IF($F82&lt;=85,1,0))</formula>
    </cfRule>
  </conditionalFormatting>
  <conditionalFormatting sqref="AI82">
    <cfRule type="expression" dxfId="2963" priority="1376">
      <formula>AND(IF(OR($Q82=1,$Q82=2),1,0),IF($X82&lt;=20,1,0))</formula>
    </cfRule>
    <cfRule type="expression" dxfId="2962" priority="1377">
      <formula>AND(IF($Q82=2,1,0),IF($X82&lt;30,1,0))</formula>
    </cfRule>
    <cfRule type="expression" dxfId="2961" priority="1378">
      <formula>AND(IF($Q82=3,1,0),IF($X82&lt;30,1,0))</formula>
    </cfRule>
    <cfRule type="expression" dxfId="2960" priority="1379">
      <formula>AND(IF($Q82=3,1,IF($Q82=4,1,0)),IF($F82&lt;=85,1,0))</formula>
    </cfRule>
  </conditionalFormatting>
  <conditionalFormatting sqref="AV83">
    <cfRule type="expression" dxfId="2959" priority="1374">
      <formula>AV83="X"</formula>
    </cfRule>
    <cfRule type="expression" dxfId="2958" priority="1375">
      <formula>AV83="후보"</formula>
    </cfRule>
  </conditionalFormatting>
  <conditionalFormatting sqref="Z83">
    <cfRule type="colorScale" priority="13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957" priority="1371" operator="greaterThan">
      <formula>0.9</formula>
    </cfRule>
    <cfRule type="cellIs" dxfId="2956" priority="1372" operator="greaterThan">
      <formula>0.85</formula>
    </cfRule>
  </conditionalFormatting>
  <conditionalFormatting sqref="N83">
    <cfRule type="cellIs" dxfId="2955" priority="1369" operator="greaterThan">
      <formula>0.9</formula>
    </cfRule>
    <cfRule type="cellIs" dxfId="2954" priority="1370" operator="greaterThan">
      <formula>0.85</formula>
    </cfRule>
  </conditionalFormatting>
  <conditionalFormatting sqref="E83">
    <cfRule type="expression" dxfId="2953" priority="1365">
      <formula>AND(IF(OR($Q83=1,$Q83=2),1,0),IF($X83&lt;=20,1,0))</formula>
    </cfRule>
    <cfRule type="expression" dxfId="2952" priority="1366">
      <formula>AND(IF($Q83=2,1,0),IF($X83&lt;30,1,0))</formula>
    </cfRule>
    <cfRule type="expression" dxfId="2951" priority="1367">
      <formula>AND(IF($Q83=3,1,0),IF($X83&lt;30,1,0))</formula>
    </cfRule>
    <cfRule type="expression" dxfId="2950" priority="1368">
      <formula>AND(IF($Q83=3,1,IF($Q83=4,1,0)),IF($F83&lt;=85,1,0))</formula>
    </cfRule>
  </conditionalFormatting>
  <conditionalFormatting sqref="X83">
    <cfRule type="expression" dxfId="2949" priority="1361">
      <formula>AND(IF(OR($Q83=1,$Q83=2),1,0),IF($X83&lt;=20,1,0))</formula>
    </cfRule>
    <cfRule type="expression" dxfId="2948" priority="1362">
      <formula>AND(IF($Q83=2,1,0),IF($X83&lt;30,1,0))</formula>
    </cfRule>
    <cfRule type="expression" dxfId="2947" priority="1363">
      <formula>AND(IF($Q83=3,1,0),IF($X83&lt;30,1,0))</formula>
    </cfRule>
    <cfRule type="expression" dxfId="2946" priority="1364">
      <formula>AND(IF($Q83=3,1,IF($Q83=4,1,0)),IF($F83&lt;=85,1,0))</formula>
    </cfRule>
  </conditionalFormatting>
  <conditionalFormatting sqref="AI83">
    <cfRule type="expression" dxfId="2945" priority="1357">
      <formula>AND(IF(OR($Q83=1,$Q83=2),1,0),IF($X83&lt;=20,1,0))</formula>
    </cfRule>
    <cfRule type="expression" dxfId="2944" priority="1358">
      <formula>AND(IF($Q83=2,1,0),IF($X83&lt;30,1,0))</formula>
    </cfRule>
    <cfRule type="expression" dxfId="2943" priority="1359">
      <formula>AND(IF($Q83=3,1,0),IF($X83&lt;30,1,0))</formula>
    </cfRule>
    <cfRule type="expression" dxfId="2942" priority="1360">
      <formula>AND(IF($Q83=3,1,IF($Q83=4,1,0)),IF($F83&lt;=85,1,0))</formula>
    </cfRule>
  </conditionalFormatting>
  <conditionalFormatting sqref="AV84">
    <cfRule type="expression" dxfId="2941" priority="1355">
      <formula>AV84="X"</formula>
    </cfRule>
    <cfRule type="expression" dxfId="2940" priority="1356">
      <formula>AV84="후보"</formula>
    </cfRule>
  </conditionalFormatting>
  <conditionalFormatting sqref="Z84">
    <cfRule type="colorScale" priority="13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939" priority="1352" operator="greaterThan">
      <formula>0.9</formula>
    </cfRule>
    <cfRule type="cellIs" dxfId="2938" priority="1353" operator="greaterThan">
      <formula>0.85</formula>
    </cfRule>
  </conditionalFormatting>
  <conditionalFormatting sqref="N84">
    <cfRule type="cellIs" dxfId="2937" priority="1350" operator="greaterThan">
      <formula>0.9</formula>
    </cfRule>
    <cfRule type="cellIs" dxfId="2936" priority="1351" operator="greaterThan">
      <formula>0.85</formula>
    </cfRule>
  </conditionalFormatting>
  <conditionalFormatting sqref="E84">
    <cfRule type="expression" dxfId="2935" priority="1346">
      <formula>AND(IF(OR($Q84=1,$Q84=2),1,0),IF($X84&lt;=20,1,0))</formula>
    </cfRule>
    <cfRule type="expression" dxfId="2934" priority="1347">
      <formula>AND(IF($Q84=2,1,0),IF($X84&lt;30,1,0))</formula>
    </cfRule>
    <cfRule type="expression" dxfId="2933" priority="1348">
      <formula>AND(IF($Q84=3,1,0),IF($X84&lt;30,1,0))</formula>
    </cfRule>
    <cfRule type="expression" dxfId="2932" priority="1349">
      <formula>AND(IF($Q84=3,1,IF($Q84=4,1,0)),IF($F84&lt;=85,1,0))</formula>
    </cfRule>
  </conditionalFormatting>
  <conditionalFormatting sqref="X84">
    <cfRule type="expression" dxfId="2931" priority="1342">
      <formula>AND(IF(OR($Q84=1,$Q84=2),1,0),IF($X84&lt;=20,1,0))</formula>
    </cfRule>
    <cfRule type="expression" dxfId="2930" priority="1343">
      <formula>AND(IF($Q84=2,1,0),IF($X84&lt;30,1,0))</formula>
    </cfRule>
    <cfRule type="expression" dxfId="2929" priority="1344">
      <formula>AND(IF($Q84=3,1,0),IF($X84&lt;30,1,0))</formula>
    </cfRule>
    <cfRule type="expression" dxfId="2928" priority="1345">
      <formula>AND(IF($Q84=3,1,IF($Q84=4,1,0)),IF($F84&lt;=85,1,0))</formula>
    </cfRule>
  </conditionalFormatting>
  <conditionalFormatting sqref="AI84">
    <cfRule type="expression" dxfId="2927" priority="1338">
      <formula>AND(IF(OR($Q84=1,$Q84=2),1,0),IF($X84&lt;=20,1,0))</formula>
    </cfRule>
    <cfRule type="expression" dxfId="2926" priority="1339">
      <formula>AND(IF($Q84=2,1,0),IF($X84&lt;30,1,0))</formula>
    </cfRule>
    <cfRule type="expression" dxfId="2925" priority="1340">
      <formula>AND(IF($Q84=3,1,0),IF($X84&lt;30,1,0))</formula>
    </cfRule>
    <cfRule type="expression" dxfId="2924" priority="1341">
      <formula>AND(IF($Q84=3,1,IF($Q84=4,1,0)),IF($F84&lt;=85,1,0))</formula>
    </cfRule>
  </conditionalFormatting>
  <conditionalFormatting sqref="AV85">
    <cfRule type="expression" dxfId="2923" priority="1336">
      <formula>AV85="X"</formula>
    </cfRule>
    <cfRule type="expression" dxfId="2922" priority="1337">
      <formula>AV85="후보"</formula>
    </cfRule>
  </conditionalFormatting>
  <conditionalFormatting sqref="Z85">
    <cfRule type="colorScale" priority="13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921" priority="1333" operator="greaterThan">
      <formula>0.9</formula>
    </cfRule>
    <cfRule type="cellIs" dxfId="2920" priority="1334" operator="greaterThan">
      <formula>0.85</formula>
    </cfRule>
  </conditionalFormatting>
  <conditionalFormatting sqref="N85">
    <cfRule type="cellIs" dxfId="2919" priority="1331" operator="greaterThan">
      <formula>0.9</formula>
    </cfRule>
    <cfRule type="cellIs" dxfId="2918" priority="1332" operator="greaterThan">
      <formula>0.85</formula>
    </cfRule>
  </conditionalFormatting>
  <conditionalFormatting sqref="E85">
    <cfRule type="expression" dxfId="2917" priority="1327">
      <formula>AND(IF(OR($Q85=1,$Q85=2),1,0),IF($X85&lt;=20,1,0))</formula>
    </cfRule>
    <cfRule type="expression" dxfId="2916" priority="1328">
      <formula>AND(IF($Q85=2,1,0),IF($X85&lt;30,1,0))</formula>
    </cfRule>
    <cfRule type="expression" dxfId="2915" priority="1329">
      <formula>AND(IF($Q85=3,1,0),IF($X85&lt;30,1,0))</formula>
    </cfRule>
    <cfRule type="expression" dxfId="2914" priority="1330">
      <formula>AND(IF($Q85=3,1,IF($Q85=4,1,0)),IF($F85&lt;=85,1,0))</formula>
    </cfRule>
  </conditionalFormatting>
  <conditionalFormatting sqref="X85">
    <cfRule type="expression" dxfId="2913" priority="1323">
      <formula>AND(IF(OR($Q85=1,$Q85=2),1,0),IF($X85&lt;=20,1,0))</formula>
    </cfRule>
    <cfRule type="expression" dxfId="2912" priority="1324">
      <formula>AND(IF($Q85=2,1,0),IF($X85&lt;30,1,0))</formula>
    </cfRule>
    <cfRule type="expression" dxfId="2911" priority="1325">
      <formula>AND(IF($Q85=3,1,0),IF($X85&lt;30,1,0))</formula>
    </cfRule>
    <cfRule type="expression" dxfId="2910" priority="1326">
      <formula>AND(IF($Q85=3,1,IF($Q85=4,1,0)),IF($F85&lt;=85,1,0))</formula>
    </cfRule>
  </conditionalFormatting>
  <conditionalFormatting sqref="AI85">
    <cfRule type="expression" dxfId="2909" priority="1319">
      <formula>AND(IF(OR($Q85=1,$Q85=2),1,0),IF($X85&lt;=20,1,0))</formula>
    </cfRule>
    <cfRule type="expression" dxfId="2908" priority="1320">
      <formula>AND(IF($Q85=2,1,0),IF($X85&lt;30,1,0))</formula>
    </cfRule>
    <cfRule type="expression" dxfId="2907" priority="1321">
      <formula>AND(IF($Q85=3,1,0),IF($X85&lt;30,1,0))</formula>
    </cfRule>
    <cfRule type="expression" dxfId="2906" priority="1322">
      <formula>AND(IF($Q85=3,1,IF($Q85=4,1,0)),IF($F85&lt;=85,1,0))</formula>
    </cfRule>
  </conditionalFormatting>
  <conditionalFormatting sqref="AV86">
    <cfRule type="expression" dxfId="2905" priority="1317">
      <formula>AV86="X"</formula>
    </cfRule>
    <cfRule type="expression" dxfId="2904" priority="1318">
      <formula>AV86="후보"</formula>
    </cfRule>
  </conditionalFormatting>
  <conditionalFormatting sqref="Z86">
    <cfRule type="colorScale" priority="13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903" priority="1314" operator="greaterThan">
      <formula>0.9</formula>
    </cfRule>
    <cfRule type="cellIs" dxfId="2902" priority="1315" operator="greaterThan">
      <formula>0.85</formula>
    </cfRule>
  </conditionalFormatting>
  <conditionalFormatting sqref="N86">
    <cfRule type="cellIs" dxfId="2901" priority="1312" operator="greaterThan">
      <formula>0.9</formula>
    </cfRule>
    <cfRule type="cellIs" dxfId="2900" priority="1313" operator="greaterThan">
      <formula>0.85</formula>
    </cfRule>
  </conditionalFormatting>
  <conditionalFormatting sqref="E86">
    <cfRule type="expression" dxfId="2899" priority="1308">
      <formula>AND(IF(OR($Q86=1,$Q86=2),1,0),IF($X86&lt;=20,1,0))</formula>
    </cfRule>
    <cfRule type="expression" dxfId="2898" priority="1309">
      <formula>AND(IF($Q86=2,1,0),IF($X86&lt;30,1,0))</formula>
    </cfRule>
    <cfRule type="expression" dxfId="2897" priority="1310">
      <formula>AND(IF($Q86=3,1,0),IF($X86&lt;30,1,0))</formula>
    </cfRule>
    <cfRule type="expression" dxfId="2896" priority="1311">
      <formula>AND(IF($Q86=3,1,IF($Q86=4,1,0)),IF($F86&lt;=85,1,0))</formula>
    </cfRule>
  </conditionalFormatting>
  <conditionalFormatting sqref="X86">
    <cfRule type="expression" dxfId="2895" priority="1304">
      <formula>AND(IF(OR($Q86=1,$Q86=2),1,0),IF($X86&lt;=20,1,0))</formula>
    </cfRule>
    <cfRule type="expression" dxfId="2894" priority="1305">
      <formula>AND(IF($Q86=2,1,0),IF($X86&lt;30,1,0))</formula>
    </cfRule>
    <cfRule type="expression" dxfId="2893" priority="1306">
      <formula>AND(IF($Q86=3,1,0),IF($X86&lt;30,1,0))</formula>
    </cfRule>
    <cfRule type="expression" dxfId="2892" priority="1307">
      <formula>AND(IF($Q86=3,1,IF($Q86=4,1,0)),IF($F86&lt;=85,1,0))</formula>
    </cfRule>
  </conditionalFormatting>
  <conditionalFormatting sqref="AI86">
    <cfRule type="expression" dxfId="2891" priority="1300">
      <formula>AND(IF(OR($Q86=1,$Q86=2),1,0),IF($X86&lt;=20,1,0))</formula>
    </cfRule>
    <cfRule type="expression" dxfId="2890" priority="1301">
      <formula>AND(IF($Q86=2,1,0),IF($X86&lt;30,1,0))</formula>
    </cfRule>
    <cfRule type="expression" dxfId="2889" priority="1302">
      <formula>AND(IF($Q86=3,1,0),IF($X86&lt;30,1,0))</formula>
    </cfRule>
    <cfRule type="expression" dxfId="2888" priority="1303">
      <formula>AND(IF($Q86=3,1,IF($Q86=4,1,0)),IF($F86&lt;=85,1,0))</formula>
    </cfRule>
  </conditionalFormatting>
  <conditionalFormatting sqref="AV87">
    <cfRule type="expression" dxfId="2887" priority="1298">
      <formula>AV87="X"</formula>
    </cfRule>
    <cfRule type="expression" dxfId="2886" priority="1299">
      <formula>AV87="후보"</formula>
    </cfRule>
  </conditionalFormatting>
  <conditionalFormatting sqref="Z87">
    <cfRule type="colorScale" priority="12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2885" priority="1295" operator="greaterThan">
      <formula>0.9</formula>
    </cfRule>
    <cfRule type="cellIs" dxfId="2884" priority="1296" operator="greaterThan">
      <formula>0.85</formula>
    </cfRule>
  </conditionalFormatting>
  <conditionalFormatting sqref="AV88">
    <cfRule type="expression" dxfId="2883" priority="1293">
      <formula>AV88="X"</formula>
    </cfRule>
    <cfRule type="expression" dxfId="2882" priority="1294">
      <formula>AV88="후보"</formula>
    </cfRule>
  </conditionalFormatting>
  <conditionalFormatting sqref="Z88">
    <cfRule type="colorScale" priority="12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881" priority="1290" operator="greaterThan">
      <formula>0.9</formula>
    </cfRule>
    <cfRule type="cellIs" dxfId="2880" priority="1291" operator="greaterThan">
      <formula>0.85</formula>
    </cfRule>
  </conditionalFormatting>
  <conditionalFormatting sqref="N88">
    <cfRule type="cellIs" dxfId="2879" priority="1288" operator="greaterThan">
      <formula>0.9</formula>
    </cfRule>
    <cfRule type="cellIs" dxfId="2878" priority="1289" operator="greaterThan">
      <formula>0.85</formula>
    </cfRule>
  </conditionalFormatting>
  <conditionalFormatting sqref="E88">
    <cfRule type="expression" dxfId="2877" priority="1284">
      <formula>AND(IF(OR($Q88=1,$Q88=2),1,0),IF($X88&lt;=20,1,0))</formula>
    </cfRule>
    <cfRule type="expression" dxfId="2876" priority="1285">
      <formula>AND(IF($Q88=2,1,0),IF($X88&lt;30,1,0))</formula>
    </cfRule>
    <cfRule type="expression" dxfId="2875" priority="1286">
      <formula>AND(IF($Q88=3,1,0),IF($X88&lt;30,1,0))</formula>
    </cfRule>
    <cfRule type="expression" dxfId="2874" priority="1287">
      <formula>AND(IF($Q88=3,1,IF($Q88=4,1,0)),IF($F88&lt;=85,1,0))</formula>
    </cfRule>
  </conditionalFormatting>
  <conditionalFormatting sqref="X88">
    <cfRule type="expression" dxfId="2873" priority="1280">
      <formula>AND(IF(OR($Q88=1,$Q88=2),1,0),IF($X88&lt;=20,1,0))</formula>
    </cfRule>
    <cfRule type="expression" dxfId="2872" priority="1281">
      <formula>AND(IF($Q88=2,1,0),IF($X88&lt;30,1,0))</formula>
    </cfRule>
    <cfRule type="expression" dxfId="2871" priority="1282">
      <formula>AND(IF($Q88=3,1,0),IF($X88&lt;30,1,0))</formula>
    </cfRule>
    <cfRule type="expression" dxfId="2870" priority="1283">
      <formula>AND(IF($Q88=3,1,IF($Q88=4,1,0)),IF($F88&lt;=85,1,0))</formula>
    </cfRule>
  </conditionalFormatting>
  <conditionalFormatting sqref="AI88">
    <cfRule type="expression" dxfId="2869" priority="1276">
      <formula>AND(IF(OR($Q88=1,$Q88=2),1,0),IF($X88&lt;=20,1,0))</formula>
    </cfRule>
    <cfRule type="expression" dxfId="2868" priority="1277">
      <formula>AND(IF($Q88=2,1,0),IF($X88&lt;30,1,0))</formula>
    </cfRule>
    <cfRule type="expression" dxfId="2867" priority="1278">
      <formula>AND(IF($Q88=3,1,0),IF($X88&lt;30,1,0))</formula>
    </cfRule>
    <cfRule type="expression" dxfId="2866" priority="1279">
      <formula>AND(IF($Q88=3,1,IF($Q88=4,1,0)),IF($F88&lt;=85,1,0))</formula>
    </cfRule>
  </conditionalFormatting>
  <conditionalFormatting sqref="AV89">
    <cfRule type="expression" dxfId="2865" priority="1274">
      <formula>AV89="X"</formula>
    </cfRule>
    <cfRule type="expression" dxfId="2864" priority="1275">
      <formula>AV89="후보"</formula>
    </cfRule>
  </conditionalFormatting>
  <conditionalFormatting sqref="Z89">
    <cfRule type="colorScale" priority="12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863" priority="1271" operator="greaterThan">
      <formula>0.9</formula>
    </cfRule>
    <cfRule type="cellIs" dxfId="2862" priority="1272" operator="greaterThan">
      <formula>0.85</formula>
    </cfRule>
  </conditionalFormatting>
  <conditionalFormatting sqref="N89">
    <cfRule type="cellIs" dxfId="2861" priority="1269" operator="greaterThan">
      <formula>0.9</formula>
    </cfRule>
    <cfRule type="cellIs" dxfId="2860" priority="1270" operator="greaterThan">
      <formula>0.85</formula>
    </cfRule>
  </conditionalFormatting>
  <conditionalFormatting sqref="E89">
    <cfRule type="expression" dxfId="2859" priority="1265">
      <formula>AND(IF(OR($Q89=1,$Q89=2),1,0),IF($X89&lt;=20,1,0))</formula>
    </cfRule>
    <cfRule type="expression" dxfId="2858" priority="1266">
      <formula>AND(IF($Q89=2,1,0),IF($X89&lt;30,1,0))</formula>
    </cfRule>
    <cfRule type="expression" dxfId="2857" priority="1267">
      <formula>AND(IF($Q89=3,1,0),IF($X89&lt;30,1,0))</formula>
    </cfRule>
    <cfRule type="expression" dxfId="2856" priority="1268">
      <formula>AND(IF($Q89=3,1,IF($Q89=4,1,0)),IF($F89&lt;=85,1,0))</formula>
    </cfRule>
  </conditionalFormatting>
  <conditionalFormatting sqref="X89">
    <cfRule type="expression" dxfId="2855" priority="1261">
      <formula>AND(IF(OR($Q89=1,$Q89=2),1,0),IF($X89&lt;=20,1,0))</formula>
    </cfRule>
    <cfRule type="expression" dxfId="2854" priority="1262">
      <formula>AND(IF($Q89=2,1,0),IF($X89&lt;30,1,0))</formula>
    </cfRule>
    <cfRule type="expression" dxfId="2853" priority="1263">
      <formula>AND(IF($Q89=3,1,0),IF($X89&lt;30,1,0))</formula>
    </cfRule>
    <cfRule type="expression" dxfId="2852" priority="1264">
      <formula>AND(IF($Q89=3,1,IF($Q89=4,1,0)),IF($F89&lt;=85,1,0))</formula>
    </cfRule>
  </conditionalFormatting>
  <conditionalFormatting sqref="AI89">
    <cfRule type="expression" dxfId="2851" priority="1257">
      <formula>AND(IF(OR($Q89=1,$Q89=2),1,0),IF($X89&lt;=20,1,0))</formula>
    </cfRule>
    <cfRule type="expression" dxfId="2850" priority="1258">
      <formula>AND(IF($Q89=2,1,0),IF($X89&lt;30,1,0))</formula>
    </cfRule>
    <cfRule type="expression" dxfId="2849" priority="1259">
      <formula>AND(IF($Q89=3,1,0),IF($X89&lt;30,1,0))</formula>
    </cfRule>
    <cfRule type="expression" dxfId="2848" priority="1260">
      <formula>AND(IF($Q89=3,1,IF($Q89=4,1,0)),IF($F89&lt;=85,1,0))</formula>
    </cfRule>
  </conditionalFormatting>
  <conditionalFormatting sqref="AV90">
    <cfRule type="expression" dxfId="2847" priority="1255">
      <formula>AV90="X"</formula>
    </cfRule>
    <cfRule type="expression" dxfId="2846" priority="1256">
      <formula>AV90="후보"</formula>
    </cfRule>
  </conditionalFormatting>
  <conditionalFormatting sqref="Z90">
    <cfRule type="colorScale" priority="12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845" priority="1252" operator="greaterThan">
      <formula>0.9</formula>
    </cfRule>
    <cfRule type="cellIs" dxfId="2844" priority="1253" operator="greaterThan">
      <formula>0.85</formula>
    </cfRule>
  </conditionalFormatting>
  <conditionalFormatting sqref="N90">
    <cfRule type="cellIs" dxfId="2843" priority="1250" operator="greaterThan">
      <formula>0.9</formula>
    </cfRule>
    <cfRule type="cellIs" dxfId="2842" priority="1251" operator="greaterThan">
      <formula>0.85</formula>
    </cfRule>
  </conditionalFormatting>
  <conditionalFormatting sqref="E90">
    <cfRule type="expression" dxfId="2841" priority="1246">
      <formula>AND(IF(OR($Q90=1,$Q90=2),1,0),IF($X90&lt;=20,1,0))</formula>
    </cfRule>
    <cfRule type="expression" dxfId="2840" priority="1247">
      <formula>AND(IF($Q90=2,1,0),IF($X90&lt;30,1,0))</formula>
    </cfRule>
    <cfRule type="expression" dxfId="2839" priority="1248">
      <formula>AND(IF($Q90=3,1,0),IF($X90&lt;30,1,0))</formula>
    </cfRule>
    <cfRule type="expression" dxfId="2838" priority="1249">
      <formula>AND(IF($Q90=3,1,IF($Q90=4,1,0)),IF($F90&lt;=85,1,0))</formula>
    </cfRule>
  </conditionalFormatting>
  <conditionalFormatting sqref="X90">
    <cfRule type="expression" dxfId="2837" priority="1242">
      <formula>AND(IF(OR($Q90=1,$Q90=2),1,0),IF($X90&lt;=20,1,0))</formula>
    </cfRule>
    <cfRule type="expression" dxfId="2836" priority="1243">
      <formula>AND(IF($Q90=2,1,0),IF($X90&lt;30,1,0))</formula>
    </cfRule>
    <cfRule type="expression" dxfId="2835" priority="1244">
      <formula>AND(IF($Q90=3,1,0),IF($X90&lt;30,1,0))</formula>
    </cfRule>
    <cfRule type="expression" dxfId="2834" priority="1245">
      <formula>AND(IF($Q90=3,1,IF($Q90=4,1,0)),IF($F90&lt;=85,1,0))</formula>
    </cfRule>
  </conditionalFormatting>
  <conditionalFormatting sqref="AI90">
    <cfRule type="expression" dxfId="2833" priority="1238">
      <formula>AND(IF(OR($Q90=1,$Q90=2),1,0),IF($X90&lt;=20,1,0))</formula>
    </cfRule>
    <cfRule type="expression" dxfId="2832" priority="1239">
      <formula>AND(IF($Q90=2,1,0),IF($X90&lt;30,1,0))</formula>
    </cfRule>
    <cfRule type="expression" dxfId="2831" priority="1240">
      <formula>AND(IF($Q90=3,1,0),IF($X90&lt;30,1,0))</formula>
    </cfRule>
    <cfRule type="expression" dxfId="2830" priority="1241">
      <formula>AND(IF($Q90=3,1,IF($Q90=4,1,0)),IF($F90&lt;=85,1,0))</formula>
    </cfRule>
  </conditionalFormatting>
  <conditionalFormatting sqref="AV91">
    <cfRule type="expression" dxfId="2829" priority="1236">
      <formula>AV91="X"</formula>
    </cfRule>
    <cfRule type="expression" dxfId="2828" priority="1237">
      <formula>AV91="후보"</formula>
    </cfRule>
  </conditionalFormatting>
  <conditionalFormatting sqref="Z91">
    <cfRule type="colorScale" priority="12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827" priority="1233" operator="greaterThan">
      <formula>0.9</formula>
    </cfRule>
    <cfRule type="cellIs" dxfId="2826" priority="1234" operator="greaterThan">
      <formula>0.85</formula>
    </cfRule>
  </conditionalFormatting>
  <conditionalFormatting sqref="N91">
    <cfRule type="cellIs" dxfId="2825" priority="1231" operator="greaterThan">
      <formula>0.9</formula>
    </cfRule>
    <cfRule type="cellIs" dxfId="2824" priority="1232" operator="greaterThan">
      <formula>0.85</formula>
    </cfRule>
  </conditionalFormatting>
  <conditionalFormatting sqref="E91">
    <cfRule type="expression" dxfId="2823" priority="1227">
      <formula>AND(IF(OR($Q91=1,$Q91=2),1,0),IF($X91&lt;=20,1,0))</formula>
    </cfRule>
    <cfRule type="expression" dxfId="2822" priority="1228">
      <formula>AND(IF($Q91=2,1,0),IF($X91&lt;30,1,0))</formula>
    </cfRule>
    <cfRule type="expression" dxfId="2821" priority="1229">
      <formula>AND(IF($Q91=3,1,0),IF($X91&lt;30,1,0))</formula>
    </cfRule>
    <cfRule type="expression" dxfId="2820" priority="1230">
      <formula>AND(IF($Q91=3,1,IF($Q91=4,1,0)),IF($F91&lt;=85,1,0))</formula>
    </cfRule>
  </conditionalFormatting>
  <conditionalFormatting sqref="X91">
    <cfRule type="expression" dxfId="2819" priority="1223">
      <formula>AND(IF(OR($Q91=1,$Q91=2),1,0),IF($X91&lt;=20,1,0))</formula>
    </cfRule>
    <cfRule type="expression" dxfId="2818" priority="1224">
      <formula>AND(IF($Q91=2,1,0),IF($X91&lt;30,1,0))</formula>
    </cfRule>
    <cfRule type="expression" dxfId="2817" priority="1225">
      <formula>AND(IF($Q91=3,1,0),IF($X91&lt;30,1,0))</formula>
    </cfRule>
    <cfRule type="expression" dxfId="2816" priority="1226">
      <formula>AND(IF($Q91=3,1,IF($Q91=4,1,0)),IF($F91&lt;=85,1,0))</formula>
    </cfRule>
  </conditionalFormatting>
  <conditionalFormatting sqref="AI91">
    <cfRule type="expression" dxfId="2815" priority="1219">
      <formula>AND(IF(OR($Q91=1,$Q91=2),1,0),IF($X91&lt;=20,1,0))</formula>
    </cfRule>
    <cfRule type="expression" dxfId="2814" priority="1220">
      <formula>AND(IF($Q91=2,1,0),IF($X91&lt;30,1,0))</formula>
    </cfRule>
    <cfRule type="expression" dxfId="2813" priority="1221">
      <formula>AND(IF($Q91=3,1,0),IF($X91&lt;30,1,0))</formula>
    </cfRule>
    <cfRule type="expression" dxfId="2812" priority="1222">
      <formula>AND(IF($Q91=3,1,IF($Q91=4,1,0)),IF($F91&lt;=85,1,0))</formula>
    </cfRule>
  </conditionalFormatting>
  <conditionalFormatting sqref="AV92">
    <cfRule type="expression" dxfId="2811" priority="1217">
      <formula>AV92="X"</formula>
    </cfRule>
    <cfRule type="expression" dxfId="2810" priority="1218">
      <formula>AV92="후보"</formula>
    </cfRule>
  </conditionalFormatting>
  <conditionalFormatting sqref="Z92">
    <cfRule type="colorScale" priority="12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809" priority="1214" operator="greaterThan">
      <formula>0.9</formula>
    </cfRule>
    <cfRule type="cellIs" dxfId="2808" priority="1215" operator="greaterThan">
      <formula>0.85</formula>
    </cfRule>
  </conditionalFormatting>
  <conditionalFormatting sqref="N92">
    <cfRule type="cellIs" dxfId="2807" priority="1212" operator="greaterThan">
      <formula>0.9</formula>
    </cfRule>
    <cfRule type="cellIs" dxfId="2806" priority="1213" operator="greaterThan">
      <formula>0.85</formula>
    </cfRule>
  </conditionalFormatting>
  <conditionalFormatting sqref="E92">
    <cfRule type="expression" dxfId="2805" priority="1208">
      <formula>AND(IF(OR($Q92=1,$Q92=2),1,0),IF($X92&lt;=20,1,0))</formula>
    </cfRule>
    <cfRule type="expression" dxfId="2804" priority="1209">
      <formula>AND(IF($Q92=2,1,0),IF($X92&lt;30,1,0))</formula>
    </cfRule>
    <cfRule type="expression" dxfId="2803" priority="1210">
      <formula>AND(IF($Q92=3,1,0),IF($X92&lt;30,1,0))</formula>
    </cfRule>
    <cfRule type="expression" dxfId="2802" priority="1211">
      <formula>AND(IF($Q92=3,1,IF($Q92=4,1,0)),IF($F92&lt;=85,1,0))</formula>
    </cfRule>
  </conditionalFormatting>
  <conditionalFormatting sqref="X92">
    <cfRule type="expression" dxfId="2801" priority="1204">
      <formula>AND(IF(OR($Q92=1,$Q92=2),1,0),IF($X92&lt;=20,1,0))</formula>
    </cfRule>
    <cfRule type="expression" dxfId="2800" priority="1205">
      <formula>AND(IF($Q92=2,1,0),IF($X92&lt;30,1,0))</formula>
    </cfRule>
    <cfRule type="expression" dxfId="2799" priority="1206">
      <formula>AND(IF($Q92=3,1,0),IF($X92&lt;30,1,0))</formula>
    </cfRule>
    <cfRule type="expression" dxfId="2798" priority="1207">
      <formula>AND(IF($Q92=3,1,IF($Q92=4,1,0)),IF($F92&lt;=85,1,0))</formula>
    </cfRule>
  </conditionalFormatting>
  <conditionalFormatting sqref="AI92">
    <cfRule type="expression" dxfId="2797" priority="1200">
      <formula>AND(IF(OR($Q92=1,$Q92=2),1,0),IF($X92&lt;=20,1,0))</formula>
    </cfRule>
    <cfRule type="expression" dxfId="2796" priority="1201">
      <formula>AND(IF($Q92=2,1,0),IF($X92&lt;30,1,0))</formula>
    </cfRule>
    <cfRule type="expression" dxfId="2795" priority="1202">
      <formula>AND(IF($Q92=3,1,0),IF($X92&lt;30,1,0))</formula>
    </cfRule>
    <cfRule type="expression" dxfId="2794" priority="1203">
      <formula>AND(IF($Q92=3,1,IF($Q92=4,1,0)),IF($F92&lt;=85,1,0))</formula>
    </cfRule>
  </conditionalFormatting>
  <conditionalFormatting sqref="AV93">
    <cfRule type="expression" dxfId="2793" priority="1198">
      <formula>AV93="X"</formula>
    </cfRule>
    <cfRule type="expression" dxfId="2792" priority="1199">
      <formula>AV93="후보"</formula>
    </cfRule>
  </conditionalFormatting>
  <conditionalFormatting sqref="Z93">
    <cfRule type="colorScale" priority="11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791" priority="1195" operator="greaterThan">
      <formula>0.9</formula>
    </cfRule>
    <cfRule type="cellIs" dxfId="2790" priority="1196" operator="greaterThan">
      <formula>0.85</formula>
    </cfRule>
  </conditionalFormatting>
  <conditionalFormatting sqref="N93">
    <cfRule type="cellIs" dxfId="2789" priority="1193" operator="greaterThan">
      <formula>0.9</formula>
    </cfRule>
    <cfRule type="cellIs" dxfId="2788" priority="1194" operator="greaterThan">
      <formula>0.85</formula>
    </cfRule>
  </conditionalFormatting>
  <conditionalFormatting sqref="E93">
    <cfRule type="expression" dxfId="2787" priority="1189">
      <formula>AND(IF(OR($Q93=1,$Q93=2),1,0),IF($X93&lt;=20,1,0))</formula>
    </cfRule>
    <cfRule type="expression" dxfId="2786" priority="1190">
      <formula>AND(IF($Q93=2,1,0),IF($X93&lt;30,1,0))</formula>
    </cfRule>
    <cfRule type="expression" dxfId="2785" priority="1191">
      <formula>AND(IF($Q93=3,1,0),IF($X93&lt;30,1,0))</formula>
    </cfRule>
    <cfRule type="expression" dxfId="2784" priority="1192">
      <formula>AND(IF($Q93=3,1,IF($Q93=4,1,0)),IF($F93&lt;=85,1,0))</formula>
    </cfRule>
  </conditionalFormatting>
  <conditionalFormatting sqref="X93">
    <cfRule type="expression" dxfId="2783" priority="1185">
      <formula>AND(IF(OR($Q93=1,$Q93=2),1,0),IF($X93&lt;=20,1,0))</formula>
    </cfRule>
    <cfRule type="expression" dxfId="2782" priority="1186">
      <formula>AND(IF($Q93=2,1,0),IF($X93&lt;30,1,0))</formula>
    </cfRule>
    <cfRule type="expression" dxfId="2781" priority="1187">
      <formula>AND(IF($Q93=3,1,0),IF($X93&lt;30,1,0))</formula>
    </cfRule>
    <cfRule type="expression" dxfId="2780" priority="1188">
      <formula>AND(IF($Q93=3,1,IF($Q93=4,1,0)),IF($F93&lt;=85,1,0))</formula>
    </cfRule>
  </conditionalFormatting>
  <conditionalFormatting sqref="AI93">
    <cfRule type="expression" dxfId="2779" priority="1181">
      <formula>AND(IF(OR($Q93=1,$Q93=2),1,0),IF($X93&lt;=20,1,0))</formula>
    </cfRule>
    <cfRule type="expression" dxfId="2778" priority="1182">
      <formula>AND(IF($Q93=2,1,0),IF($X93&lt;30,1,0))</formula>
    </cfRule>
    <cfRule type="expression" dxfId="2777" priority="1183">
      <formula>AND(IF($Q93=3,1,0),IF($X93&lt;30,1,0))</formula>
    </cfRule>
    <cfRule type="expression" dxfId="2776" priority="1184">
      <formula>AND(IF($Q93=3,1,IF($Q93=4,1,0)),IF($F93&lt;=85,1,0))</formula>
    </cfRule>
  </conditionalFormatting>
  <conditionalFormatting sqref="AV94">
    <cfRule type="expression" dxfId="2775" priority="1179">
      <formula>AV94="X"</formula>
    </cfRule>
    <cfRule type="expression" dxfId="2774" priority="1180">
      <formula>AV94="후보"</formula>
    </cfRule>
  </conditionalFormatting>
  <conditionalFormatting sqref="Z94">
    <cfRule type="colorScale" priority="1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773" priority="1176" operator="greaterThan">
      <formula>0.9</formula>
    </cfRule>
    <cfRule type="cellIs" dxfId="2772" priority="1177" operator="greaterThan">
      <formula>0.85</formula>
    </cfRule>
  </conditionalFormatting>
  <conditionalFormatting sqref="N94">
    <cfRule type="cellIs" dxfId="2771" priority="1174" operator="greaterThan">
      <formula>0.9</formula>
    </cfRule>
    <cfRule type="cellIs" dxfId="2770" priority="1175" operator="greaterThan">
      <formula>0.85</formula>
    </cfRule>
  </conditionalFormatting>
  <conditionalFormatting sqref="E94">
    <cfRule type="expression" dxfId="2769" priority="1170">
      <formula>AND(IF(OR($Q94=1,$Q94=2),1,0),IF($X94&lt;=20,1,0))</formula>
    </cfRule>
    <cfRule type="expression" dxfId="2768" priority="1171">
      <formula>AND(IF($Q94=2,1,0),IF($X94&lt;30,1,0))</formula>
    </cfRule>
    <cfRule type="expression" dxfId="2767" priority="1172">
      <formula>AND(IF($Q94=3,1,0),IF($X94&lt;30,1,0))</formula>
    </cfRule>
    <cfRule type="expression" dxfId="2766" priority="1173">
      <formula>AND(IF($Q94=3,1,IF($Q94=4,1,0)),IF($F94&lt;=85,1,0))</formula>
    </cfRule>
  </conditionalFormatting>
  <conditionalFormatting sqref="X94">
    <cfRule type="expression" dxfId="2765" priority="1166">
      <formula>AND(IF(OR($Q94=1,$Q94=2),1,0),IF($X94&lt;=20,1,0))</formula>
    </cfRule>
    <cfRule type="expression" dxfId="2764" priority="1167">
      <formula>AND(IF($Q94=2,1,0),IF($X94&lt;30,1,0))</formula>
    </cfRule>
    <cfRule type="expression" dxfId="2763" priority="1168">
      <formula>AND(IF($Q94=3,1,0),IF($X94&lt;30,1,0))</formula>
    </cfRule>
    <cfRule type="expression" dxfId="2762" priority="1169">
      <formula>AND(IF($Q94=3,1,IF($Q94=4,1,0)),IF($F94&lt;=85,1,0))</formula>
    </cfRule>
  </conditionalFormatting>
  <conditionalFormatting sqref="AI94">
    <cfRule type="expression" dxfId="2761" priority="1162">
      <formula>AND(IF(OR($Q94=1,$Q94=2),1,0),IF($X94&lt;=20,1,0))</formula>
    </cfRule>
    <cfRule type="expression" dxfId="2760" priority="1163">
      <formula>AND(IF($Q94=2,1,0),IF($X94&lt;30,1,0))</formula>
    </cfRule>
    <cfRule type="expression" dxfId="2759" priority="1164">
      <formula>AND(IF($Q94=3,1,0),IF($X94&lt;30,1,0))</formula>
    </cfRule>
    <cfRule type="expression" dxfId="2758" priority="1165">
      <formula>AND(IF($Q94=3,1,IF($Q94=4,1,0)),IF($F94&lt;=85,1,0))</formula>
    </cfRule>
  </conditionalFormatting>
  <conditionalFormatting sqref="AV95">
    <cfRule type="expression" dxfId="2757" priority="1160">
      <formula>AV95="X"</formula>
    </cfRule>
    <cfRule type="expression" dxfId="2756" priority="1161">
      <formula>AV95="후보"</formula>
    </cfRule>
  </conditionalFormatting>
  <conditionalFormatting sqref="Z95">
    <cfRule type="colorScale" priority="1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755" priority="1157" operator="greaterThan">
      <formula>0.9</formula>
    </cfRule>
    <cfRule type="cellIs" dxfId="2754" priority="1158" operator="greaterThan">
      <formula>0.85</formula>
    </cfRule>
  </conditionalFormatting>
  <conditionalFormatting sqref="N95">
    <cfRule type="cellIs" dxfId="2753" priority="1155" operator="greaterThan">
      <formula>0.9</formula>
    </cfRule>
    <cfRule type="cellIs" dxfId="2752" priority="1156" operator="greaterThan">
      <formula>0.85</formula>
    </cfRule>
  </conditionalFormatting>
  <conditionalFormatting sqref="E95">
    <cfRule type="expression" dxfId="2751" priority="1151">
      <formula>AND(IF(OR($Q95=1,$Q95=2),1,0),IF($X95&lt;=20,1,0))</formula>
    </cfRule>
    <cfRule type="expression" dxfId="2750" priority="1152">
      <formula>AND(IF($Q95=2,1,0),IF($X95&lt;30,1,0))</formula>
    </cfRule>
    <cfRule type="expression" dxfId="2749" priority="1153">
      <formula>AND(IF($Q95=3,1,0),IF($X95&lt;30,1,0))</formula>
    </cfRule>
    <cfRule type="expression" dxfId="2748" priority="1154">
      <formula>AND(IF($Q95=3,1,IF($Q95=4,1,0)),IF($F95&lt;=85,1,0))</formula>
    </cfRule>
  </conditionalFormatting>
  <conditionalFormatting sqref="X95">
    <cfRule type="expression" dxfId="2747" priority="1147">
      <formula>AND(IF(OR($Q95=1,$Q95=2),1,0),IF($X95&lt;=20,1,0))</formula>
    </cfRule>
    <cfRule type="expression" dxfId="2746" priority="1148">
      <formula>AND(IF($Q95=2,1,0),IF($X95&lt;30,1,0))</formula>
    </cfRule>
    <cfRule type="expression" dxfId="2745" priority="1149">
      <formula>AND(IF($Q95=3,1,0),IF($X95&lt;30,1,0))</formula>
    </cfRule>
    <cfRule type="expression" dxfId="2744" priority="1150">
      <formula>AND(IF($Q95=3,1,IF($Q95=4,1,0)),IF($F95&lt;=85,1,0))</formula>
    </cfRule>
  </conditionalFormatting>
  <conditionalFormatting sqref="AI95">
    <cfRule type="expression" dxfId="2743" priority="1143">
      <formula>AND(IF(OR($Q95=1,$Q95=2),1,0),IF($X95&lt;=20,1,0))</formula>
    </cfRule>
    <cfRule type="expression" dxfId="2742" priority="1144">
      <formula>AND(IF($Q95=2,1,0),IF($X95&lt;30,1,0))</formula>
    </cfRule>
    <cfRule type="expression" dxfId="2741" priority="1145">
      <formula>AND(IF($Q95=3,1,0),IF($X95&lt;30,1,0))</formula>
    </cfRule>
    <cfRule type="expression" dxfId="2740" priority="1146">
      <formula>AND(IF($Q95=3,1,IF($Q95=4,1,0)),IF($F95&lt;=85,1,0))</formula>
    </cfRule>
  </conditionalFormatting>
  <conditionalFormatting sqref="AV96">
    <cfRule type="expression" dxfId="2739" priority="1141">
      <formula>AV96="X"</formula>
    </cfRule>
    <cfRule type="expression" dxfId="2738" priority="1142">
      <formula>AV96="후보"</formula>
    </cfRule>
  </conditionalFormatting>
  <conditionalFormatting sqref="Z96">
    <cfRule type="colorScale" priority="1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737" priority="1138" operator="greaterThan">
      <formula>0.9</formula>
    </cfRule>
    <cfRule type="cellIs" dxfId="2736" priority="1139" operator="greaterThan">
      <formula>0.85</formula>
    </cfRule>
  </conditionalFormatting>
  <conditionalFormatting sqref="N96">
    <cfRule type="cellIs" dxfId="2735" priority="1136" operator="greaterThan">
      <formula>0.9</formula>
    </cfRule>
    <cfRule type="cellIs" dxfId="2734" priority="1137" operator="greaterThan">
      <formula>0.85</formula>
    </cfRule>
  </conditionalFormatting>
  <conditionalFormatting sqref="E96">
    <cfRule type="expression" dxfId="2733" priority="1132">
      <formula>AND(IF(OR($Q96=1,$Q96=2),1,0),IF($X96&lt;=20,1,0))</formula>
    </cfRule>
    <cfRule type="expression" dxfId="2732" priority="1133">
      <formula>AND(IF($Q96=2,1,0),IF($X96&lt;30,1,0))</formula>
    </cfRule>
    <cfRule type="expression" dxfId="2731" priority="1134">
      <formula>AND(IF($Q96=3,1,0),IF($X96&lt;30,1,0))</formula>
    </cfRule>
    <cfRule type="expression" dxfId="2730" priority="1135">
      <formula>AND(IF($Q96=3,1,IF($Q96=4,1,0)),IF($F96&lt;=85,1,0))</formula>
    </cfRule>
  </conditionalFormatting>
  <conditionalFormatting sqref="X96">
    <cfRule type="expression" dxfId="2729" priority="1128">
      <formula>AND(IF(OR($Q96=1,$Q96=2),1,0),IF($X96&lt;=20,1,0))</formula>
    </cfRule>
    <cfRule type="expression" dxfId="2728" priority="1129">
      <formula>AND(IF($Q96=2,1,0),IF($X96&lt;30,1,0))</formula>
    </cfRule>
    <cfRule type="expression" dxfId="2727" priority="1130">
      <formula>AND(IF($Q96=3,1,0),IF($X96&lt;30,1,0))</formula>
    </cfRule>
    <cfRule type="expression" dxfId="2726" priority="1131">
      <formula>AND(IF($Q96=3,1,IF($Q96=4,1,0)),IF($F96&lt;=85,1,0))</formula>
    </cfRule>
  </conditionalFormatting>
  <conditionalFormatting sqref="AI96">
    <cfRule type="expression" dxfId="2725" priority="1124">
      <formula>AND(IF(OR($Q96=1,$Q96=2),1,0),IF($X96&lt;=20,1,0))</formula>
    </cfRule>
    <cfRule type="expression" dxfId="2724" priority="1125">
      <formula>AND(IF($Q96=2,1,0),IF($X96&lt;30,1,0))</formula>
    </cfRule>
    <cfRule type="expression" dxfId="2723" priority="1126">
      <formula>AND(IF($Q96=3,1,0),IF($X96&lt;30,1,0))</formula>
    </cfRule>
    <cfRule type="expression" dxfId="2722" priority="1127">
      <formula>AND(IF($Q96=3,1,IF($Q96=4,1,0)),IF($F96&lt;=85,1,0))</formula>
    </cfRule>
  </conditionalFormatting>
  <conditionalFormatting sqref="AV97">
    <cfRule type="expression" dxfId="2721" priority="1122">
      <formula>AV97="X"</formula>
    </cfRule>
    <cfRule type="expression" dxfId="2720" priority="1123">
      <formula>AV97="후보"</formula>
    </cfRule>
  </conditionalFormatting>
  <conditionalFormatting sqref="Z97">
    <cfRule type="colorScale" priority="11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719" priority="1119" operator="greaterThan">
      <formula>0.9</formula>
    </cfRule>
    <cfRule type="cellIs" dxfId="2718" priority="1120" operator="greaterThan">
      <formula>0.85</formula>
    </cfRule>
  </conditionalFormatting>
  <conditionalFormatting sqref="N97">
    <cfRule type="cellIs" dxfId="2717" priority="1117" operator="greaterThan">
      <formula>0.9</formula>
    </cfRule>
    <cfRule type="cellIs" dxfId="2716" priority="1118" operator="greaterThan">
      <formula>0.85</formula>
    </cfRule>
  </conditionalFormatting>
  <conditionalFormatting sqref="E97">
    <cfRule type="expression" dxfId="2715" priority="1113">
      <formula>AND(IF(OR($Q97=1,$Q97=2),1,0),IF($X97&lt;=20,1,0))</formula>
    </cfRule>
    <cfRule type="expression" dxfId="2714" priority="1114">
      <formula>AND(IF($Q97=2,1,0),IF($X97&lt;30,1,0))</formula>
    </cfRule>
    <cfRule type="expression" dxfId="2713" priority="1115">
      <formula>AND(IF($Q97=3,1,0),IF($X97&lt;30,1,0))</formula>
    </cfRule>
    <cfRule type="expression" dxfId="2712" priority="1116">
      <formula>AND(IF($Q97=3,1,IF($Q97=4,1,0)),IF($F97&lt;=85,1,0))</formula>
    </cfRule>
  </conditionalFormatting>
  <conditionalFormatting sqref="X97">
    <cfRule type="expression" dxfId="2711" priority="1109">
      <formula>AND(IF(OR($Q97=1,$Q97=2),1,0),IF($X97&lt;=20,1,0))</formula>
    </cfRule>
    <cfRule type="expression" dxfId="2710" priority="1110">
      <formula>AND(IF($Q97=2,1,0),IF($X97&lt;30,1,0))</formula>
    </cfRule>
    <cfRule type="expression" dxfId="2709" priority="1111">
      <formula>AND(IF($Q97=3,1,0),IF($X97&lt;30,1,0))</formula>
    </cfRule>
    <cfRule type="expression" dxfId="2708" priority="1112">
      <formula>AND(IF($Q97=3,1,IF($Q97=4,1,0)),IF($F97&lt;=85,1,0))</formula>
    </cfRule>
  </conditionalFormatting>
  <conditionalFormatting sqref="AI97">
    <cfRule type="expression" dxfId="2707" priority="1105">
      <formula>AND(IF(OR($Q97=1,$Q97=2),1,0),IF($X97&lt;=20,1,0))</formula>
    </cfRule>
    <cfRule type="expression" dxfId="2706" priority="1106">
      <formula>AND(IF($Q97=2,1,0),IF($X97&lt;30,1,0))</formula>
    </cfRule>
    <cfRule type="expression" dxfId="2705" priority="1107">
      <formula>AND(IF($Q97=3,1,0),IF($X97&lt;30,1,0))</formula>
    </cfRule>
    <cfRule type="expression" dxfId="2704" priority="1108">
      <formula>AND(IF($Q97=3,1,IF($Q97=4,1,0)),IF($F97&lt;=85,1,0))</formula>
    </cfRule>
  </conditionalFormatting>
  <conditionalFormatting sqref="AV98">
    <cfRule type="expression" dxfId="2703" priority="1103">
      <formula>AV98="X"</formula>
    </cfRule>
    <cfRule type="expression" dxfId="2702" priority="1104">
      <formula>AV98="후보"</formula>
    </cfRule>
  </conditionalFormatting>
  <conditionalFormatting sqref="Z98">
    <cfRule type="colorScale" priority="1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701" priority="1100" operator="greaterThan">
      <formula>0.9</formula>
    </cfRule>
    <cfRule type="cellIs" dxfId="2700" priority="1101" operator="greaterThan">
      <formula>0.85</formula>
    </cfRule>
  </conditionalFormatting>
  <conditionalFormatting sqref="N98">
    <cfRule type="cellIs" dxfId="2699" priority="1098" operator="greaterThan">
      <formula>0.9</formula>
    </cfRule>
    <cfRule type="cellIs" dxfId="2698" priority="1099" operator="greaterThan">
      <formula>0.85</formula>
    </cfRule>
  </conditionalFormatting>
  <conditionalFormatting sqref="E98">
    <cfRule type="expression" dxfId="2697" priority="1094">
      <formula>AND(IF(OR($Q98=1,$Q98=2),1,0),IF($X98&lt;=20,1,0))</formula>
    </cfRule>
    <cfRule type="expression" dxfId="2696" priority="1095">
      <formula>AND(IF($Q98=2,1,0),IF($X98&lt;30,1,0))</formula>
    </cfRule>
    <cfRule type="expression" dxfId="2695" priority="1096">
      <formula>AND(IF($Q98=3,1,0),IF($X98&lt;30,1,0))</formula>
    </cfRule>
    <cfRule type="expression" dxfId="2694" priority="1097">
      <formula>AND(IF($Q98=3,1,IF($Q98=4,1,0)),IF($F98&lt;=85,1,0))</formula>
    </cfRule>
  </conditionalFormatting>
  <conditionalFormatting sqref="X98">
    <cfRule type="expression" dxfId="2693" priority="1090">
      <formula>AND(IF(OR($Q98=1,$Q98=2),1,0),IF($X98&lt;=20,1,0))</formula>
    </cfRule>
    <cfRule type="expression" dxfId="2692" priority="1091">
      <formula>AND(IF($Q98=2,1,0),IF($X98&lt;30,1,0))</formula>
    </cfRule>
    <cfRule type="expression" dxfId="2691" priority="1092">
      <formula>AND(IF($Q98=3,1,0),IF($X98&lt;30,1,0))</formula>
    </cfRule>
    <cfRule type="expression" dxfId="2690" priority="1093">
      <formula>AND(IF($Q98=3,1,IF($Q98=4,1,0)),IF($F98&lt;=85,1,0))</formula>
    </cfRule>
  </conditionalFormatting>
  <conditionalFormatting sqref="AI98">
    <cfRule type="expression" dxfId="2689" priority="1086">
      <formula>AND(IF(OR($Q98=1,$Q98=2),1,0),IF($X98&lt;=20,1,0))</formula>
    </cfRule>
    <cfRule type="expression" dxfId="2688" priority="1087">
      <formula>AND(IF($Q98=2,1,0),IF($X98&lt;30,1,0))</formula>
    </cfRule>
    <cfRule type="expression" dxfId="2687" priority="1088">
      <formula>AND(IF($Q98=3,1,0),IF($X98&lt;30,1,0))</formula>
    </cfRule>
    <cfRule type="expression" dxfId="2686" priority="1089">
      <formula>AND(IF($Q98=3,1,IF($Q98=4,1,0)),IF($F98&lt;=85,1,0))</formula>
    </cfRule>
  </conditionalFormatting>
  <conditionalFormatting sqref="AV99">
    <cfRule type="expression" dxfId="2685" priority="1084">
      <formula>AV99="X"</formula>
    </cfRule>
    <cfRule type="expression" dxfId="2684" priority="1085">
      <formula>AV99="후보"</formula>
    </cfRule>
  </conditionalFormatting>
  <conditionalFormatting sqref="Z99">
    <cfRule type="colorScale" priority="1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 N99">
    <cfRule type="cellIs" dxfId="2683" priority="1081" operator="greaterThan">
      <formula>0.9</formula>
    </cfRule>
    <cfRule type="cellIs" dxfId="2682" priority="1082" operator="greaterThan">
      <formula>0.85</formula>
    </cfRule>
  </conditionalFormatting>
  <conditionalFormatting sqref="AV100">
    <cfRule type="expression" dxfId="2681" priority="1079">
      <formula>AV100="X"</formula>
    </cfRule>
    <cfRule type="expression" dxfId="2680" priority="1080">
      <formula>AV100="후보"</formula>
    </cfRule>
  </conditionalFormatting>
  <conditionalFormatting sqref="Z100">
    <cfRule type="colorScale" priority="1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679" priority="1076" operator="greaterThan">
      <formula>0.9</formula>
    </cfRule>
    <cfRule type="cellIs" dxfId="2678" priority="1077" operator="greaterThan">
      <formula>0.85</formula>
    </cfRule>
  </conditionalFormatting>
  <conditionalFormatting sqref="N100">
    <cfRule type="cellIs" dxfId="2677" priority="1074" operator="greaterThan">
      <formula>0.9</formula>
    </cfRule>
    <cfRule type="cellIs" dxfId="2676" priority="1075" operator="greaterThan">
      <formula>0.85</formula>
    </cfRule>
  </conditionalFormatting>
  <conditionalFormatting sqref="E100">
    <cfRule type="expression" dxfId="2675" priority="1070">
      <formula>AND(IF(OR($Q100=1,$Q100=2),1,0),IF($X100&lt;=20,1,0))</formula>
    </cfRule>
    <cfRule type="expression" dxfId="2674" priority="1071">
      <formula>AND(IF($Q100=2,1,0),IF($X100&lt;30,1,0))</formula>
    </cfRule>
    <cfRule type="expression" dxfId="2673" priority="1072">
      <formula>AND(IF($Q100=3,1,0),IF($X100&lt;30,1,0))</formula>
    </cfRule>
    <cfRule type="expression" dxfId="2672" priority="1073">
      <formula>AND(IF($Q100=3,1,IF($Q100=4,1,0)),IF($F100&lt;=85,1,0))</formula>
    </cfRule>
  </conditionalFormatting>
  <conditionalFormatting sqref="X100">
    <cfRule type="expression" dxfId="2671" priority="1066">
      <formula>AND(IF(OR($Q100=1,$Q100=2),1,0),IF($X100&lt;=20,1,0))</formula>
    </cfRule>
    <cfRule type="expression" dxfId="2670" priority="1067">
      <formula>AND(IF($Q100=2,1,0),IF($X100&lt;30,1,0))</formula>
    </cfRule>
    <cfRule type="expression" dxfId="2669" priority="1068">
      <formula>AND(IF($Q100=3,1,0),IF($X100&lt;30,1,0))</formula>
    </cfRule>
    <cfRule type="expression" dxfId="2668" priority="1069">
      <formula>AND(IF($Q100=3,1,IF($Q100=4,1,0)),IF($F100&lt;=85,1,0))</formula>
    </cfRule>
  </conditionalFormatting>
  <conditionalFormatting sqref="AI100">
    <cfRule type="expression" dxfId="2667" priority="1062">
      <formula>AND(IF(OR($Q100=1,$Q100=2),1,0),IF($X100&lt;=20,1,0))</formula>
    </cfRule>
    <cfRule type="expression" dxfId="2666" priority="1063">
      <formula>AND(IF($Q100=2,1,0),IF($X100&lt;30,1,0))</formula>
    </cfRule>
    <cfRule type="expression" dxfId="2665" priority="1064">
      <formula>AND(IF($Q100=3,1,0),IF($X100&lt;30,1,0))</formula>
    </cfRule>
    <cfRule type="expression" dxfId="2664" priority="1065">
      <formula>AND(IF($Q100=3,1,IF($Q100=4,1,0)),IF($F100&lt;=85,1,0))</formula>
    </cfRule>
  </conditionalFormatting>
  <conditionalFormatting sqref="AV101">
    <cfRule type="expression" dxfId="2663" priority="1060">
      <formula>AV101="X"</formula>
    </cfRule>
    <cfRule type="expression" dxfId="2662" priority="1061">
      <formula>AV101="후보"</formula>
    </cfRule>
  </conditionalFormatting>
  <conditionalFormatting sqref="Z101">
    <cfRule type="colorScale" priority="1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661" priority="1057" operator="greaterThan">
      <formula>0.9</formula>
    </cfRule>
    <cfRule type="cellIs" dxfId="2660" priority="1058" operator="greaterThan">
      <formula>0.85</formula>
    </cfRule>
  </conditionalFormatting>
  <conditionalFormatting sqref="N101">
    <cfRule type="cellIs" dxfId="2659" priority="1055" operator="greaterThan">
      <formula>0.9</formula>
    </cfRule>
    <cfRule type="cellIs" dxfId="2658" priority="1056" operator="greaterThan">
      <formula>0.85</formula>
    </cfRule>
  </conditionalFormatting>
  <conditionalFormatting sqref="E101">
    <cfRule type="expression" dxfId="2657" priority="1051">
      <formula>AND(IF(OR($Q101=1,$Q101=2),1,0),IF($X101&lt;=20,1,0))</formula>
    </cfRule>
    <cfRule type="expression" dxfId="2656" priority="1052">
      <formula>AND(IF($Q101=2,1,0),IF($X101&lt;30,1,0))</formula>
    </cfRule>
    <cfRule type="expression" dxfId="2655" priority="1053">
      <formula>AND(IF($Q101=3,1,0),IF($X101&lt;30,1,0))</formula>
    </cfRule>
    <cfRule type="expression" dxfId="2654" priority="1054">
      <formula>AND(IF($Q101=3,1,IF($Q101=4,1,0)),IF($F101&lt;=85,1,0))</formula>
    </cfRule>
  </conditionalFormatting>
  <conditionalFormatting sqref="X101">
    <cfRule type="expression" dxfId="2653" priority="1047">
      <formula>AND(IF(OR($Q101=1,$Q101=2),1,0),IF($X101&lt;=20,1,0))</formula>
    </cfRule>
    <cfRule type="expression" dxfId="2652" priority="1048">
      <formula>AND(IF($Q101=2,1,0),IF($X101&lt;30,1,0))</formula>
    </cfRule>
    <cfRule type="expression" dxfId="2651" priority="1049">
      <formula>AND(IF($Q101=3,1,0),IF($X101&lt;30,1,0))</formula>
    </cfRule>
    <cfRule type="expression" dxfId="2650" priority="1050">
      <formula>AND(IF($Q101=3,1,IF($Q101=4,1,0)),IF($F101&lt;=85,1,0))</formula>
    </cfRule>
  </conditionalFormatting>
  <conditionalFormatting sqref="AI101">
    <cfRule type="expression" dxfId="2649" priority="1043">
      <formula>AND(IF(OR($Q101=1,$Q101=2),1,0),IF($X101&lt;=20,1,0))</formula>
    </cfRule>
    <cfRule type="expression" dxfId="2648" priority="1044">
      <formula>AND(IF($Q101=2,1,0),IF($X101&lt;30,1,0))</formula>
    </cfRule>
    <cfRule type="expression" dxfId="2647" priority="1045">
      <formula>AND(IF($Q101=3,1,0),IF($X101&lt;30,1,0))</formula>
    </cfRule>
    <cfRule type="expression" dxfId="2646" priority="1046">
      <formula>AND(IF($Q101=3,1,IF($Q101=4,1,0)),IF($F101&lt;=85,1,0))</formula>
    </cfRule>
  </conditionalFormatting>
  <conditionalFormatting sqref="AV102">
    <cfRule type="expression" dxfId="2645" priority="1041">
      <formula>AV102="X"</formula>
    </cfRule>
    <cfRule type="expression" dxfId="2644" priority="1042">
      <formula>AV102="후보"</formula>
    </cfRule>
  </conditionalFormatting>
  <conditionalFormatting sqref="Z102">
    <cfRule type="colorScale" priority="1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2643" priority="1038" operator="greaterThan">
      <formula>0.9</formula>
    </cfRule>
    <cfRule type="cellIs" dxfId="2642" priority="1039" operator="greaterThan">
      <formula>0.85</formula>
    </cfRule>
  </conditionalFormatting>
  <conditionalFormatting sqref="N102">
    <cfRule type="cellIs" dxfId="2641" priority="1036" operator="greaterThan">
      <formula>0.9</formula>
    </cfRule>
    <cfRule type="cellIs" dxfId="2640" priority="1037" operator="greaterThan">
      <formula>0.85</formula>
    </cfRule>
  </conditionalFormatting>
  <conditionalFormatting sqref="E102">
    <cfRule type="expression" dxfId="2639" priority="1032">
      <formula>AND(IF(OR($Q102=1,$Q102=2),1,0),IF($X102&lt;=20,1,0))</formula>
    </cfRule>
    <cfRule type="expression" dxfId="2638" priority="1033">
      <formula>AND(IF($Q102=2,1,0),IF($X102&lt;30,1,0))</formula>
    </cfRule>
    <cfRule type="expression" dxfId="2637" priority="1034">
      <formula>AND(IF($Q102=3,1,0),IF($X102&lt;30,1,0))</formula>
    </cfRule>
    <cfRule type="expression" dxfId="2636" priority="1035">
      <formula>AND(IF($Q102=3,1,IF($Q102=4,1,0)),IF($F102&lt;=85,1,0))</formula>
    </cfRule>
  </conditionalFormatting>
  <conditionalFormatting sqref="X102">
    <cfRule type="expression" dxfId="2635" priority="1028">
      <formula>AND(IF(OR($Q102=1,$Q102=2),1,0),IF($X102&lt;=20,1,0))</formula>
    </cfRule>
    <cfRule type="expression" dxfId="2634" priority="1029">
      <formula>AND(IF($Q102=2,1,0),IF($X102&lt;30,1,0))</formula>
    </cfRule>
    <cfRule type="expression" dxfId="2633" priority="1030">
      <formula>AND(IF($Q102=3,1,0),IF($X102&lt;30,1,0))</formula>
    </cfRule>
    <cfRule type="expression" dxfId="2632" priority="1031">
      <formula>AND(IF($Q102=3,1,IF($Q102=4,1,0)),IF($F102&lt;=85,1,0))</formula>
    </cfRule>
  </conditionalFormatting>
  <conditionalFormatting sqref="AI102">
    <cfRule type="expression" dxfId="2631" priority="1024">
      <formula>AND(IF(OR($Q102=1,$Q102=2),1,0),IF($X102&lt;=20,1,0))</formula>
    </cfRule>
    <cfRule type="expression" dxfId="2630" priority="1025">
      <formula>AND(IF($Q102=2,1,0),IF($X102&lt;30,1,0))</formula>
    </cfRule>
    <cfRule type="expression" dxfId="2629" priority="1026">
      <formula>AND(IF($Q102=3,1,0),IF($X102&lt;30,1,0))</formula>
    </cfRule>
    <cfRule type="expression" dxfId="2628" priority="1027">
      <formula>AND(IF($Q102=3,1,IF($Q102=4,1,0)),IF($F102&lt;=85,1,0))</formula>
    </cfRule>
  </conditionalFormatting>
  <conditionalFormatting sqref="AV103">
    <cfRule type="expression" dxfId="2627" priority="1022">
      <formula>AV103="X"</formula>
    </cfRule>
    <cfRule type="expression" dxfId="2626" priority="1023">
      <formula>AV103="후보"</formula>
    </cfRule>
  </conditionalFormatting>
  <conditionalFormatting sqref="Z103">
    <cfRule type="colorScale" priority="1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625" priority="1019" operator="greaterThan">
      <formula>0.9</formula>
    </cfRule>
    <cfRule type="cellIs" dxfId="2624" priority="1020" operator="greaterThan">
      <formula>0.85</formula>
    </cfRule>
  </conditionalFormatting>
  <conditionalFormatting sqref="N103">
    <cfRule type="cellIs" dxfId="2623" priority="1017" operator="greaterThan">
      <formula>0.9</formula>
    </cfRule>
    <cfRule type="cellIs" dxfId="2622" priority="1018" operator="greaterThan">
      <formula>0.85</formula>
    </cfRule>
  </conditionalFormatting>
  <conditionalFormatting sqref="E103">
    <cfRule type="expression" dxfId="2621" priority="1013">
      <formula>AND(IF(OR($Q103=1,$Q103=2),1,0),IF($X103&lt;=20,1,0))</formula>
    </cfRule>
    <cfRule type="expression" dxfId="2620" priority="1014">
      <formula>AND(IF($Q103=2,1,0),IF($X103&lt;30,1,0))</formula>
    </cfRule>
    <cfRule type="expression" dxfId="2619" priority="1015">
      <formula>AND(IF($Q103=3,1,0),IF($X103&lt;30,1,0))</formula>
    </cfRule>
    <cfRule type="expression" dxfId="2618" priority="1016">
      <formula>AND(IF($Q103=3,1,IF($Q103=4,1,0)),IF($F103&lt;=85,1,0))</formula>
    </cfRule>
  </conditionalFormatting>
  <conditionalFormatting sqref="X103">
    <cfRule type="expression" dxfId="2617" priority="1009">
      <formula>AND(IF(OR($Q103=1,$Q103=2),1,0),IF($X103&lt;=20,1,0))</formula>
    </cfRule>
    <cfRule type="expression" dxfId="2616" priority="1010">
      <formula>AND(IF($Q103=2,1,0),IF($X103&lt;30,1,0))</formula>
    </cfRule>
    <cfRule type="expression" dxfId="2615" priority="1011">
      <formula>AND(IF($Q103=3,1,0),IF($X103&lt;30,1,0))</formula>
    </cfRule>
    <cfRule type="expression" dxfId="2614" priority="1012">
      <formula>AND(IF($Q103=3,1,IF($Q103=4,1,0)),IF($F103&lt;=85,1,0))</formula>
    </cfRule>
  </conditionalFormatting>
  <conditionalFormatting sqref="AI103">
    <cfRule type="expression" dxfId="2613" priority="1005">
      <formula>AND(IF(OR($Q103=1,$Q103=2),1,0),IF($X103&lt;=20,1,0))</formula>
    </cfRule>
    <cfRule type="expression" dxfId="2612" priority="1006">
      <formula>AND(IF($Q103=2,1,0),IF($X103&lt;30,1,0))</formula>
    </cfRule>
    <cfRule type="expression" dxfId="2611" priority="1007">
      <formula>AND(IF($Q103=3,1,0),IF($X103&lt;30,1,0))</formula>
    </cfRule>
    <cfRule type="expression" dxfId="2610" priority="1008">
      <formula>AND(IF($Q103=3,1,IF($Q103=4,1,0)),IF($F103&lt;=85,1,0))</formula>
    </cfRule>
  </conditionalFormatting>
  <conditionalFormatting sqref="AV104">
    <cfRule type="expression" dxfId="2609" priority="1003">
      <formula>AV104="X"</formula>
    </cfRule>
    <cfRule type="expression" dxfId="2608" priority="1004">
      <formula>AV104="후보"</formula>
    </cfRule>
  </conditionalFormatting>
  <conditionalFormatting sqref="Z104">
    <cfRule type="colorScale" priority="1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607" priority="1000" operator="greaterThan">
      <formula>0.9</formula>
    </cfRule>
    <cfRule type="cellIs" dxfId="2606" priority="1001" operator="greaterThan">
      <formula>0.85</formula>
    </cfRule>
  </conditionalFormatting>
  <conditionalFormatting sqref="N104">
    <cfRule type="cellIs" dxfId="2605" priority="998" operator="greaterThan">
      <formula>0.9</formula>
    </cfRule>
    <cfRule type="cellIs" dxfId="2604" priority="999" operator="greaterThan">
      <formula>0.85</formula>
    </cfRule>
  </conditionalFormatting>
  <conditionalFormatting sqref="E104">
    <cfRule type="expression" dxfId="2603" priority="994">
      <formula>AND(IF(OR($Q104=1,$Q104=2),1,0),IF($X104&lt;=20,1,0))</formula>
    </cfRule>
    <cfRule type="expression" dxfId="2602" priority="995">
      <formula>AND(IF($Q104=2,1,0),IF($X104&lt;30,1,0))</formula>
    </cfRule>
    <cfRule type="expression" dxfId="2601" priority="996">
      <formula>AND(IF($Q104=3,1,0),IF($X104&lt;30,1,0))</formula>
    </cfRule>
    <cfRule type="expression" dxfId="2600" priority="997">
      <formula>AND(IF($Q104=3,1,IF($Q104=4,1,0)),IF($F104&lt;=85,1,0))</formula>
    </cfRule>
  </conditionalFormatting>
  <conditionalFormatting sqref="X104">
    <cfRule type="expression" dxfId="2599" priority="990">
      <formula>AND(IF(OR($Q104=1,$Q104=2),1,0),IF($X104&lt;=20,1,0))</formula>
    </cfRule>
    <cfRule type="expression" dxfId="2598" priority="991">
      <formula>AND(IF($Q104=2,1,0),IF($X104&lt;30,1,0))</formula>
    </cfRule>
    <cfRule type="expression" dxfId="2597" priority="992">
      <formula>AND(IF($Q104=3,1,0),IF($X104&lt;30,1,0))</formula>
    </cfRule>
    <cfRule type="expression" dxfId="2596" priority="993">
      <formula>AND(IF($Q104=3,1,IF($Q104=4,1,0)),IF($F104&lt;=85,1,0))</formula>
    </cfRule>
  </conditionalFormatting>
  <conditionalFormatting sqref="AI104">
    <cfRule type="expression" dxfId="2595" priority="986">
      <formula>AND(IF(OR($Q104=1,$Q104=2),1,0),IF($X104&lt;=20,1,0))</formula>
    </cfRule>
    <cfRule type="expression" dxfId="2594" priority="987">
      <formula>AND(IF($Q104=2,1,0),IF($X104&lt;30,1,0))</formula>
    </cfRule>
    <cfRule type="expression" dxfId="2593" priority="988">
      <formula>AND(IF($Q104=3,1,0),IF($X104&lt;30,1,0))</formula>
    </cfRule>
    <cfRule type="expression" dxfId="2592" priority="989">
      <formula>AND(IF($Q104=3,1,IF($Q104=4,1,0)),IF($F104&lt;=85,1,0))</formula>
    </cfRule>
  </conditionalFormatting>
  <conditionalFormatting sqref="AV105">
    <cfRule type="expression" dxfId="2591" priority="984">
      <formula>AV105="X"</formula>
    </cfRule>
    <cfRule type="expression" dxfId="2590" priority="985">
      <formula>AV105="후보"</formula>
    </cfRule>
  </conditionalFormatting>
  <conditionalFormatting sqref="Z105">
    <cfRule type="colorScale" priority="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589" priority="981" operator="greaterThan">
      <formula>0.9</formula>
    </cfRule>
    <cfRule type="cellIs" dxfId="2588" priority="982" operator="greaterThan">
      <formula>0.85</formula>
    </cfRule>
  </conditionalFormatting>
  <conditionalFormatting sqref="N105">
    <cfRule type="cellIs" dxfId="2587" priority="979" operator="greaterThan">
      <formula>0.9</formula>
    </cfRule>
    <cfRule type="cellIs" dxfId="2586" priority="980" operator="greaterThan">
      <formula>0.85</formula>
    </cfRule>
  </conditionalFormatting>
  <conditionalFormatting sqref="E105">
    <cfRule type="expression" dxfId="2585" priority="975">
      <formula>AND(IF(OR($Q105=1,$Q105=2),1,0),IF($X105&lt;=20,1,0))</formula>
    </cfRule>
    <cfRule type="expression" dxfId="2584" priority="976">
      <formula>AND(IF($Q105=2,1,0),IF($X105&lt;30,1,0))</formula>
    </cfRule>
    <cfRule type="expression" dxfId="2583" priority="977">
      <formula>AND(IF($Q105=3,1,0),IF($X105&lt;30,1,0))</formula>
    </cfRule>
    <cfRule type="expression" dxfId="2582" priority="978">
      <formula>AND(IF($Q105=3,1,IF($Q105=4,1,0)),IF($F105&lt;=85,1,0))</formula>
    </cfRule>
  </conditionalFormatting>
  <conditionalFormatting sqref="X105">
    <cfRule type="expression" dxfId="2581" priority="971">
      <formula>AND(IF(OR($Q105=1,$Q105=2),1,0),IF($X105&lt;=20,1,0))</formula>
    </cfRule>
    <cfRule type="expression" dxfId="2580" priority="972">
      <formula>AND(IF($Q105=2,1,0),IF($X105&lt;30,1,0))</formula>
    </cfRule>
    <cfRule type="expression" dxfId="2579" priority="973">
      <formula>AND(IF($Q105=3,1,0),IF($X105&lt;30,1,0))</formula>
    </cfRule>
    <cfRule type="expression" dxfId="2578" priority="974">
      <formula>AND(IF($Q105=3,1,IF($Q105=4,1,0)),IF($F105&lt;=85,1,0))</formula>
    </cfRule>
  </conditionalFormatting>
  <conditionalFormatting sqref="AI105">
    <cfRule type="expression" dxfId="2577" priority="967">
      <formula>AND(IF(OR($Q105=1,$Q105=2),1,0),IF($X105&lt;=20,1,0))</formula>
    </cfRule>
    <cfRule type="expression" dxfId="2576" priority="968">
      <formula>AND(IF($Q105=2,1,0),IF($X105&lt;30,1,0))</formula>
    </cfRule>
    <cfRule type="expression" dxfId="2575" priority="969">
      <formula>AND(IF($Q105=3,1,0),IF($X105&lt;30,1,0))</formula>
    </cfRule>
    <cfRule type="expression" dxfId="2574" priority="970">
      <formula>AND(IF($Q105=3,1,IF($Q105=4,1,0)),IF($F105&lt;=85,1,0))</formula>
    </cfRule>
  </conditionalFormatting>
  <conditionalFormatting sqref="AV106">
    <cfRule type="expression" dxfId="2573" priority="965">
      <formula>AV106="X"</formula>
    </cfRule>
    <cfRule type="expression" dxfId="2572" priority="966">
      <formula>AV106="후보"</formula>
    </cfRule>
  </conditionalFormatting>
  <conditionalFormatting sqref="Z106">
    <cfRule type="colorScale" priority="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2571" priority="962" operator="greaterThan">
      <formula>0.9</formula>
    </cfRule>
    <cfRule type="cellIs" dxfId="2570" priority="963" operator="greaterThan">
      <formula>0.85</formula>
    </cfRule>
  </conditionalFormatting>
  <conditionalFormatting sqref="N106">
    <cfRule type="cellIs" dxfId="2569" priority="960" operator="greaterThan">
      <formula>0.9</formula>
    </cfRule>
    <cfRule type="cellIs" dxfId="2568" priority="961" operator="greaterThan">
      <formula>0.85</formula>
    </cfRule>
  </conditionalFormatting>
  <conditionalFormatting sqref="E106">
    <cfRule type="expression" dxfId="2567" priority="956">
      <formula>AND(IF(OR($Q106=1,$Q106=2),1,0),IF($X106&lt;=20,1,0))</formula>
    </cfRule>
    <cfRule type="expression" dxfId="2566" priority="957">
      <formula>AND(IF($Q106=2,1,0),IF($X106&lt;30,1,0))</formula>
    </cfRule>
    <cfRule type="expression" dxfId="2565" priority="958">
      <formula>AND(IF($Q106=3,1,0),IF($X106&lt;30,1,0))</formula>
    </cfRule>
    <cfRule type="expression" dxfId="2564" priority="959">
      <formula>AND(IF($Q106=3,1,IF($Q106=4,1,0)),IF($F106&lt;=85,1,0))</formula>
    </cfRule>
  </conditionalFormatting>
  <conditionalFormatting sqref="X106">
    <cfRule type="expression" dxfId="2563" priority="952">
      <formula>AND(IF(OR($Q106=1,$Q106=2),1,0),IF($X106&lt;=20,1,0))</formula>
    </cfRule>
    <cfRule type="expression" dxfId="2562" priority="953">
      <formula>AND(IF($Q106=2,1,0),IF($X106&lt;30,1,0))</formula>
    </cfRule>
    <cfRule type="expression" dxfId="2561" priority="954">
      <formula>AND(IF($Q106=3,1,0),IF($X106&lt;30,1,0))</formula>
    </cfRule>
    <cfRule type="expression" dxfId="2560" priority="955">
      <formula>AND(IF($Q106=3,1,IF($Q106=4,1,0)),IF($F106&lt;=85,1,0))</formula>
    </cfRule>
  </conditionalFormatting>
  <conditionalFormatting sqref="AI106">
    <cfRule type="expression" dxfId="2559" priority="948">
      <formula>AND(IF(OR($Q106=1,$Q106=2),1,0),IF($X106&lt;=20,1,0))</formula>
    </cfRule>
    <cfRule type="expression" dxfId="2558" priority="949">
      <formula>AND(IF($Q106=2,1,0),IF($X106&lt;30,1,0))</formula>
    </cfRule>
    <cfRule type="expression" dxfId="2557" priority="950">
      <formula>AND(IF($Q106=3,1,0),IF($X106&lt;30,1,0))</formula>
    </cfRule>
    <cfRule type="expression" dxfId="2556" priority="951">
      <formula>AND(IF($Q106=3,1,IF($Q106=4,1,0)),IF($F106&lt;=85,1,0))</formula>
    </cfRule>
  </conditionalFormatting>
  <conditionalFormatting sqref="AV107">
    <cfRule type="expression" dxfId="2555" priority="946">
      <formula>AV107="X"</formula>
    </cfRule>
    <cfRule type="expression" dxfId="2554" priority="947">
      <formula>AV107="후보"</formula>
    </cfRule>
  </conditionalFormatting>
  <conditionalFormatting sqref="Z107">
    <cfRule type="colorScale" priority="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 N107">
    <cfRule type="cellIs" dxfId="2553" priority="943" operator="greaterThan">
      <formula>0.9</formula>
    </cfRule>
    <cfRule type="cellIs" dxfId="2552" priority="944" operator="greaterThan">
      <formula>0.85</formula>
    </cfRule>
  </conditionalFormatting>
  <conditionalFormatting sqref="AV108">
    <cfRule type="expression" dxfId="2551" priority="941">
      <formula>AV108="X"</formula>
    </cfRule>
    <cfRule type="expression" dxfId="2550" priority="942">
      <formula>AV108="후보"</formula>
    </cfRule>
  </conditionalFormatting>
  <conditionalFormatting sqref="Z108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549" priority="938" operator="greaterThan">
      <formula>0.9</formula>
    </cfRule>
    <cfRule type="cellIs" dxfId="2548" priority="939" operator="greaterThan">
      <formula>0.85</formula>
    </cfRule>
  </conditionalFormatting>
  <conditionalFormatting sqref="N108">
    <cfRule type="cellIs" dxfId="2547" priority="936" operator="greaterThan">
      <formula>0.9</formula>
    </cfRule>
    <cfRule type="cellIs" dxfId="2546" priority="937" operator="greaterThan">
      <formula>0.85</formula>
    </cfRule>
  </conditionalFormatting>
  <conditionalFormatting sqref="E108">
    <cfRule type="expression" dxfId="2545" priority="932">
      <formula>AND(IF(OR($Q108=1,$Q108=2),1,0),IF($X108&lt;=20,1,0))</formula>
    </cfRule>
    <cfRule type="expression" dxfId="2544" priority="933">
      <formula>AND(IF($Q108=2,1,0),IF($X108&lt;30,1,0))</formula>
    </cfRule>
    <cfRule type="expression" dxfId="2543" priority="934">
      <formula>AND(IF($Q108=3,1,0),IF($X108&lt;30,1,0))</formula>
    </cfRule>
    <cfRule type="expression" dxfId="2542" priority="935">
      <formula>AND(IF($Q108=3,1,IF($Q108=4,1,0)),IF($F108&lt;=85,1,0))</formula>
    </cfRule>
  </conditionalFormatting>
  <conditionalFormatting sqref="X108">
    <cfRule type="expression" dxfId="2541" priority="928">
      <formula>AND(IF(OR($Q108=1,$Q108=2),1,0),IF($X108&lt;=20,1,0))</formula>
    </cfRule>
    <cfRule type="expression" dxfId="2540" priority="929">
      <formula>AND(IF($Q108=2,1,0),IF($X108&lt;30,1,0))</formula>
    </cfRule>
    <cfRule type="expression" dxfId="2539" priority="930">
      <formula>AND(IF($Q108=3,1,0),IF($X108&lt;30,1,0))</formula>
    </cfRule>
    <cfRule type="expression" dxfId="2538" priority="931">
      <formula>AND(IF($Q108=3,1,IF($Q108=4,1,0)),IF($F108&lt;=85,1,0))</formula>
    </cfRule>
  </conditionalFormatting>
  <conditionalFormatting sqref="AI108">
    <cfRule type="expression" dxfId="2537" priority="924">
      <formula>AND(IF(OR($Q108=1,$Q108=2),1,0),IF($X108&lt;=20,1,0))</formula>
    </cfRule>
    <cfRule type="expression" dxfId="2536" priority="925">
      <formula>AND(IF($Q108=2,1,0),IF($X108&lt;30,1,0))</formula>
    </cfRule>
    <cfRule type="expression" dxfId="2535" priority="926">
      <formula>AND(IF($Q108=3,1,0),IF($X108&lt;30,1,0))</formula>
    </cfRule>
    <cfRule type="expression" dxfId="2534" priority="927">
      <formula>AND(IF($Q108=3,1,IF($Q108=4,1,0)),IF($F108&lt;=85,1,0))</formula>
    </cfRule>
  </conditionalFormatting>
  <conditionalFormatting sqref="AV109">
    <cfRule type="expression" dxfId="2533" priority="922">
      <formula>AV109="X"</formula>
    </cfRule>
    <cfRule type="expression" dxfId="2532" priority="923">
      <formula>AV109="후보"</formula>
    </cfRule>
  </conditionalFormatting>
  <conditionalFormatting sqref="Z109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531" priority="919" operator="greaterThan">
      <formula>0.9</formula>
    </cfRule>
    <cfRule type="cellIs" dxfId="2530" priority="920" operator="greaterThan">
      <formula>0.85</formula>
    </cfRule>
  </conditionalFormatting>
  <conditionalFormatting sqref="N109">
    <cfRule type="cellIs" dxfId="2529" priority="917" operator="greaterThan">
      <formula>0.9</formula>
    </cfRule>
    <cfRule type="cellIs" dxfId="2528" priority="918" operator="greaterThan">
      <formula>0.85</formula>
    </cfRule>
  </conditionalFormatting>
  <conditionalFormatting sqref="E109">
    <cfRule type="expression" dxfId="2527" priority="913">
      <formula>AND(IF(OR($Q109=1,$Q109=2),1,0),IF($X109&lt;=20,1,0))</formula>
    </cfRule>
    <cfRule type="expression" dxfId="2526" priority="914">
      <formula>AND(IF($Q109=2,1,0),IF($X109&lt;30,1,0))</formula>
    </cfRule>
    <cfRule type="expression" dxfId="2525" priority="915">
      <formula>AND(IF($Q109=3,1,0),IF($X109&lt;30,1,0))</formula>
    </cfRule>
    <cfRule type="expression" dxfId="2524" priority="916">
      <formula>AND(IF($Q109=3,1,IF($Q109=4,1,0)),IF($F109&lt;=85,1,0))</formula>
    </cfRule>
  </conditionalFormatting>
  <conditionalFormatting sqref="X109">
    <cfRule type="expression" dxfId="2523" priority="909">
      <formula>AND(IF(OR($Q109=1,$Q109=2),1,0),IF($X109&lt;=20,1,0))</formula>
    </cfRule>
    <cfRule type="expression" dxfId="2522" priority="910">
      <formula>AND(IF($Q109=2,1,0),IF($X109&lt;30,1,0))</formula>
    </cfRule>
    <cfRule type="expression" dxfId="2521" priority="911">
      <formula>AND(IF($Q109=3,1,0),IF($X109&lt;30,1,0))</formula>
    </cfRule>
    <cfRule type="expression" dxfId="2520" priority="912">
      <formula>AND(IF($Q109=3,1,IF($Q109=4,1,0)),IF($F109&lt;=85,1,0))</formula>
    </cfRule>
  </conditionalFormatting>
  <conditionalFormatting sqref="AI109">
    <cfRule type="expression" dxfId="2519" priority="905">
      <formula>AND(IF(OR($Q109=1,$Q109=2),1,0),IF($X109&lt;=20,1,0))</formula>
    </cfRule>
    <cfRule type="expression" dxfId="2518" priority="906">
      <formula>AND(IF($Q109=2,1,0),IF($X109&lt;30,1,0))</formula>
    </cfRule>
    <cfRule type="expression" dxfId="2517" priority="907">
      <formula>AND(IF($Q109=3,1,0),IF($X109&lt;30,1,0))</formula>
    </cfRule>
    <cfRule type="expression" dxfId="2516" priority="908">
      <formula>AND(IF($Q109=3,1,IF($Q109=4,1,0)),IF($F109&lt;=85,1,0))</formula>
    </cfRule>
  </conditionalFormatting>
  <conditionalFormatting sqref="AV110">
    <cfRule type="expression" dxfId="2515" priority="903">
      <formula>AV110="X"</formula>
    </cfRule>
    <cfRule type="expression" dxfId="2514" priority="904">
      <formula>AV110="후보"</formula>
    </cfRule>
  </conditionalFormatting>
  <conditionalFormatting sqref="Z110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2513" priority="900" operator="greaterThan">
      <formula>0.9</formula>
    </cfRule>
    <cfRule type="cellIs" dxfId="2512" priority="901" operator="greaterThan">
      <formula>0.85</formula>
    </cfRule>
  </conditionalFormatting>
  <conditionalFormatting sqref="N110">
    <cfRule type="cellIs" dxfId="2511" priority="898" operator="greaterThan">
      <formula>0.9</formula>
    </cfRule>
    <cfRule type="cellIs" dxfId="2510" priority="899" operator="greaterThan">
      <formula>0.85</formula>
    </cfRule>
  </conditionalFormatting>
  <conditionalFormatting sqref="E110">
    <cfRule type="expression" dxfId="2509" priority="894">
      <formula>AND(IF(OR($Q110=1,$Q110=2),1,0),IF($X110&lt;=20,1,0))</formula>
    </cfRule>
    <cfRule type="expression" dxfId="2508" priority="895">
      <formula>AND(IF($Q110=2,1,0),IF($X110&lt;30,1,0))</formula>
    </cfRule>
    <cfRule type="expression" dxfId="2507" priority="896">
      <formula>AND(IF($Q110=3,1,0),IF($X110&lt;30,1,0))</formula>
    </cfRule>
    <cfRule type="expression" dxfId="2506" priority="897">
      <formula>AND(IF($Q110=3,1,IF($Q110=4,1,0)),IF($F110&lt;=85,1,0))</formula>
    </cfRule>
  </conditionalFormatting>
  <conditionalFormatting sqref="X110">
    <cfRule type="expression" dxfId="2505" priority="890">
      <formula>AND(IF(OR($Q110=1,$Q110=2),1,0),IF($X110&lt;=20,1,0))</formula>
    </cfRule>
    <cfRule type="expression" dxfId="2504" priority="891">
      <formula>AND(IF($Q110=2,1,0),IF($X110&lt;30,1,0))</formula>
    </cfRule>
    <cfRule type="expression" dxfId="2503" priority="892">
      <formula>AND(IF($Q110=3,1,0),IF($X110&lt;30,1,0))</formula>
    </cfRule>
    <cfRule type="expression" dxfId="2502" priority="893">
      <formula>AND(IF($Q110=3,1,IF($Q110=4,1,0)),IF($F110&lt;=85,1,0))</formula>
    </cfRule>
  </conditionalFormatting>
  <conditionalFormatting sqref="AI110">
    <cfRule type="expression" dxfId="2501" priority="886">
      <formula>AND(IF(OR($Q110=1,$Q110=2),1,0),IF($X110&lt;=20,1,0))</formula>
    </cfRule>
    <cfRule type="expression" dxfId="2500" priority="887">
      <formula>AND(IF($Q110=2,1,0),IF($X110&lt;30,1,0))</formula>
    </cfRule>
    <cfRule type="expression" dxfId="2499" priority="888">
      <formula>AND(IF($Q110=3,1,0),IF($X110&lt;30,1,0))</formula>
    </cfRule>
    <cfRule type="expression" dxfId="2498" priority="889">
      <formula>AND(IF($Q110=3,1,IF($Q110=4,1,0)),IF($F110&lt;=85,1,0))</formula>
    </cfRule>
  </conditionalFormatting>
  <conditionalFormatting sqref="AV111">
    <cfRule type="expression" dxfId="2497" priority="884">
      <formula>AV111="X"</formula>
    </cfRule>
    <cfRule type="expression" dxfId="2496" priority="885">
      <formula>AV111="후보"</formula>
    </cfRule>
  </conditionalFormatting>
  <conditionalFormatting sqref="Z111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495" priority="881" operator="greaterThan">
      <formula>0.9</formula>
    </cfRule>
    <cfRule type="cellIs" dxfId="2494" priority="882" operator="greaterThan">
      <formula>0.85</formula>
    </cfRule>
  </conditionalFormatting>
  <conditionalFormatting sqref="N111">
    <cfRule type="cellIs" dxfId="2493" priority="879" operator="greaterThan">
      <formula>0.9</formula>
    </cfRule>
    <cfRule type="cellIs" dxfId="2492" priority="880" operator="greaterThan">
      <formula>0.85</formula>
    </cfRule>
  </conditionalFormatting>
  <conditionalFormatting sqref="E111">
    <cfRule type="expression" dxfId="2491" priority="875">
      <formula>AND(IF(OR($Q111=1,$Q111=2),1,0),IF($X111&lt;=20,1,0))</formula>
    </cfRule>
    <cfRule type="expression" dxfId="2490" priority="876">
      <formula>AND(IF($Q111=2,1,0),IF($X111&lt;30,1,0))</formula>
    </cfRule>
    <cfRule type="expression" dxfId="2489" priority="877">
      <formula>AND(IF($Q111=3,1,0),IF($X111&lt;30,1,0))</formula>
    </cfRule>
    <cfRule type="expression" dxfId="2488" priority="878">
      <formula>AND(IF($Q111=3,1,IF($Q111=4,1,0)),IF($F111&lt;=85,1,0))</formula>
    </cfRule>
  </conditionalFormatting>
  <conditionalFormatting sqref="X111">
    <cfRule type="expression" dxfId="2487" priority="871">
      <formula>AND(IF(OR($Q111=1,$Q111=2),1,0),IF($X111&lt;=20,1,0))</formula>
    </cfRule>
    <cfRule type="expression" dxfId="2486" priority="872">
      <formula>AND(IF($Q111=2,1,0),IF($X111&lt;30,1,0))</formula>
    </cfRule>
    <cfRule type="expression" dxfId="2485" priority="873">
      <formula>AND(IF($Q111=3,1,0),IF($X111&lt;30,1,0))</formula>
    </cfRule>
    <cfRule type="expression" dxfId="2484" priority="874">
      <formula>AND(IF($Q111=3,1,IF($Q111=4,1,0)),IF($F111&lt;=85,1,0))</formula>
    </cfRule>
  </conditionalFormatting>
  <conditionalFormatting sqref="AI111">
    <cfRule type="expression" dxfId="2483" priority="867">
      <formula>AND(IF(OR($Q111=1,$Q111=2),1,0),IF($X111&lt;=20,1,0))</formula>
    </cfRule>
    <cfRule type="expression" dxfId="2482" priority="868">
      <formula>AND(IF($Q111=2,1,0),IF($X111&lt;30,1,0))</formula>
    </cfRule>
    <cfRule type="expression" dxfId="2481" priority="869">
      <formula>AND(IF($Q111=3,1,0),IF($X111&lt;30,1,0))</formula>
    </cfRule>
    <cfRule type="expression" dxfId="2480" priority="870">
      <formula>AND(IF($Q111=3,1,IF($Q111=4,1,0)),IF($F111&lt;=85,1,0))</formula>
    </cfRule>
  </conditionalFormatting>
  <conditionalFormatting sqref="AV112">
    <cfRule type="expression" dxfId="2479" priority="865">
      <formula>AV112="X"</formula>
    </cfRule>
    <cfRule type="expression" dxfId="2478" priority="866">
      <formula>AV112="후보"</formula>
    </cfRule>
  </conditionalFormatting>
  <conditionalFormatting sqref="Z112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477" priority="862" operator="greaterThan">
      <formula>0.9</formula>
    </cfRule>
    <cfRule type="cellIs" dxfId="2476" priority="863" operator="greaterThan">
      <formula>0.85</formula>
    </cfRule>
  </conditionalFormatting>
  <conditionalFormatting sqref="N112">
    <cfRule type="cellIs" dxfId="2475" priority="860" operator="greaterThan">
      <formula>0.9</formula>
    </cfRule>
    <cfRule type="cellIs" dxfId="2474" priority="861" operator="greaterThan">
      <formula>0.85</formula>
    </cfRule>
  </conditionalFormatting>
  <conditionalFormatting sqref="E112">
    <cfRule type="expression" dxfId="2473" priority="856">
      <formula>AND(IF(OR($Q112=1,$Q112=2),1,0),IF($X112&lt;=20,1,0))</formula>
    </cfRule>
    <cfRule type="expression" dxfId="2472" priority="857">
      <formula>AND(IF($Q112=2,1,0),IF($X112&lt;30,1,0))</formula>
    </cfRule>
    <cfRule type="expression" dxfId="2471" priority="858">
      <formula>AND(IF($Q112=3,1,0),IF($X112&lt;30,1,0))</formula>
    </cfRule>
    <cfRule type="expression" dxfId="2470" priority="859">
      <formula>AND(IF($Q112=3,1,IF($Q112=4,1,0)),IF($F112&lt;=85,1,0))</formula>
    </cfRule>
  </conditionalFormatting>
  <conditionalFormatting sqref="X112">
    <cfRule type="expression" dxfId="2469" priority="852">
      <formula>AND(IF(OR($Q112=1,$Q112=2),1,0),IF($X112&lt;=20,1,0))</formula>
    </cfRule>
    <cfRule type="expression" dxfId="2468" priority="853">
      <formula>AND(IF($Q112=2,1,0),IF($X112&lt;30,1,0))</formula>
    </cfRule>
    <cfRule type="expression" dxfId="2467" priority="854">
      <formula>AND(IF($Q112=3,1,0),IF($X112&lt;30,1,0))</formula>
    </cfRule>
    <cfRule type="expression" dxfId="2466" priority="855">
      <formula>AND(IF($Q112=3,1,IF($Q112=4,1,0)),IF($F112&lt;=85,1,0))</formula>
    </cfRule>
  </conditionalFormatting>
  <conditionalFormatting sqref="AI112">
    <cfRule type="expression" dxfId="2465" priority="848">
      <formula>AND(IF(OR($Q112=1,$Q112=2),1,0),IF($X112&lt;=20,1,0))</formula>
    </cfRule>
    <cfRule type="expression" dxfId="2464" priority="849">
      <formula>AND(IF($Q112=2,1,0),IF($X112&lt;30,1,0))</formula>
    </cfRule>
    <cfRule type="expression" dxfId="2463" priority="850">
      <formula>AND(IF($Q112=3,1,0),IF($X112&lt;30,1,0))</formula>
    </cfRule>
    <cfRule type="expression" dxfId="2462" priority="851">
      <formula>AND(IF($Q112=3,1,IF($Q112=4,1,0)),IF($F112&lt;=85,1,0))</formula>
    </cfRule>
  </conditionalFormatting>
  <conditionalFormatting sqref="AV113">
    <cfRule type="expression" dxfId="2461" priority="846">
      <formula>AV113="X"</formula>
    </cfRule>
    <cfRule type="expression" dxfId="2460" priority="847">
      <formula>AV113="후보"</formula>
    </cfRule>
  </conditionalFormatting>
  <conditionalFormatting sqref="Z113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2459" priority="843" operator="greaterThan">
      <formula>0.9</formula>
    </cfRule>
    <cfRule type="cellIs" dxfId="2458" priority="844" operator="greaterThan">
      <formula>0.85</formula>
    </cfRule>
  </conditionalFormatting>
  <conditionalFormatting sqref="N113">
    <cfRule type="cellIs" dxfId="2457" priority="841" operator="greaterThan">
      <formula>0.9</formula>
    </cfRule>
    <cfRule type="cellIs" dxfId="2456" priority="842" operator="greaterThan">
      <formula>0.85</formula>
    </cfRule>
  </conditionalFormatting>
  <conditionalFormatting sqref="E113">
    <cfRule type="expression" dxfId="2455" priority="837">
      <formula>AND(IF(OR($Q113=1,$Q113=2),1,0),IF($X113&lt;=20,1,0))</formula>
    </cfRule>
    <cfRule type="expression" dxfId="2454" priority="838">
      <formula>AND(IF($Q113=2,1,0),IF($X113&lt;30,1,0))</formula>
    </cfRule>
    <cfRule type="expression" dxfId="2453" priority="839">
      <formula>AND(IF($Q113=3,1,0),IF($X113&lt;30,1,0))</formula>
    </cfRule>
    <cfRule type="expression" dxfId="2452" priority="840">
      <formula>AND(IF($Q113=3,1,IF($Q113=4,1,0)),IF($F113&lt;=85,1,0))</formula>
    </cfRule>
  </conditionalFormatting>
  <conditionalFormatting sqref="X113">
    <cfRule type="expression" dxfId="2451" priority="833">
      <formula>AND(IF(OR($Q113=1,$Q113=2),1,0),IF($X113&lt;=20,1,0))</formula>
    </cfRule>
    <cfRule type="expression" dxfId="2450" priority="834">
      <formula>AND(IF($Q113=2,1,0),IF($X113&lt;30,1,0))</formula>
    </cfRule>
    <cfRule type="expression" dxfId="2449" priority="835">
      <formula>AND(IF($Q113=3,1,0),IF($X113&lt;30,1,0))</formula>
    </cfRule>
    <cfRule type="expression" dxfId="2448" priority="836">
      <formula>AND(IF($Q113=3,1,IF($Q113=4,1,0)),IF($F113&lt;=85,1,0))</formula>
    </cfRule>
  </conditionalFormatting>
  <conditionalFormatting sqref="AI113">
    <cfRule type="expression" dxfId="2447" priority="829">
      <formula>AND(IF(OR($Q113=1,$Q113=2),1,0),IF($X113&lt;=20,1,0))</formula>
    </cfRule>
    <cfRule type="expression" dxfId="2446" priority="830">
      <formula>AND(IF($Q113=2,1,0),IF($X113&lt;30,1,0))</formula>
    </cfRule>
    <cfRule type="expression" dxfId="2445" priority="831">
      <formula>AND(IF($Q113=3,1,0),IF($X113&lt;30,1,0))</formula>
    </cfRule>
    <cfRule type="expression" dxfId="2444" priority="832">
      <formula>AND(IF($Q113=3,1,IF($Q113=4,1,0)),IF($F113&lt;=85,1,0))</formula>
    </cfRule>
  </conditionalFormatting>
  <conditionalFormatting sqref="AV114">
    <cfRule type="expression" dxfId="2443" priority="827">
      <formula>AV114="X"</formula>
    </cfRule>
    <cfRule type="expression" dxfId="2442" priority="828">
      <formula>AV114="후보"</formula>
    </cfRule>
  </conditionalFormatting>
  <conditionalFormatting sqref="Z114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2441" priority="824" operator="greaterThan">
      <formula>0.9</formula>
    </cfRule>
    <cfRule type="cellIs" dxfId="2440" priority="825" operator="greaterThan">
      <formula>0.85</formula>
    </cfRule>
  </conditionalFormatting>
  <conditionalFormatting sqref="N114">
    <cfRule type="cellIs" dxfId="2439" priority="822" operator="greaterThan">
      <formula>0.9</formula>
    </cfRule>
    <cfRule type="cellIs" dxfId="2438" priority="823" operator="greaterThan">
      <formula>0.85</formula>
    </cfRule>
  </conditionalFormatting>
  <conditionalFormatting sqref="E114">
    <cfRule type="expression" dxfId="2437" priority="818">
      <formula>AND(IF(OR($Q114=1,$Q114=2),1,0),IF($X114&lt;=20,1,0))</formula>
    </cfRule>
    <cfRule type="expression" dxfId="2436" priority="819">
      <formula>AND(IF($Q114=2,1,0),IF($X114&lt;30,1,0))</formula>
    </cfRule>
    <cfRule type="expression" dxfId="2435" priority="820">
      <formula>AND(IF($Q114=3,1,0),IF($X114&lt;30,1,0))</formula>
    </cfRule>
    <cfRule type="expression" dxfId="2434" priority="821">
      <formula>AND(IF($Q114=3,1,IF($Q114=4,1,0)),IF($F114&lt;=85,1,0))</formula>
    </cfRule>
  </conditionalFormatting>
  <conditionalFormatting sqref="X114">
    <cfRule type="expression" dxfId="2433" priority="814">
      <formula>AND(IF(OR($Q114=1,$Q114=2),1,0),IF($X114&lt;=20,1,0))</formula>
    </cfRule>
    <cfRule type="expression" dxfId="2432" priority="815">
      <formula>AND(IF($Q114=2,1,0),IF($X114&lt;30,1,0))</formula>
    </cfRule>
    <cfRule type="expression" dxfId="2431" priority="816">
      <formula>AND(IF($Q114=3,1,0),IF($X114&lt;30,1,0))</formula>
    </cfRule>
    <cfRule type="expression" dxfId="2430" priority="817">
      <formula>AND(IF($Q114=3,1,IF($Q114=4,1,0)),IF($F114&lt;=85,1,0))</formula>
    </cfRule>
  </conditionalFormatting>
  <conditionalFormatting sqref="AI114">
    <cfRule type="expression" dxfId="2429" priority="810">
      <formula>AND(IF(OR($Q114=1,$Q114=2),1,0),IF($X114&lt;=20,1,0))</formula>
    </cfRule>
    <cfRule type="expression" dxfId="2428" priority="811">
      <formula>AND(IF($Q114=2,1,0),IF($X114&lt;30,1,0))</formula>
    </cfRule>
    <cfRule type="expression" dxfId="2427" priority="812">
      <formula>AND(IF($Q114=3,1,0),IF($X114&lt;30,1,0))</formula>
    </cfRule>
    <cfRule type="expression" dxfId="2426" priority="813">
      <formula>AND(IF($Q114=3,1,IF($Q114=4,1,0)),IF($F114&lt;=85,1,0))</formula>
    </cfRule>
  </conditionalFormatting>
  <conditionalFormatting sqref="AV115">
    <cfRule type="expression" dxfId="2425" priority="808">
      <formula>AV115="X"</formula>
    </cfRule>
    <cfRule type="expression" dxfId="2424" priority="809">
      <formula>AV115="후보"</formula>
    </cfRule>
  </conditionalFormatting>
  <conditionalFormatting sqref="Z115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2423" priority="805" operator="greaterThan">
      <formula>0.9</formula>
    </cfRule>
    <cfRule type="cellIs" dxfId="2422" priority="806" operator="greaterThan">
      <formula>0.85</formula>
    </cfRule>
  </conditionalFormatting>
  <conditionalFormatting sqref="N115">
    <cfRule type="cellIs" dxfId="2421" priority="803" operator="greaterThan">
      <formula>0.9</formula>
    </cfRule>
    <cfRule type="cellIs" dxfId="2420" priority="804" operator="greaterThan">
      <formula>0.85</formula>
    </cfRule>
  </conditionalFormatting>
  <conditionalFormatting sqref="E115">
    <cfRule type="expression" dxfId="2419" priority="799">
      <formula>AND(IF(OR($Q115=1,$Q115=2),1,0),IF($X115&lt;=20,1,0))</formula>
    </cfRule>
    <cfRule type="expression" dxfId="2418" priority="800">
      <formula>AND(IF($Q115=2,1,0),IF($X115&lt;30,1,0))</formula>
    </cfRule>
    <cfRule type="expression" dxfId="2417" priority="801">
      <formula>AND(IF($Q115=3,1,0),IF($X115&lt;30,1,0))</formula>
    </cfRule>
    <cfRule type="expression" dxfId="2416" priority="802">
      <formula>AND(IF($Q115=3,1,IF($Q115=4,1,0)),IF($F115&lt;=85,1,0))</formula>
    </cfRule>
  </conditionalFormatting>
  <conditionalFormatting sqref="X115">
    <cfRule type="expression" dxfId="2415" priority="795">
      <formula>AND(IF(OR($Q115=1,$Q115=2),1,0),IF($X115&lt;=20,1,0))</formula>
    </cfRule>
    <cfRule type="expression" dxfId="2414" priority="796">
      <formula>AND(IF($Q115=2,1,0),IF($X115&lt;30,1,0))</formula>
    </cfRule>
    <cfRule type="expression" dxfId="2413" priority="797">
      <formula>AND(IF($Q115=3,1,0),IF($X115&lt;30,1,0))</formula>
    </cfRule>
    <cfRule type="expression" dxfId="2412" priority="798">
      <formula>AND(IF($Q115=3,1,IF($Q115=4,1,0)),IF($F115&lt;=85,1,0))</formula>
    </cfRule>
  </conditionalFormatting>
  <conditionalFormatting sqref="AI115">
    <cfRule type="expression" dxfId="2411" priority="791">
      <formula>AND(IF(OR($Q115=1,$Q115=2),1,0),IF($X115&lt;=20,1,0))</formula>
    </cfRule>
    <cfRule type="expression" dxfId="2410" priority="792">
      <formula>AND(IF($Q115=2,1,0),IF($X115&lt;30,1,0))</formula>
    </cfRule>
    <cfRule type="expression" dxfId="2409" priority="793">
      <formula>AND(IF($Q115=3,1,0),IF($X115&lt;30,1,0))</formula>
    </cfRule>
    <cfRule type="expression" dxfId="2408" priority="794">
      <formula>AND(IF($Q115=3,1,IF($Q115=4,1,0)),IF($F115&lt;=85,1,0))</formula>
    </cfRule>
  </conditionalFormatting>
  <conditionalFormatting sqref="AV116">
    <cfRule type="expression" dxfId="2407" priority="789">
      <formula>AV116="X"</formula>
    </cfRule>
    <cfRule type="expression" dxfId="2406" priority="790">
      <formula>AV116="후보"</formula>
    </cfRule>
  </conditionalFormatting>
  <conditionalFormatting sqref="Z116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2405" priority="786" operator="greaterThan">
      <formula>0.9</formula>
    </cfRule>
    <cfRule type="cellIs" dxfId="2404" priority="787" operator="greaterThan">
      <formula>0.85</formula>
    </cfRule>
  </conditionalFormatting>
  <conditionalFormatting sqref="N116">
    <cfRule type="cellIs" dxfId="2403" priority="784" operator="greaterThan">
      <formula>0.9</formula>
    </cfRule>
    <cfRule type="cellIs" dxfId="2402" priority="785" operator="greaterThan">
      <formula>0.85</formula>
    </cfRule>
  </conditionalFormatting>
  <conditionalFormatting sqref="E116">
    <cfRule type="expression" dxfId="2401" priority="780">
      <formula>AND(IF(OR($Q116=1,$Q116=2),1,0),IF($X116&lt;=20,1,0))</formula>
    </cfRule>
    <cfRule type="expression" dxfId="2400" priority="781">
      <formula>AND(IF($Q116=2,1,0),IF($X116&lt;30,1,0))</formula>
    </cfRule>
    <cfRule type="expression" dxfId="2399" priority="782">
      <formula>AND(IF($Q116=3,1,0),IF($X116&lt;30,1,0))</formula>
    </cfRule>
    <cfRule type="expression" dxfId="2398" priority="783">
      <formula>AND(IF($Q116=3,1,IF($Q116=4,1,0)),IF($F116&lt;=85,1,0))</formula>
    </cfRule>
  </conditionalFormatting>
  <conditionalFormatting sqref="X116">
    <cfRule type="expression" dxfId="2397" priority="776">
      <formula>AND(IF(OR($Q116=1,$Q116=2),1,0),IF($X116&lt;=20,1,0))</formula>
    </cfRule>
    <cfRule type="expression" dxfId="2396" priority="777">
      <formula>AND(IF($Q116=2,1,0),IF($X116&lt;30,1,0))</formula>
    </cfRule>
    <cfRule type="expression" dxfId="2395" priority="778">
      <formula>AND(IF($Q116=3,1,0),IF($X116&lt;30,1,0))</formula>
    </cfRule>
    <cfRule type="expression" dxfId="2394" priority="779">
      <formula>AND(IF($Q116=3,1,IF($Q116=4,1,0)),IF($F116&lt;=85,1,0))</formula>
    </cfRule>
  </conditionalFormatting>
  <conditionalFormatting sqref="AI116">
    <cfRule type="expression" dxfId="2393" priority="772">
      <formula>AND(IF(OR($Q116=1,$Q116=2),1,0),IF($X116&lt;=20,1,0))</formula>
    </cfRule>
    <cfRule type="expression" dxfId="2392" priority="773">
      <formula>AND(IF($Q116=2,1,0),IF($X116&lt;30,1,0))</formula>
    </cfRule>
    <cfRule type="expression" dxfId="2391" priority="774">
      <formula>AND(IF($Q116=3,1,0),IF($X116&lt;30,1,0))</formula>
    </cfRule>
    <cfRule type="expression" dxfId="2390" priority="775">
      <formula>AND(IF($Q116=3,1,IF($Q116=4,1,0)),IF($F116&lt;=85,1,0))</formula>
    </cfRule>
  </conditionalFormatting>
  <conditionalFormatting sqref="AV117">
    <cfRule type="expression" dxfId="2389" priority="770">
      <formula>AV117="X"</formula>
    </cfRule>
    <cfRule type="expression" dxfId="2388" priority="771">
      <formula>AV117="후보"</formula>
    </cfRule>
  </conditionalFormatting>
  <conditionalFormatting sqref="Z117">
    <cfRule type="colorScale" priority="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2387" priority="767" operator="greaterThan">
      <formula>0.9</formula>
    </cfRule>
    <cfRule type="cellIs" dxfId="2386" priority="768" operator="greaterThan">
      <formula>0.85</formula>
    </cfRule>
  </conditionalFormatting>
  <conditionalFormatting sqref="N117">
    <cfRule type="cellIs" dxfId="2385" priority="765" operator="greaterThan">
      <formula>0.9</formula>
    </cfRule>
    <cfRule type="cellIs" dxfId="2384" priority="766" operator="greaterThan">
      <formula>0.85</formula>
    </cfRule>
  </conditionalFormatting>
  <conditionalFormatting sqref="E117">
    <cfRule type="expression" dxfId="2383" priority="761">
      <formula>AND(IF(OR($Q117=1,$Q117=2),1,0),IF($X117&lt;=20,1,0))</formula>
    </cfRule>
    <cfRule type="expression" dxfId="2382" priority="762">
      <formula>AND(IF($Q117=2,1,0),IF($X117&lt;30,1,0))</formula>
    </cfRule>
    <cfRule type="expression" dxfId="2381" priority="763">
      <formula>AND(IF($Q117=3,1,0),IF($X117&lt;30,1,0))</formula>
    </cfRule>
    <cfRule type="expression" dxfId="2380" priority="764">
      <formula>AND(IF($Q117=3,1,IF($Q117=4,1,0)),IF($F117&lt;=85,1,0))</formula>
    </cfRule>
  </conditionalFormatting>
  <conditionalFormatting sqref="X117">
    <cfRule type="expression" dxfId="2379" priority="757">
      <formula>AND(IF(OR($Q117=1,$Q117=2),1,0),IF($X117&lt;=20,1,0))</formula>
    </cfRule>
    <cfRule type="expression" dxfId="2378" priority="758">
      <formula>AND(IF($Q117=2,1,0),IF($X117&lt;30,1,0))</formula>
    </cfRule>
    <cfRule type="expression" dxfId="2377" priority="759">
      <formula>AND(IF($Q117=3,1,0),IF($X117&lt;30,1,0))</formula>
    </cfRule>
    <cfRule type="expression" dxfId="2376" priority="760">
      <formula>AND(IF($Q117=3,1,IF($Q117=4,1,0)),IF($F117&lt;=85,1,0))</formula>
    </cfRule>
  </conditionalFormatting>
  <conditionalFormatting sqref="AI117">
    <cfRule type="expression" dxfId="2375" priority="753">
      <formula>AND(IF(OR($Q117=1,$Q117=2),1,0),IF($X117&lt;=20,1,0))</formula>
    </cfRule>
    <cfRule type="expression" dxfId="2374" priority="754">
      <formula>AND(IF($Q117=2,1,0),IF($X117&lt;30,1,0))</formula>
    </cfRule>
    <cfRule type="expression" dxfId="2373" priority="755">
      <formula>AND(IF($Q117=3,1,0),IF($X117&lt;30,1,0))</formula>
    </cfRule>
    <cfRule type="expression" dxfId="2372" priority="756">
      <formula>AND(IF($Q117=3,1,IF($Q117=4,1,0)),IF($F117&lt;=85,1,0))</formula>
    </cfRule>
  </conditionalFormatting>
  <conditionalFormatting sqref="AV118">
    <cfRule type="expression" dxfId="2371" priority="751">
      <formula>AV118="X"</formula>
    </cfRule>
    <cfRule type="expression" dxfId="2370" priority="752">
      <formula>AV118="후보"</formula>
    </cfRule>
  </conditionalFormatting>
  <conditionalFormatting sqref="Z118">
    <cfRule type="colorScale" priority="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2369" priority="748" operator="greaterThan">
      <formula>0.9</formula>
    </cfRule>
    <cfRule type="cellIs" dxfId="2368" priority="749" operator="greaterThan">
      <formula>0.85</formula>
    </cfRule>
  </conditionalFormatting>
  <conditionalFormatting sqref="N118">
    <cfRule type="cellIs" dxfId="2367" priority="746" operator="greaterThan">
      <formula>0.9</formula>
    </cfRule>
    <cfRule type="cellIs" dxfId="2366" priority="747" operator="greaterThan">
      <formula>0.85</formula>
    </cfRule>
  </conditionalFormatting>
  <conditionalFormatting sqref="E118">
    <cfRule type="expression" dxfId="2365" priority="742">
      <formula>AND(IF(OR($Q118=1,$Q118=2),1,0),IF($X118&lt;=20,1,0))</formula>
    </cfRule>
    <cfRule type="expression" dxfId="2364" priority="743">
      <formula>AND(IF($Q118=2,1,0),IF($X118&lt;30,1,0))</formula>
    </cfRule>
    <cfRule type="expression" dxfId="2363" priority="744">
      <formula>AND(IF($Q118=3,1,0),IF($X118&lt;30,1,0))</formula>
    </cfRule>
    <cfRule type="expression" dxfId="2362" priority="745">
      <formula>AND(IF($Q118=3,1,IF($Q118=4,1,0)),IF($F118&lt;=85,1,0))</formula>
    </cfRule>
  </conditionalFormatting>
  <conditionalFormatting sqref="X118">
    <cfRule type="expression" dxfId="2361" priority="738">
      <formula>AND(IF(OR($Q118=1,$Q118=2),1,0),IF($X118&lt;=20,1,0))</formula>
    </cfRule>
    <cfRule type="expression" dxfId="2360" priority="739">
      <formula>AND(IF($Q118=2,1,0),IF($X118&lt;30,1,0))</formula>
    </cfRule>
    <cfRule type="expression" dxfId="2359" priority="740">
      <formula>AND(IF($Q118=3,1,0),IF($X118&lt;30,1,0))</formula>
    </cfRule>
    <cfRule type="expression" dxfId="2358" priority="741">
      <formula>AND(IF($Q118=3,1,IF($Q118=4,1,0)),IF($F118&lt;=85,1,0))</formula>
    </cfRule>
  </conditionalFormatting>
  <conditionalFormatting sqref="AI118">
    <cfRule type="expression" dxfId="2357" priority="734">
      <formula>AND(IF(OR($Q118=1,$Q118=2),1,0),IF($X118&lt;=20,1,0))</formula>
    </cfRule>
    <cfRule type="expression" dxfId="2356" priority="735">
      <formula>AND(IF($Q118=2,1,0),IF($X118&lt;30,1,0))</formula>
    </cfRule>
    <cfRule type="expression" dxfId="2355" priority="736">
      <formula>AND(IF($Q118=3,1,0),IF($X118&lt;30,1,0))</formula>
    </cfRule>
    <cfRule type="expression" dxfId="2354" priority="737">
      <formula>AND(IF($Q118=3,1,IF($Q118=4,1,0)),IF($F118&lt;=85,1,0))</formula>
    </cfRule>
  </conditionalFormatting>
  <conditionalFormatting sqref="AV119">
    <cfRule type="expression" dxfId="2353" priority="732">
      <formula>AV119="X"</formula>
    </cfRule>
    <cfRule type="expression" dxfId="2352" priority="733">
      <formula>AV119="후보"</formula>
    </cfRule>
  </conditionalFormatting>
  <conditionalFormatting sqref="Z119">
    <cfRule type="colorScale" priority="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2351" priority="729" operator="greaterThan">
      <formula>0.9</formula>
    </cfRule>
    <cfRule type="cellIs" dxfId="2350" priority="730" operator="greaterThan">
      <formula>0.85</formula>
    </cfRule>
  </conditionalFormatting>
  <conditionalFormatting sqref="N119">
    <cfRule type="cellIs" dxfId="2349" priority="727" operator="greaterThan">
      <formula>0.9</formula>
    </cfRule>
    <cfRule type="cellIs" dxfId="2348" priority="728" operator="greaterThan">
      <formula>0.85</formula>
    </cfRule>
  </conditionalFormatting>
  <conditionalFormatting sqref="E119">
    <cfRule type="expression" dxfId="2347" priority="723">
      <formula>AND(IF(OR($Q119=1,$Q119=2),1,0),IF($X119&lt;=20,1,0))</formula>
    </cfRule>
    <cfRule type="expression" dxfId="2346" priority="724">
      <formula>AND(IF($Q119=2,1,0),IF($X119&lt;30,1,0))</formula>
    </cfRule>
    <cfRule type="expression" dxfId="2345" priority="725">
      <formula>AND(IF($Q119=3,1,0),IF($X119&lt;30,1,0))</formula>
    </cfRule>
    <cfRule type="expression" dxfId="2344" priority="726">
      <formula>AND(IF($Q119=3,1,IF($Q119=4,1,0)),IF($F119&lt;=85,1,0))</formula>
    </cfRule>
  </conditionalFormatting>
  <conditionalFormatting sqref="X119">
    <cfRule type="expression" dxfId="2343" priority="719">
      <formula>AND(IF(OR($Q119=1,$Q119=2),1,0),IF($X119&lt;=20,1,0))</formula>
    </cfRule>
    <cfRule type="expression" dxfId="2342" priority="720">
      <formula>AND(IF($Q119=2,1,0),IF($X119&lt;30,1,0))</formula>
    </cfRule>
    <cfRule type="expression" dxfId="2341" priority="721">
      <formula>AND(IF($Q119=3,1,0),IF($X119&lt;30,1,0))</formula>
    </cfRule>
    <cfRule type="expression" dxfId="2340" priority="722">
      <formula>AND(IF($Q119=3,1,IF($Q119=4,1,0)),IF($F119&lt;=85,1,0))</formula>
    </cfRule>
  </conditionalFormatting>
  <conditionalFormatting sqref="AI119">
    <cfRule type="expression" dxfId="2339" priority="715">
      <formula>AND(IF(OR($Q119=1,$Q119=2),1,0),IF($X119&lt;=20,1,0))</formula>
    </cfRule>
    <cfRule type="expression" dxfId="2338" priority="716">
      <formula>AND(IF($Q119=2,1,0),IF($X119&lt;30,1,0))</formula>
    </cfRule>
    <cfRule type="expression" dxfId="2337" priority="717">
      <formula>AND(IF($Q119=3,1,0),IF($X119&lt;30,1,0))</formula>
    </cfRule>
    <cfRule type="expression" dxfId="2336" priority="718">
      <formula>AND(IF($Q119=3,1,IF($Q119=4,1,0)),IF($F119&lt;=85,1,0))</formula>
    </cfRule>
  </conditionalFormatting>
  <conditionalFormatting sqref="AV120">
    <cfRule type="expression" dxfId="2335" priority="713">
      <formula>AV120="X"</formula>
    </cfRule>
    <cfRule type="expression" dxfId="2334" priority="714">
      <formula>AV120="후보"</formula>
    </cfRule>
  </conditionalFormatting>
  <conditionalFormatting sqref="Z120">
    <cfRule type="colorScale" priority="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2333" priority="710" operator="greaterThan">
      <formula>0.9</formula>
    </cfRule>
    <cfRule type="cellIs" dxfId="2332" priority="711" operator="greaterThan">
      <formula>0.85</formula>
    </cfRule>
  </conditionalFormatting>
  <conditionalFormatting sqref="N120">
    <cfRule type="cellIs" dxfId="2331" priority="708" operator="greaterThan">
      <formula>0.9</formula>
    </cfRule>
    <cfRule type="cellIs" dxfId="2330" priority="709" operator="greaterThan">
      <formula>0.85</formula>
    </cfRule>
  </conditionalFormatting>
  <conditionalFormatting sqref="E120">
    <cfRule type="expression" dxfId="2329" priority="704">
      <formula>AND(IF(OR($Q120=1,$Q120=2),1,0),IF($X120&lt;=20,1,0))</formula>
    </cfRule>
    <cfRule type="expression" dxfId="2328" priority="705">
      <formula>AND(IF($Q120=2,1,0),IF($X120&lt;30,1,0))</formula>
    </cfRule>
    <cfRule type="expression" dxfId="2327" priority="706">
      <formula>AND(IF($Q120=3,1,0),IF($X120&lt;30,1,0))</formula>
    </cfRule>
    <cfRule type="expression" dxfId="2326" priority="707">
      <formula>AND(IF($Q120=3,1,IF($Q120=4,1,0)),IF($F120&lt;=85,1,0))</formula>
    </cfRule>
  </conditionalFormatting>
  <conditionalFormatting sqref="X120">
    <cfRule type="expression" dxfId="2325" priority="700">
      <formula>AND(IF(OR($Q120=1,$Q120=2),1,0),IF($X120&lt;=20,1,0))</formula>
    </cfRule>
    <cfRule type="expression" dxfId="2324" priority="701">
      <formula>AND(IF($Q120=2,1,0),IF($X120&lt;30,1,0))</formula>
    </cfRule>
    <cfRule type="expression" dxfId="2323" priority="702">
      <formula>AND(IF($Q120=3,1,0),IF($X120&lt;30,1,0))</formula>
    </cfRule>
    <cfRule type="expression" dxfId="2322" priority="703">
      <formula>AND(IF($Q120=3,1,IF($Q120=4,1,0)),IF($F120&lt;=85,1,0))</formula>
    </cfRule>
  </conditionalFormatting>
  <conditionalFormatting sqref="AI120">
    <cfRule type="expression" dxfId="2321" priority="696">
      <formula>AND(IF(OR($Q120=1,$Q120=2),1,0),IF($X120&lt;=20,1,0))</formula>
    </cfRule>
    <cfRule type="expression" dxfId="2320" priority="697">
      <formula>AND(IF($Q120=2,1,0),IF($X120&lt;30,1,0))</formula>
    </cfRule>
    <cfRule type="expression" dxfId="2319" priority="698">
      <formula>AND(IF($Q120=3,1,0),IF($X120&lt;30,1,0))</formula>
    </cfRule>
    <cfRule type="expression" dxfId="2318" priority="699">
      <formula>AND(IF($Q120=3,1,IF($Q120=4,1,0)),IF($F120&lt;=85,1,0))</formula>
    </cfRule>
  </conditionalFormatting>
  <conditionalFormatting sqref="AV121">
    <cfRule type="expression" dxfId="2317" priority="694">
      <formula>AV121="X"</formula>
    </cfRule>
    <cfRule type="expression" dxfId="2316" priority="695">
      <formula>AV121="후보"</formula>
    </cfRule>
  </conditionalFormatting>
  <conditionalFormatting sqref="Z121">
    <cfRule type="colorScale" priority="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2315" priority="691" operator="greaterThan">
      <formula>0.9</formula>
    </cfRule>
    <cfRule type="cellIs" dxfId="2314" priority="692" operator="greaterThan">
      <formula>0.85</formula>
    </cfRule>
  </conditionalFormatting>
  <conditionalFormatting sqref="N121">
    <cfRule type="cellIs" dxfId="2313" priority="689" operator="greaterThan">
      <formula>0.9</formula>
    </cfRule>
    <cfRule type="cellIs" dxfId="2312" priority="690" operator="greaterThan">
      <formula>0.85</formula>
    </cfRule>
  </conditionalFormatting>
  <conditionalFormatting sqref="E121">
    <cfRule type="expression" dxfId="2311" priority="685">
      <formula>AND(IF(OR($Q121=1,$Q121=2),1,0),IF($X121&lt;=20,1,0))</formula>
    </cfRule>
    <cfRule type="expression" dxfId="2310" priority="686">
      <formula>AND(IF($Q121=2,1,0),IF($X121&lt;30,1,0))</formula>
    </cfRule>
    <cfRule type="expression" dxfId="2309" priority="687">
      <formula>AND(IF($Q121=3,1,0),IF($X121&lt;30,1,0))</formula>
    </cfRule>
    <cfRule type="expression" dxfId="2308" priority="688">
      <formula>AND(IF($Q121=3,1,IF($Q121=4,1,0)),IF($F121&lt;=85,1,0))</formula>
    </cfRule>
  </conditionalFormatting>
  <conditionalFormatting sqref="X121">
    <cfRule type="expression" dxfId="2307" priority="681">
      <formula>AND(IF(OR($Q121=1,$Q121=2),1,0),IF($X121&lt;=20,1,0))</formula>
    </cfRule>
    <cfRule type="expression" dxfId="2306" priority="682">
      <formula>AND(IF($Q121=2,1,0),IF($X121&lt;30,1,0))</formula>
    </cfRule>
    <cfRule type="expression" dxfId="2305" priority="683">
      <formula>AND(IF($Q121=3,1,0),IF($X121&lt;30,1,0))</formula>
    </cfRule>
    <cfRule type="expression" dxfId="2304" priority="684">
      <formula>AND(IF($Q121=3,1,IF($Q121=4,1,0)),IF($F121&lt;=85,1,0))</formula>
    </cfRule>
  </conditionalFormatting>
  <conditionalFormatting sqref="AI121">
    <cfRule type="expression" dxfId="2303" priority="677">
      <formula>AND(IF(OR($Q121=1,$Q121=2),1,0),IF($X121&lt;=20,1,0))</formula>
    </cfRule>
    <cfRule type="expression" dxfId="2302" priority="678">
      <formula>AND(IF($Q121=2,1,0),IF($X121&lt;30,1,0))</formula>
    </cfRule>
    <cfRule type="expression" dxfId="2301" priority="679">
      <formula>AND(IF($Q121=3,1,0),IF($X121&lt;30,1,0))</formula>
    </cfRule>
    <cfRule type="expression" dxfId="2300" priority="680">
      <formula>AND(IF($Q121=3,1,IF($Q121=4,1,0)),IF($F121&lt;=85,1,0))</formula>
    </cfRule>
  </conditionalFormatting>
  <conditionalFormatting sqref="AV122">
    <cfRule type="expression" dxfId="2299" priority="675">
      <formula>AV122="X"</formula>
    </cfRule>
    <cfRule type="expression" dxfId="2298" priority="676">
      <formula>AV122="후보"</formula>
    </cfRule>
  </conditionalFormatting>
  <conditionalFormatting sqref="Z122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2297" priority="672" operator="greaterThan">
      <formula>0.9</formula>
    </cfRule>
    <cfRule type="cellIs" dxfId="2296" priority="673" operator="greaterThan">
      <formula>0.85</formula>
    </cfRule>
  </conditionalFormatting>
  <conditionalFormatting sqref="N122">
    <cfRule type="cellIs" dxfId="2295" priority="670" operator="greaterThan">
      <formula>0.9</formula>
    </cfRule>
    <cfRule type="cellIs" dxfId="2294" priority="671" operator="greaterThan">
      <formula>0.85</formula>
    </cfRule>
  </conditionalFormatting>
  <conditionalFormatting sqref="E122">
    <cfRule type="expression" dxfId="2293" priority="666">
      <formula>AND(IF(OR($Q122=1,$Q122=2),1,0),IF($X122&lt;=20,1,0))</formula>
    </cfRule>
    <cfRule type="expression" dxfId="2292" priority="667">
      <formula>AND(IF($Q122=2,1,0),IF($X122&lt;30,1,0))</formula>
    </cfRule>
    <cfRule type="expression" dxfId="2291" priority="668">
      <formula>AND(IF($Q122=3,1,0),IF($X122&lt;30,1,0))</formula>
    </cfRule>
    <cfRule type="expression" dxfId="2290" priority="669">
      <formula>AND(IF($Q122=3,1,IF($Q122=4,1,0)),IF($F122&lt;=85,1,0))</formula>
    </cfRule>
  </conditionalFormatting>
  <conditionalFormatting sqref="X122">
    <cfRule type="expression" dxfId="2289" priority="662">
      <formula>AND(IF(OR($Q122=1,$Q122=2),1,0),IF($X122&lt;=20,1,0))</formula>
    </cfRule>
    <cfRule type="expression" dxfId="2288" priority="663">
      <formula>AND(IF($Q122=2,1,0),IF($X122&lt;30,1,0))</formula>
    </cfRule>
    <cfRule type="expression" dxfId="2287" priority="664">
      <formula>AND(IF($Q122=3,1,0),IF($X122&lt;30,1,0))</formula>
    </cfRule>
    <cfRule type="expression" dxfId="2286" priority="665">
      <formula>AND(IF($Q122=3,1,IF($Q122=4,1,0)),IF($F122&lt;=85,1,0))</formula>
    </cfRule>
  </conditionalFormatting>
  <conditionalFormatting sqref="AI122">
    <cfRule type="expression" dxfId="2285" priority="658">
      <formula>AND(IF(OR($Q122=1,$Q122=2),1,0),IF($X122&lt;=20,1,0))</formula>
    </cfRule>
    <cfRule type="expression" dxfId="2284" priority="659">
      <formula>AND(IF($Q122=2,1,0),IF($X122&lt;30,1,0))</formula>
    </cfRule>
    <cfRule type="expression" dxfId="2283" priority="660">
      <formula>AND(IF($Q122=3,1,0),IF($X122&lt;30,1,0))</formula>
    </cfRule>
    <cfRule type="expression" dxfId="2282" priority="661">
      <formula>AND(IF($Q122=3,1,IF($Q122=4,1,0)),IF($F122&lt;=85,1,0))</formula>
    </cfRule>
  </conditionalFormatting>
  <conditionalFormatting sqref="AV123">
    <cfRule type="expression" dxfId="2281" priority="656">
      <formula>AV123="X"</formula>
    </cfRule>
    <cfRule type="expression" dxfId="2280" priority="657">
      <formula>AV123="후보"</formula>
    </cfRule>
  </conditionalFormatting>
  <conditionalFormatting sqref="Z123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2279" priority="653" operator="greaterThan">
      <formula>0.9</formula>
    </cfRule>
    <cfRule type="cellIs" dxfId="2278" priority="654" operator="greaterThan">
      <formula>0.85</formula>
    </cfRule>
  </conditionalFormatting>
  <conditionalFormatting sqref="N123">
    <cfRule type="cellIs" dxfId="2277" priority="651" operator="greaterThan">
      <formula>0.9</formula>
    </cfRule>
    <cfRule type="cellIs" dxfId="2276" priority="652" operator="greaterThan">
      <formula>0.85</formula>
    </cfRule>
  </conditionalFormatting>
  <conditionalFormatting sqref="E123">
    <cfRule type="expression" dxfId="2275" priority="647">
      <formula>AND(IF(OR($Q123=1,$Q123=2),1,0),IF($X123&lt;=20,1,0))</formula>
    </cfRule>
    <cfRule type="expression" dxfId="2274" priority="648">
      <formula>AND(IF($Q123=2,1,0),IF($X123&lt;30,1,0))</formula>
    </cfRule>
    <cfRule type="expression" dxfId="2273" priority="649">
      <formula>AND(IF($Q123=3,1,0),IF($X123&lt;30,1,0))</formula>
    </cfRule>
    <cfRule type="expression" dxfId="2272" priority="650">
      <formula>AND(IF($Q123=3,1,IF($Q123=4,1,0)),IF($F123&lt;=85,1,0))</formula>
    </cfRule>
  </conditionalFormatting>
  <conditionalFormatting sqref="X123">
    <cfRule type="expression" dxfId="2271" priority="643">
      <formula>AND(IF(OR($Q123=1,$Q123=2),1,0),IF($X123&lt;=20,1,0))</formula>
    </cfRule>
    <cfRule type="expression" dxfId="2270" priority="644">
      <formula>AND(IF($Q123=2,1,0),IF($X123&lt;30,1,0))</formula>
    </cfRule>
    <cfRule type="expression" dxfId="2269" priority="645">
      <formula>AND(IF($Q123=3,1,0),IF($X123&lt;30,1,0))</formula>
    </cfRule>
    <cfRule type="expression" dxfId="2268" priority="646">
      <formula>AND(IF($Q123=3,1,IF($Q123=4,1,0)),IF($F123&lt;=85,1,0))</formula>
    </cfRule>
  </conditionalFormatting>
  <conditionalFormatting sqref="AI123">
    <cfRule type="expression" dxfId="2267" priority="639">
      <formula>AND(IF(OR($Q123=1,$Q123=2),1,0),IF($X123&lt;=20,1,0))</formula>
    </cfRule>
    <cfRule type="expression" dxfId="2266" priority="640">
      <formula>AND(IF($Q123=2,1,0),IF($X123&lt;30,1,0))</formula>
    </cfRule>
    <cfRule type="expression" dxfId="2265" priority="641">
      <formula>AND(IF($Q123=3,1,0),IF($X123&lt;30,1,0))</formula>
    </cfRule>
    <cfRule type="expression" dxfId="2264" priority="642">
      <formula>AND(IF($Q123=3,1,IF($Q123=4,1,0)),IF($F123&lt;=85,1,0))</formula>
    </cfRule>
  </conditionalFormatting>
  <conditionalFormatting sqref="AV124">
    <cfRule type="expression" dxfId="2263" priority="637">
      <formula>AV124="X"</formula>
    </cfRule>
    <cfRule type="expression" dxfId="2262" priority="638">
      <formula>AV124="후보"</formula>
    </cfRule>
  </conditionalFormatting>
  <conditionalFormatting sqref="Z124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 N124">
    <cfRule type="cellIs" dxfId="2261" priority="634" operator="greaterThan">
      <formula>0.9</formula>
    </cfRule>
    <cfRule type="cellIs" dxfId="2260" priority="635" operator="greaterThan">
      <formula>0.85</formula>
    </cfRule>
  </conditionalFormatting>
  <conditionalFormatting sqref="AV125">
    <cfRule type="expression" dxfId="2259" priority="632">
      <formula>AV125="X"</formula>
    </cfRule>
    <cfRule type="expression" dxfId="2258" priority="633">
      <formula>AV125="후보"</formula>
    </cfRule>
  </conditionalFormatting>
  <conditionalFormatting sqref="Z125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2257" priority="629" operator="greaterThan">
      <formula>0.9</formula>
    </cfRule>
    <cfRule type="cellIs" dxfId="2256" priority="630" operator="greaterThan">
      <formula>0.85</formula>
    </cfRule>
  </conditionalFormatting>
  <conditionalFormatting sqref="N125">
    <cfRule type="cellIs" dxfId="2255" priority="627" operator="greaterThan">
      <formula>0.9</formula>
    </cfRule>
    <cfRule type="cellIs" dxfId="2254" priority="628" operator="greaterThan">
      <formula>0.85</formula>
    </cfRule>
  </conditionalFormatting>
  <conditionalFormatting sqref="E125">
    <cfRule type="expression" dxfId="2253" priority="623">
      <formula>AND(IF(OR($Q125=1,$Q125=2),1,0),IF($X125&lt;=20,1,0))</formula>
    </cfRule>
    <cfRule type="expression" dxfId="2252" priority="624">
      <formula>AND(IF($Q125=2,1,0),IF($X125&lt;30,1,0))</formula>
    </cfRule>
    <cfRule type="expression" dxfId="2251" priority="625">
      <formula>AND(IF($Q125=3,1,0),IF($X125&lt;30,1,0))</formula>
    </cfRule>
    <cfRule type="expression" dxfId="2250" priority="626">
      <formula>AND(IF($Q125=3,1,IF($Q125=4,1,0)),IF($F125&lt;=85,1,0))</formula>
    </cfRule>
  </conditionalFormatting>
  <conditionalFormatting sqref="X125">
    <cfRule type="expression" dxfId="2249" priority="619">
      <formula>AND(IF(OR($Q125=1,$Q125=2),1,0),IF($X125&lt;=20,1,0))</formula>
    </cfRule>
    <cfRule type="expression" dxfId="2248" priority="620">
      <formula>AND(IF($Q125=2,1,0),IF($X125&lt;30,1,0))</formula>
    </cfRule>
    <cfRule type="expression" dxfId="2247" priority="621">
      <formula>AND(IF($Q125=3,1,0),IF($X125&lt;30,1,0))</formula>
    </cfRule>
    <cfRule type="expression" dxfId="2246" priority="622">
      <formula>AND(IF($Q125=3,1,IF($Q125=4,1,0)),IF($F125&lt;=85,1,0))</formula>
    </cfRule>
  </conditionalFormatting>
  <conditionalFormatting sqref="AI125">
    <cfRule type="expression" dxfId="2245" priority="615">
      <formula>AND(IF(OR($Q125=1,$Q125=2),1,0),IF($X125&lt;=20,1,0))</formula>
    </cfRule>
    <cfRule type="expression" dxfId="2244" priority="616">
      <formula>AND(IF($Q125=2,1,0),IF($X125&lt;30,1,0))</formula>
    </cfRule>
    <cfRule type="expression" dxfId="2243" priority="617">
      <formula>AND(IF($Q125=3,1,0),IF($X125&lt;30,1,0))</formula>
    </cfRule>
    <cfRule type="expression" dxfId="2242" priority="618">
      <formula>AND(IF($Q125=3,1,IF($Q125=4,1,0)),IF($F125&lt;=85,1,0))</formula>
    </cfRule>
  </conditionalFormatting>
  <conditionalFormatting sqref="AV126">
    <cfRule type="expression" dxfId="2241" priority="613">
      <formula>AV126="X"</formula>
    </cfRule>
    <cfRule type="expression" dxfId="2240" priority="614">
      <formula>AV126="후보"</formula>
    </cfRule>
  </conditionalFormatting>
  <conditionalFormatting sqref="Z126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2239" priority="610" operator="greaterThan">
      <formula>0.9</formula>
    </cfRule>
    <cfRule type="cellIs" dxfId="2238" priority="611" operator="greaterThan">
      <formula>0.85</formula>
    </cfRule>
  </conditionalFormatting>
  <conditionalFormatting sqref="N126">
    <cfRule type="cellIs" dxfId="2237" priority="608" operator="greaterThan">
      <formula>0.9</formula>
    </cfRule>
    <cfRule type="cellIs" dxfId="2236" priority="609" operator="greaterThan">
      <formula>0.85</formula>
    </cfRule>
  </conditionalFormatting>
  <conditionalFormatting sqref="E126">
    <cfRule type="expression" dxfId="2235" priority="604">
      <formula>AND(IF(OR($Q126=1,$Q126=2),1,0),IF($X126&lt;=20,1,0))</formula>
    </cfRule>
    <cfRule type="expression" dxfId="2234" priority="605">
      <formula>AND(IF($Q126=2,1,0),IF($X126&lt;30,1,0))</formula>
    </cfRule>
    <cfRule type="expression" dxfId="2233" priority="606">
      <formula>AND(IF($Q126=3,1,0),IF($X126&lt;30,1,0))</formula>
    </cfRule>
    <cfRule type="expression" dxfId="2232" priority="607">
      <formula>AND(IF($Q126=3,1,IF($Q126=4,1,0)),IF($F126&lt;=85,1,0))</formula>
    </cfRule>
  </conditionalFormatting>
  <conditionalFormatting sqref="X126">
    <cfRule type="expression" dxfId="2231" priority="600">
      <formula>AND(IF(OR($Q126=1,$Q126=2),1,0),IF($X126&lt;=20,1,0))</formula>
    </cfRule>
    <cfRule type="expression" dxfId="2230" priority="601">
      <formula>AND(IF($Q126=2,1,0),IF($X126&lt;30,1,0))</formula>
    </cfRule>
    <cfRule type="expression" dxfId="2229" priority="602">
      <formula>AND(IF($Q126=3,1,0),IF($X126&lt;30,1,0))</formula>
    </cfRule>
    <cfRule type="expression" dxfId="2228" priority="603">
      <formula>AND(IF($Q126=3,1,IF($Q126=4,1,0)),IF($F126&lt;=85,1,0))</formula>
    </cfRule>
  </conditionalFormatting>
  <conditionalFormatting sqref="AI126">
    <cfRule type="expression" dxfId="2227" priority="596">
      <formula>AND(IF(OR($Q126=1,$Q126=2),1,0),IF($X126&lt;=20,1,0))</formula>
    </cfRule>
    <cfRule type="expression" dxfId="2226" priority="597">
      <formula>AND(IF($Q126=2,1,0),IF($X126&lt;30,1,0))</formula>
    </cfRule>
    <cfRule type="expression" dxfId="2225" priority="598">
      <formula>AND(IF($Q126=3,1,0),IF($X126&lt;30,1,0))</formula>
    </cfRule>
    <cfRule type="expression" dxfId="2224" priority="599">
      <formula>AND(IF($Q126=3,1,IF($Q126=4,1,0)),IF($F126&lt;=85,1,0))</formula>
    </cfRule>
  </conditionalFormatting>
  <conditionalFormatting sqref="AV127">
    <cfRule type="expression" dxfId="2223" priority="594">
      <formula>AV127="X"</formula>
    </cfRule>
    <cfRule type="expression" dxfId="2222" priority="595">
      <formula>AV127="후보"</formula>
    </cfRule>
  </conditionalFormatting>
  <conditionalFormatting sqref="Z127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2221" priority="591" operator="greaterThan">
      <formula>0.9</formula>
    </cfRule>
    <cfRule type="cellIs" dxfId="2220" priority="592" operator="greaterThan">
      <formula>0.85</formula>
    </cfRule>
  </conditionalFormatting>
  <conditionalFormatting sqref="N127">
    <cfRule type="cellIs" dxfId="2219" priority="589" operator="greaterThan">
      <formula>0.9</formula>
    </cfRule>
    <cfRule type="cellIs" dxfId="2218" priority="590" operator="greaterThan">
      <formula>0.85</formula>
    </cfRule>
  </conditionalFormatting>
  <conditionalFormatting sqref="E127">
    <cfRule type="expression" dxfId="2217" priority="585">
      <formula>AND(IF(OR($Q127=1,$Q127=2),1,0),IF($X127&lt;=20,1,0))</formula>
    </cfRule>
    <cfRule type="expression" dxfId="2216" priority="586">
      <formula>AND(IF($Q127=2,1,0),IF($X127&lt;30,1,0))</formula>
    </cfRule>
    <cfRule type="expression" dxfId="2215" priority="587">
      <formula>AND(IF($Q127=3,1,0),IF($X127&lt;30,1,0))</formula>
    </cfRule>
    <cfRule type="expression" dxfId="2214" priority="588">
      <formula>AND(IF($Q127=3,1,IF($Q127=4,1,0)),IF($F127&lt;=85,1,0))</formula>
    </cfRule>
  </conditionalFormatting>
  <conditionalFormatting sqref="X127">
    <cfRule type="expression" dxfId="2213" priority="581">
      <formula>AND(IF(OR($Q127=1,$Q127=2),1,0),IF($X127&lt;=20,1,0))</formula>
    </cfRule>
    <cfRule type="expression" dxfId="2212" priority="582">
      <formula>AND(IF($Q127=2,1,0),IF($X127&lt;30,1,0))</formula>
    </cfRule>
    <cfRule type="expression" dxfId="2211" priority="583">
      <formula>AND(IF($Q127=3,1,0),IF($X127&lt;30,1,0))</formula>
    </cfRule>
    <cfRule type="expression" dxfId="2210" priority="584">
      <formula>AND(IF($Q127=3,1,IF($Q127=4,1,0)),IF($F127&lt;=85,1,0))</formula>
    </cfRule>
  </conditionalFormatting>
  <conditionalFormatting sqref="AI127">
    <cfRule type="expression" dxfId="2209" priority="577">
      <formula>AND(IF(OR($Q127=1,$Q127=2),1,0),IF($X127&lt;=20,1,0))</formula>
    </cfRule>
    <cfRule type="expression" dxfId="2208" priority="578">
      <formula>AND(IF($Q127=2,1,0),IF($X127&lt;30,1,0))</formula>
    </cfRule>
    <cfRule type="expression" dxfId="2207" priority="579">
      <formula>AND(IF($Q127=3,1,0),IF($X127&lt;30,1,0))</formula>
    </cfRule>
    <cfRule type="expression" dxfId="2206" priority="580">
      <formula>AND(IF($Q127=3,1,IF($Q127=4,1,0)),IF($F127&lt;=85,1,0))</formula>
    </cfRule>
  </conditionalFormatting>
  <conditionalFormatting sqref="AV128">
    <cfRule type="expression" dxfId="2205" priority="575">
      <formula>AV128="X"</formula>
    </cfRule>
    <cfRule type="expression" dxfId="2204" priority="576">
      <formula>AV128="후보"</formula>
    </cfRule>
  </conditionalFormatting>
  <conditionalFormatting sqref="Z128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2203" priority="572" operator="greaterThan">
      <formula>0.9</formula>
    </cfRule>
    <cfRule type="cellIs" dxfId="2202" priority="573" operator="greaterThan">
      <formula>0.85</formula>
    </cfRule>
  </conditionalFormatting>
  <conditionalFormatting sqref="AV129">
    <cfRule type="expression" dxfId="2201" priority="570">
      <formula>AV129="X"</formula>
    </cfRule>
    <cfRule type="expression" dxfId="2200" priority="571">
      <formula>AV129="후보"</formula>
    </cfRule>
  </conditionalFormatting>
  <conditionalFormatting sqref="Z129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2199" priority="567" operator="greaterThan">
      <formula>0.9</formula>
    </cfRule>
    <cfRule type="cellIs" dxfId="2198" priority="568" operator="greaterThan">
      <formula>0.85</formula>
    </cfRule>
  </conditionalFormatting>
  <conditionalFormatting sqref="N129">
    <cfRule type="cellIs" dxfId="2197" priority="565" operator="greaterThan">
      <formula>0.9</formula>
    </cfRule>
    <cfRule type="cellIs" dxfId="2196" priority="566" operator="greaterThan">
      <formula>0.85</formula>
    </cfRule>
  </conditionalFormatting>
  <conditionalFormatting sqref="E129">
    <cfRule type="expression" dxfId="2195" priority="561">
      <formula>AND(IF(OR($Q129=1,$Q129=2),1,0),IF($X129&lt;=20,1,0))</formula>
    </cfRule>
    <cfRule type="expression" dxfId="2194" priority="562">
      <formula>AND(IF($Q129=2,1,0),IF($X129&lt;30,1,0))</formula>
    </cfRule>
    <cfRule type="expression" dxfId="2193" priority="563">
      <formula>AND(IF($Q129=3,1,0),IF($X129&lt;30,1,0))</formula>
    </cfRule>
    <cfRule type="expression" dxfId="2192" priority="564">
      <formula>AND(IF($Q129=3,1,IF($Q129=4,1,0)),IF($F129&lt;=85,1,0))</formula>
    </cfRule>
  </conditionalFormatting>
  <conditionalFormatting sqref="X129">
    <cfRule type="expression" dxfId="2191" priority="557">
      <formula>AND(IF(OR($Q129=1,$Q129=2),1,0),IF($X129&lt;=20,1,0))</formula>
    </cfRule>
    <cfRule type="expression" dxfId="2190" priority="558">
      <formula>AND(IF($Q129=2,1,0),IF($X129&lt;30,1,0))</formula>
    </cfRule>
    <cfRule type="expression" dxfId="2189" priority="559">
      <formula>AND(IF($Q129=3,1,0),IF($X129&lt;30,1,0))</formula>
    </cfRule>
    <cfRule type="expression" dxfId="2188" priority="560">
      <formula>AND(IF($Q129=3,1,IF($Q129=4,1,0)),IF($F129&lt;=85,1,0))</formula>
    </cfRule>
  </conditionalFormatting>
  <conditionalFormatting sqref="AI129">
    <cfRule type="expression" dxfId="2187" priority="553">
      <formula>AND(IF(OR($Q129=1,$Q129=2),1,0),IF($X129&lt;=20,1,0))</formula>
    </cfRule>
    <cfRule type="expression" dxfId="2186" priority="554">
      <formula>AND(IF($Q129=2,1,0),IF($X129&lt;30,1,0))</formula>
    </cfRule>
    <cfRule type="expression" dxfId="2185" priority="555">
      <formula>AND(IF($Q129=3,1,0),IF($X129&lt;30,1,0))</formula>
    </cfRule>
    <cfRule type="expression" dxfId="2184" priority="556">
      <formula>AND(IF($Q129=3,1,IF($Q129=4,1,0)),IF($F129&lt;=85,1,0))</formula>
    </cfRule>
  </conditionalFormatting>
  <conditionalFormatting sqref="AV130">
    <cfRule type="expression" dxfId="2183" priority="551">
      <formula>AV130="X"</formula>
    </cfRule>
    <cfRule type="expression" dxfId="2182" priority="552">
      <formula>AV130="후보"</formula>
    </cfRule>
  </conditionalFormatting>
  <conditionalFormatting sqref="Z130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2181" priority="548" operator="greaterThan">
      <formula>0.9</formula>
    </cfRule>
    <cfRule type="cellIs" dxfId="2180" priority="549" operator="greaterThan">
      <formula>0.85</formula>
    </cfRule>
  </conditionalFormatting>
  <conditionalFormatting sqref="N130">
    <cfRule type="cellIs" dxfId="2179" priority="546" operator="greaterThan">
      <formula>0.9</formula>
    </cfRule>
    <cfRule type="cellIs" dxfId="2178" priority="547" operator="greaterThan">
      <formula>0.85</formula>
    </cfRule>
  </conditionalFormatting>
  <conditionalFormatting sqref="E130">
    <cfRule type="expression" dxfId="2177" priority="542">
      <formula>AND(IF(OR($Q130=1,$Q130=2),1,0),IF($X130&lt;=20,1,0))</formula>
    </cfRule>
    <cfRule type="expression" dxfId="2176" priority="543">
      <formula>AND(IF($Q130=2,1,0),IF($X130&lt;30,1,0))</formula>
    </cfRule>
    <cfRule type="expression" dxfId="2175" priority="544">
      <formula>AND(IF($Q130=3,1,0),IF($X130&lt;30,1,0))</formula>
    </cfRule>
    <cfRule type="expression" dxfId="2174" priority="545">
      <formula>AND(IF($Q130=3,1,IF($Q130=4,1,0)),IF($F130&lt;=85,1,0))</formula>
    </cfRule>
  </conditionalFormatting>
  <conditionalFormatting sqref="X130">
    <cfRule type="expression" dxfId="2173" priority="538">
      <formula>AND(IF(OR($Q130=1,$Q130=2),1,0),IF($X130&lt;=20,1,0))</formula>
    </cfRule>
    <cfRule type="expression" dxfId="2172" priority="539">
      <formula>AND(IF($Q130=2,1,0),IF($X130&lt;30,1,0))</formula>
    </cfRule>
    <cfRule type="expression" dxfId="2171" priority="540">
      <formula>AND(IF($Q130=3,1,0),IF($X130&lt;30,1,0))</formula>
    </cfRule>
    <cfRule type="expression" dxfId="2170" priority="541">
      <formula>AND(IF($Q130=3,1,IF($Q130=4,1,0)),IF($F130&lt;=85,1,0))</formula>
    </cfRule>
  </conditionalFormatting>
  <conditionalFormatting sqref="AI130">
    <cfRule type="expression" dxfId="2169" priority="534">
      <formula>AND(IF(OR($Q130=1,$Q130=2),1,0),IF($X130&lt;=20,1,0))</formula>
    </cfRule>
    <cfRule type="expression" dxfId="2168" priority="535">
      <formula>AND(IF($Q130=2,1,0),IF($X130&lt;30,1,0))</formula>
    </cfRule>
    <cfRule type="expression" dxfId="2167" priority="536">
      <formula>AND(IF($Q130=3,1,0),IF($X130&lt;30,1,0))</formula>
    </cfRule>
    <cfRule type="expression" dxfId="2166" priority="537">
      <formula>AND(IF($Q130=3,1,IF($Q130=4,1,0)),IF($F130&lt;=85,1,0))</formula>
    </cfRule>
  </conditionalFormatting>
  <conditionalFormatting sqref="AV131">
    <cfRule type="expression" dxfId="2165" priority="532">
      <formula>AV131="X"</formula>
    </cfRule>
    <cfRule type="expression" dxfId="2164" priority="533">
      <formula>AV131="후보"</formula>
    </cfRule>
  </conditionalFormatting>
  <conditionalFormatting sqref="Z131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2163" priority="529" operator="greaterThan">
      <formula>0.9</formula>
    </cfRule>
    <cfRule type="cellIs" dxfId="2162" priority="530" operator="greaterThan">
      <formula>0.85</formula>
    </cfRule>
  </conditionalFormatting>
  <conditionalFormatting sqref="N131">
    <cfRule type="cellIs" dxfId="2161" priority="527" operator="greaterThan">
      <formula>0.9</formula>
    </cfRule>
    <cfRule type="cellIs" dxfId="2160" priority="528" operator="greaterThan">
      <formula>0.85</formula>
    </cfRule>
  </conditionalFormatting>
  <conditionalFormatting sqref="E131">
    <cfRule type="expression" dxfId="2159" priority="523">
      <formula>AND(IF(OR($Q131=1,$Q131=2),1,0),IF($X131&lt;=20,1,0))</formula>
    </cfRule>
    <cfRule type="expression" dxfId="2158" priority="524">
      <formula>AND(IF($Q131=2,1,0),IF($X131&lt;30,1,0))</formula>
    </cfRule>
    <cfRule type="expression" dxfId="2157" priority="525">
      <formula>AND(IF($Q131=3,1,0),IF($X131&lt;30,1,0))</formula>
    </cfRule>
    <cfRule type="expression" dxfId="2156" priority="526">
      <formula>AND(IF($Q131=3,1,IF($Q131=4,1,0)),IF($F131&lt;=85,1,0))</formula>
    </cfRule>
  </conditionalFormatting>
  <conditionalFormatting sqref="X131">
    <cfRule type="expression" dxfId="2155" priority="519">
      <formula>AND(IF(OR($Q131=1,$Q131=2),1,0),IF($X131&lt;=20,1,0))</formula>
    </cfRule>
    <cfRule type="expression" dxfId="2154" priority="520">
      <formula>AND(IF($Q131=2,1,0),IF($X131&lt;30,1,0))</formula>
    </cfRule>
    <cfRule type="expression" dxfId="2153" priority="521">
      <formula>AND(IF($Q131=3,1,0),IF($X131&lt;30,1,0))</formula>
    </cfRule>
    <cfRule type="expression" dxfId="2152" priority="522">
      <formula>AND(IF($Q131=3,1,IF($Q131=4,1,0)),IF($F131&lt;=85,1,0))</formula>
    </cfRule>
  </conditionalFormatting>
  <conditionalFormatting sqref="AI131">
    <cfRule type="expression" dxfId="2151" priority="515">
      <formula>AND(IF(OR($Q131=1,$Q131=2),1,0),IF($X131&lt;=20,1,0))</formula>
    </cfRule>
    <cfRule type="expression" dxfId="2150" priority="516">
      <formula>AND(IF($Q131=2,1,0),IF($X131&lt;30,1,0))</formula>
    </cfRule>
    <cfRule type="expression" dxfId="2149" priority="517">
      <formula>AND(IF($Q131=3,1,0),IF($X131&lt;30,1,0))</formula>
    </cfRule>
    <cfRule type="expression" dxfId="2148" priority="518">
      <formula>AND(IF($Q131=3,1,IF($Q131=4,1,0)),IF($F131&lt;=85,1,0))</formula>
    </cfRule>
  </conditionalFormatting>
  <conditionalFormatting sqref="AV132">
    <cfRule type="expression" dxfId="2147" priority="513">
      <formula>AV132="X"</formula>
    </cfRule>
    <cfRule type="expression" dxfId="2146" priority="514">
      <formula>AV132="후보"</formula>
    </cfRule>
  </conditionalFormatting>
  <conditionalFormatting sqref="Z132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2145" priority="510" operator="greaterThan">
      <formula>0.9</formula>
    </cfRule>
    <cfRule type="cellIs" dxfId="2144" priority="511" operator="greaterThan">
      <formula>0.85</formula>
    </cfRule>
  </conditionalFormatting>
  <conditionalFormatting sqref="N132">
    <cfRule type="cellIs" dxfId="2143" priority="508" operator="greaterThan">
      <formula>0.9</formula>
    </cfRule>
    <cfRule type="cellIs" dxfId="2142" priority="509" operator="greaterThan">
      <formula>0.85</formula>
    </cfRule>
  </conditionalFormatting>
  <conditionalFormatting sqref="E132">
    <cfRule type="expression" dxfId="2141" priority="504">
      <formula>AND(IF(OR($Q132=1,$Q132=2),1,0),IF($X132&lt;=20,1,0))</formula>
    </cfRule>
    <cfRule type="expression" dxfId="2140" priority="505">
      <formula>AND(IF($Q132=2,1,0),IF($X132&lt;30,1,0))</formula>
    </cfRule>
    <cfRule type="expression" dxfId="2139" priority="506">
      <formula>AND(IF($Q132=3,1,0),IF($X132&lt;30,1,0))</formula>
    </cfRule>
    <cfRule type="expression" dxfId="2138" priority="507">
      <formula>AND(IF($Q132=3,1,IF($Q132=4,1,0)),IF($F132&lt;=85,1,0))</formula>
    </cfRule>
  </conditionalFormatting>
  <conditionalFormatting sqref="X132">
    <cfRule type="expression" dxfId="2137" priority="500">
      <formula>AND(IF(OR($Q132=1,$Q132=2),1,0),IF($X132&lt;=20,1,0))</formula>
    </cfRule>
    <cfRule type="expression" dxfId="2136" priority="501">
      <formula>AND(IF($Q132=2,1,0),IF($X132&lt;30,1,0))</formula>
    </cfRule>
    <cfRule type="expression" dxfId="2135" priority="502">
      <formula>AND(IF($Q132=3,1,0),IF($X132&lt;30,1,0))</formula>
    </cfRule>
    <cfRule type="expression" dxfId="2134" priority="503">
      <formula>AND(IF($Q132=3,1,IF($Q132=4,1,0)),IF($F132&lt;=85,1,0))</formula>
    </cfRule>
  </conditionalFormatting>
  <conditionalFormatting sqref="AI132">
    <cfRule type="expression" dxfId="2133" priority="496">
      <formula>AND(IF(OR($Q132=1,$Q132=2),1,0),IF($X132&lt;=20,1,0))</formula>
    </cfRule>
    <cfRule type="expression" dxfId="2132" priority="497">
      <formula>AND(IF($Q132=2,1,0),IF($X132&lt;30,1,0))</formula>
    </cfRule>
    <cfRule type="expression" dxfId="2131" priority="498">
      <formula>AND(IF($Q132=3,1,0),IF($X132&lt;30,1,0))</formula>
    </cfRule>
    <cfRule type="expression" dxfId="2130" priority="499">
      <formula>AND(IF($Q132=3,1,IF($Q132=4,1,0)),IF($F132&lt;=85,1,0))</formula>
    </cfRule>
  </conditionalFormatting>
  <conditionalFormatting sqref="AV133">
    <cfRule type="expression" dxfId="2129" priority="494">
      <formula>AV133="X"</formula>
    </cfRule>
    <cfRule type="expression" dxfId="2128" priority="495">
      <formula>AV133="후보"</formula>
    </cfRule>
  </conditionalFormatting>
  <conditionalFormatting sqref="Z133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 N133">
    <cfRule type="cellIs" dxfId="2127" priority="491" operator="greaterThan">
      <formula>0.9</formula>
    </cfRule>
    <cfRule type="cellIs" dxfId="2126" priority="492" operator="greaterThan">
      <formula>0.85</formula>
    </cfRule>
  </conditionalFormatting>
  <conditionalFormatting sqref="AV134">
    <cfRule type="expression" dxfId="2125" priority="489">
      <formula>AV134="X"</formula>
    </cfRule>
    <cfRule type="expression" dxfId="2124" priority="490">
      <formula>AV134="후보"</formula>
    </cfRule>
  </conditionalFormatting>
  <conditionalFormatting sqref="Z134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2123" priority="486" operator="greaterThan">
      <formula>0.9</formula>
    </cfRule>
    <cfRule type="cellIs" dxfId="2122" priority="487" operator="greaterThan">
      <formula>0.85</formula>
    </cfRule>
  </conditionalFormatting>
  <conditionalFormatting sqref="N134">
    <cfRule type="cellIs" dxfId="2121" priority="484" operator="greaterThan">
      <formula>0.9</formula>
    </cfRule>
    <cfRule type="cellIs" dxfId="2120" priority="485" operator="greaterThan">
      <formula>0.85</formula>
    </cfRule>
  </conditionalFormatting>
  <conditionalFormatting sqref="E134">
    <cfRule type="expression" dxfId="2119" priority="480">
      <formula>AND(IF(OR($Q134=1,$Q134=2),1,0),IF($X134&lt;=20,1,0))</formula>
    </cfRule>
    <cfRule type="expression" dxfId="2118" priority="481">
      <formula>AND(IF($Q134=2,1,0),IF($X134&lt;30,1,0))</formula>
    </cfRule>
    <cfRule type="expression" dxfId="2117" priority="482">
      <formula>AND(IF($Q134=3,1,0),IF($X134&lt;30,1,0))</formula>
    </cfRule>
    <cfRule type="expression" dxfId="2116" priority="483">
      <formula>AND(IF($Q134=3,1,IF($Q134=4,1,0)),IF($F134&lt;=85,1,0))</formula>
    </cfRule>
  </conditionalFormatting>
  <conditionalFormatting sqref="X134">
    <cfRule type="expression" dxfId="2115" priority="476">
      <formula>AND(IF(OR($Q134=1,$Q134=2),1,0),IF($X134&lt;=20,1,0))</formula>
    </cfRule>
    <cfRule type="expression" dxfId="2114" priority="477">
      <formula>AND(IF($Q134=2,1,0),IF($X134&lt;30,1,0))</formula>
    </cfRule>
    <cfRule type="expression" dxfId="2113" priority="478">
      <formula>AND(IF($Q134=3,1,0),IF($X134&lt;30,1,0))</formula>
    </cfRule>
    <cfRule type="expression" dxfId="2112" priority="479">
      <formula>AND(IF($Q134=3,1,IF($Q134=4,1,0)),IF($F134&lt;=85,1,0))</formula>
    </cfRule>
  </conditionalFormatting>
  <conditionalFormatting sqref="AI134">
    <cfRule type="expression" dxfId="2111" priority="472">
      <formula>AND(IF(OR($Q134=1,$Q134=2),1,0),IF($X134&lt;=20,1,0))</formula>
    </cfRule>
    <cfRule type="expression" dxfId="2110" priority="473">
      <formula>AND(IF($Q134=2,1,0),IF($X134&lt;30,1,0))</formula>
    </cfRule>
    <cfRule type="expression" dxfId="2109" priority="474">
      <formula>AND(IF($Q134=3,1,0),IF($X134&lt;30,1,0))</formula>
    </cfRule>
    <cfRule type="expression" dxfId="2108" priority="475">
      <formula>AND(IF($Q134=3,1,IF($Q134=4,1,0)),IF($F134&lt;=85,1,0))</formula>
    </cfRule>
  </conditionalFormatting>
  <conditionalFormatting sqref="AV135">
    <cfRule type="expression" dxfId="2107" priority="470">
      <formula>AV135="X"</formula>
    </cfRule>
    <cfRule type="expression" dxfId="2106" priority="471">
      <formula>AV135="후보"</formula>
    </cfRule>
  </conditionalFormatting>
  <conditionalFormatting sqref="Z135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2105" priority="467" operator="greaterThan">
      <formula>0.9</formula>
    </cfRule>
    <cfRule type="cellIs" dxfId="2104" priority="468" operator="greaterThan">
      <formula>0.85</formula>
    </cfRule>
  </conditionalFormatting>
  <conditionalFormatting sqref="N135">
    <cfRule type="cellIs" dxfId="2103" priority="465" operator="greaterThan">
      <formula>0.9</formula>
    </cfRule>
    <cfRule type="cellIs" dxfId="2102" priority="466" operator="greaterThan">
      <formula>0.85</formula>
    </cfRule>
  </conditionalFormatting>
  <conditionalFormatting sqref="E135">
    <cfRule type="expression" dxfId="2101" priority="461">
      <formula>AND(IF(OR($Q135=1,$Q135=2),1,0),IF($X135&lt;=20,1,0))</formula>
    </cfRule>
    <cfRule type="expression" dxfId="2100" priority="462">
      <formula>AND(IF($Q135=2,1,0),IF($X135&lt;30,1,0))</formula>
    </cfRule>
    <cfRule type="expression" dxfId="2099" priority="463">
      <formula>AND(IF($Q135=3,1,0),IF($X135&lt;30,1,0))</formula>
    </cfRule>
    <cfRule type="expression" dxfId="2098" priority="464">
      <formula>AND(IF($Q135=3,1,IF($Q135=4,1,0)),IF($F135&lt;=85,1,0))</formula>
    </cfRule>
  </conditionalFormatting>
  <conditionalFormatting sqref="X135">
    <cfRule type="expression" dxfId="2097" priority="457">
      <formula>AND(IF(OR($Q135=1,$Q135=2),1,0),IF($X135&lt;=20,1,0))</formula>
    </cfRule>
    <cfRule type="expression" dxfId="2096" priority="458">
      <formula>AND(IF($Q135=2,1,0),IF($X135&lt;30,1,0))</formula>
    </cfRule>
    <cfRule type="expression" dxfId="2095" priority="459">
      <formula>AND(IF($Q135=3,1,0),IF($X135&lt;30,1,0))</formula>
    </cfRule>
    <cfRule type="expression" dxfId="2094" priority="460">
      <formula>AND(IF($Q135=3,1,IF($Q135=4,1,0)),IF($F135&lt;=85,1,0))</formula>
    </cfRule>
  </conditionalFormatting>
  <conditionalFormatting sqref="AI135">
    <cfRule type="expression" dxfId="2093" priority="453">
      <formula>AND(IF(OR($Q135=1,$Q135=2),1,0),IF($X135&lt;=20,1,0))</formula>
    </cfRule>
    <cfRule type="expression" dxfId="2092" priority="454">
      <formula>AND(IF($Q135=2,1,0),IF($X135&lt;30,1,0))</formula>
    </cfRule>
    <cfRule type="expression" dxfId="2091" priority="455">
      <formula>AND(IF($Q135=3,1,0),IF($X135&lt;30,1,0))</formula>
    </cfRule>
    <cfRule type="expression" dxfId="2090" priority="456">
      <formula>AND(IF($Q135=3,1,IF($Q135=4,1,0)),IF($F135&lt;=85,1,0))</formula>
    </cfRule>
  </conditionalFormatting>
  <conditionalFormatting sqref="AV136">
    <cfRule type="expression" dxfId="2089" priority="451">
      <formula>AV136="X"</formula>
    </cfRule>
    <cfRule type="expression" dxfId="2088" priority="452">
      <formula>AV136="후보"</formula>
    </cfRule>
  </conditionalFormatting>
  <conditionalFormatting sqref="Z136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2087" priority="448" operator="greaterThan">
      <formula>0.9</formula>
    </cfRule>
    <cfRule type="cellIs" dxfId="2086" priority="449" operator="greaterThan">
      <formula>0.85</formula>
    </cfRule>
  </conditionalFormatting>
  <conditionalFormatting sqref="N136">
    <cfRule type="cellIs" dxfId="2085" priority="446" operator="greaterThan">
      <formula>0.9</formula>
    </cfRule>
    <cfRule type="cellIs" dxfId="2084" priority="447" operator="greaterThan">
      <formula>0.85</formula>
    </cfRule>
  </conditionalFormatting>
  <conditionalFormatting sqref="E136">
    <cfRule type="expression" dxfId="2083" priority="442">
      <formula>AND(IF(OR($Q136=1,$Q136=2),1,0),IF($X136&lt;=20,1,0))</formula>
    </cfRule>
    <cfRule type="expression" dxfId="2082" priority="443">
      <formula>AND(IF($Q136=2,1,0),IF($X136&lt;30,1,0))</formula>
    </cfRule>
    <cfRule type="expression" dxfId="2081" priority="444">
      <formula>AND(IF($Q136=3,1,0),IF($X136&lt;30,1,0))</formula>
    </cfRule>
    <cfRule type="expression" dxfId="2080" priority="445">
      <formula>AND(IF($Q136=3,1,IF($Q136=4,1,0)),IF($F136&lt;=85,1,0))</formula>
    </cfRule>
  </conditionalFormatting>
  <conditionalFormatting sqref="X136">
    <cfRule type="expression" dxfId="2079" priority="438">
      <formula>AND(IF(OR($Q136=1,$Q136=2),1,0),IF($X136&lt;=20,1,0))</formula>
    </cfRule>
    <cfRule type="expression" dxfId="2078" priority="439">
      <formula>AND(IF($Q136=2,1,0),IF($X136&lt;30,1,0))</formula>
    </cfRule>
    <cfRule type="expression" dxfId="2077" priority="440">
      <formula>AND(IF($Q136=3,1,0),IF($X136&lt;30,1,0))</formula>
    </cfRule>
    <cfRule type="expression" dxfId="2076" priority="441">
      <formula>AND(IF($Q136=3,1,IF($Q136=4,1,0)),IF($F136&lt;=85,1,0))</formula>
    </cfRule>
  </conditionalFormatting>
  <conditionalFormatting sqref="AI136">
    <cfRule type="expression" dxfId="2075" priority="434">
      <formula>AND(IF(OR($Q136=1,$Q136=2),1,0),IF($X136&lt;=20,1,0))</formula>
    </cfRule>
    <cfRule type="expression" dxfId="2074" priority="435">
      <formula>AND(IF($Q136=2,1,0),IF($X136&lt;30,1,0))</formula>
    </cfRule>
    <cfRule type="expression" dxfId="2073" priority="436">
      <formula>AND(IF($Q136=3,1,0),IF($X136&lt;30,1,0))</formula>
    </cfRule>
    <cfRule type="expression" dxfId="2072" priority="437">
      <formula>AND(IF($Q136=3,1,IF($Q136=4,1,0)),IF($F136&lt;=85,1,0))</formula>
    </cfRule>
  </conditionalFormatting>
  <conditionalFormatting sqref="AV137">
    <cfRule type="expression" dxfId="2071" priority="432">
      <formula>AV137="X"</formula>
    </cfRule>
    <cfRule type="expression" dxfId="2070" priority="433">
      <formula>AV137="후보"</formula>
    </cfRule>
  </conditionalFormatting>
  <conditionalFormatting sqref="Z137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 N137">
    <cfRule type="cellIs" dxfId="2069" priority="429" operator="greaterThan">
      <formula>0.9</formula>
    </cfRule>
    <cfRule type="cellIs" dxfId="2068" priority="430" operator="greaterThan">
      <formula>0.85</formula>
    </cfRule>
  </conditionalFormatting>
  <conditionalFormatting sqref="AV138">
    <cfRule type="expression" dxfId="2067" priority="427">
      <formula>AV138="X"</formula>
    </cfRule>
    <cfRule type="expression" dxfId="2066" priority="428">
      <formula>AV138="후보"</formula>
    </cfRule>
  </conditionalFormatting>
  <conditionalFormatting sqref="Z138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2065" priority="424" operator="greaterThan">
      <formula>0.9</formula>
    </cfRule>
    <cfRule type="cellIs" dxfId="2064" priority="425" operator="greaterThan">
      <formula>0.85</formula>
    </cfRule>
  </conditionalFormatting>
  <conditionalFormatting sqref="N138">
    <cfRule type="cellIs" dxfId="2063" priority="422" operator="greaterThan">
      <formula>0.9</formula>
    </cfRule>
    <cfRule type="cellIs" dxfId="2062" priority="423" operator="greaterThan">
      <formula>0.85</formula>
    </cfRule>
  </conditionalFormatting>
  <conditionalFormatting sqref="E138">
    <cfRule type="expression" dxfId="2061" priority="418">
      <formula>AND(IF(OR($Q138=1,$Q138=2),1,0),IF($X138&lt;=20,1,0))</formula>
    </cfRule>
    <cfRule type="expression" dxfId="2060" priority="419">
      <formula>AND(IF($Q138=2,1,0),IF($X138&lt;30,1,0))</formula>
    </cfRule>
    <cfRule type="expression" dxfId="2059" priority="420">
      <formula>AND(IF($Q138=3,1,0),IF($X138&lt;30,1,0))</formula>
    </cfRule>
    <cfRule type="expression" dxfId="2058" priority="421">
      <formula>AND(IF($Q138=3,1,IF($Q138=4,1,0)),IF($F138&lt;=85,1,0))</formula>
    </cfRule>
  </conditionalFormatting>
  <conditionalFormatting sqref="X138">
    <cfRule type="expression" dxfId="2057" priority="414">
      <formula>AND(IF(OR($Q138=1,$Q138=2),1,0),IF($X138&lt;=20,1,0))</formula>
    </cfRule>
    <cfRule type="expression" dxfId="2056" priority="415">
      <formula>AND(IF($Q138=2,1,0),IF($X138&lt;30,1,0))</formula>
    </cfRule>
    <cfRule type="expression" dxfId="2055" priority="416">
      <formula>AND(IF($Q138=3,1,0),IF($X138&lt;30,1,0))</formula>
    </cfRule>
    <cfRule type="expression" dxfId="2054" priority="417">
      <formula>AND(IF($Q138=3,1,IF($Q138=4,1,0)),IF($F138&lt;=85,1,0))</formula>
    </cfRule>
  </conditionalFormatting>
  <conditionalFormatting sqref="AI138">
    <cfRule type="expression" dxfId="2053" priority="410">
      <formula>AND(IF(OR($Q138=1,$Q138=2),1,0),IF($X138&lt;=20,1,0))</formula>
    </cfRule>
    <cfRule type="expression" dxfId="2052" priority="411">
      <formula>AND(IF($Q138=2,1,0),IF($X138&lt;30,1,0))</formula>
    </cfRule>
    <cfRule type="expression" dxfId="2051" priority="412">
      <formula>AND(IF($Q138=3,1,0),IF($X138&lt;30,1,0))</formula>
    </cfRule>
    <cfRule type="expression" dxfId="2050" priority="413">
      <formula>AND(IF($Q138=3,1,IF($Q138=4,1,0)),IF($F138&lt;=85,1,0))</formula>
    </cfRule>
  </conditionalFormatting>
  <conditionalFormatting sqref="AV139">
    <cfRule type="expression" dxfId="2049" priority="408">
      <formula>AV139="X"</formula>
    </cfRule>
    <cfRule type="expression" dxfId="2048" priority="409">
      <formula>AV139="후보"</formula>
    </cfRule>
  </conditionalFormatting>
  <conditionalFormatting sqref="Z139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2047" priority="405" operator="greaterThan">
      <formula>0.9</formula>
    </cfRule>
    <cfRule type="cellIs" dxfId="2046" priority="406" operator="greaterThan">
      <formula>0.85</formula>
    </cfRule>
  </conditionalFormatting>
  <conditionalFormatting sqref="N139">
    <cfRule type="cellIs" dxfId="2045" priority="403" operator="greaterThan">
      <formula>0.9</formula>
    </cfRule>
    <cfRule type="cellIs" dxfId="2044" priority="404" operator="greaterThan">
      <formula>0.85</formula>
    </cfRule>
  </conditionalFormatting>
  <conditionalFormatting sqref="E139">
    <cfRule type="expression" dxfId="2043" priority="399">
      <formula>AND(IF(OR($Q139=1,$Q139=2),1,0),IF($X139&lt;=20,1,0))</formula>
    </cfRule>
    <cfRule type="expression" dxfId="2042" priority="400">
      <formula>AND(IF($Q139=2,1,0),IF($X139&lt;30,1,0))</formula>
    </cfRule>
    <cfRule type="expression" dxfId="2041" priority="401">
      <formula>AND(IF($Q139=3,1,0),IF($X139&lt;30,1,0))</formula>
    </cfRule>
    <cfRule type="expression" dxfId="2040" priority="402">
      <formula>AND(IF($Q139=3,1,IF($Q139=4,1,0)),IF($F139&lt;=85,1,0))</formula>
    </cfRule>
  </conditionalFormatting>
  <conditionalFormatting sqref="X139">
    <cfRule type="expression" dxfId="2039" priority="395">
      <formula>AND(IF(OR($Q139=1,$Q139=2),1,0),IF($X139&lt;=20,1,0))</formula>
    </cfRule>
    <cfRule type="expression" dxfId="2038" priority="396">
      <formula>AND(IF($Q139=2,1,0),IF($X139&lt;30,1,0))</formula>
    </cfRule>
    <cfRule type="expression" dxfId="2037" priority="397">
      <formula>AND(IF($Q139=3,1,0),IF($X139&lt;30,1,0))</formula>
    </cfRule>
    <cfRule type="expression" dxfId="2036" priority="398">
      <formula>AND(IF($Q139=3,1,IF($Q139=4,1,0)),IF($F139&lt;=85,1,0))</formula>
    </cfRule>
  </conditionalFormatting>
  <conditionalFormatting sqref="AI139">
    <cfRule type="expression" dxfId="2035" priority="391">
      <formula>AND(IF(OR($Q139=1,$Q139=2),1,0),IF($X139&lt;=20,1,0))</formula>
    </cfRule>
    <cfRule type="expression" dxfId="2034" priority="392">
      <formula>AND(IF($Q139=2,1,0),IF($X139&lt;30,1,0))</formula>
    </cfRule>
    <cfRule type="expression" dxfId="2033" priority="393">
      <formula>AND(IF($Q139=3,1,0),IF($X139&lt;30,1,0))</formula>
    </cfRule>
    <cfRule type="expression" dxfId="2032" priority="394">
      <formula>AND(IF($Q139=3,1,IF($Q139=4,1,0)),IF($F139&lt;=85,1,0))</formula>
    </cfRule>
  </conditionalFormatting>
  <conditionalFormatting sqref="AV140">
    <cfRule type="expression" dxfId="2031" priority="389">
      <formula>AV140="X"</formula>
    </cfRule>
    <cfRule type="expression" dxfId="2030" priority="390">
      <formula>AV140="후보"</formula>
    </cfRule>
  </conditionalFormatting>
  <conditionalFormatting sqref="Z140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2029" priority="386" operator="greaterThan">
      <formula>0.9</formula>
    </cfRule>
    <cfRule type="cellIs" dxfId="2028" priority="387" operator="greaterThan">
      <formula>0.85</formula>
    </cfRule>
  </conditionalFormatting>
  <conditionalFormatting sqref="N140">
    <cfRule type="cellIs" dxfId="2027" priority="384" operator="greaterThan">
      <formula>0.9</formula>
    </cfRule>
    <cfRule type="cellIs" dxfId="2026" priority="385" operator="greaterThan">
      <formula>0.85</formula>
    </cfRule>
  </conditionalFormatting>
  <conditionalFormatting sqref="E140">
    <cfRule type="expression" dxfId="2025" priority="380">
      <formula>AND(IF(OR($Q140=1,$Q140=2),1,0),IF($X140&lt;=20,1,0))</formula>
    </cfRule>
    <cfRule type="expression" dxfId="2024" priority="381">
      <formula>AND(IF($Q140=2,1,0),IF($X140&lt;30,1,0))</formula>
    </cfRule>
    <cfRule type="expression" dxfId="2023" priority="382">
      <formula>AND(IF($Q140=3,1,0),IF($X140&lt;30,1,0))</formula>
    </cfRule>
    <cfRule type="expression" dxfId="2022" priority="383">
      <formula>AND(IF($Q140=3,1,IF($Q140=4,1,0)),IF($F140&lt;=85,1,0))</formula>
    </cfRule>
  </conditionalFormatting>
  <conditionalFormatting sqref="X140">
    <cfRule type="expression" dxfId="2021" priority="376">
      <formula>AND(IF(OR($Q140=1,$Q140=2),1,0),IF($X140&lt;=20,1,0))</formula>
    </cfRule>
    <cfRule type="expression" dxfId="2020" priority="377">
      <formula>AND(IF($Q140=2,1,0),IF($X140&lt;30,1,0))</formula>
    </cfRule>
    <cfRule type="expression" dxfId="2019" priority="378">
      <formula>AND(IF($Q140=3,1,0),IF($X140&lt;30,1,0))</formula>
    </cfRule>
    <cfRule type="expression" dxfId="2018" priority="379">
      <formula>AND(IF($Q140=3,1,IF($Q140=4,1,0)),IF($F140&lt;=85,1,0))</formula>
    </cfRule>
  </conditionalFormatting>
  <conditionalFormatting sqref="AI140">
    <cfRule type="expression" dxfId="2017" priority="372">
      <formula>AND(IF(OR($Q140=1,$Q140=2),1,0),IF($X140&lt;=20,1,0))</formula>
    </cfRule>
    <cfRule type="expression" dxfId="2016" priority="373">
      <formula>AND(IF($Q140=2,1,0),IF($X140&lt;30,1,0))</formula>
    </cfRule>
    <cfRule type="expression" dxfId="2015" priority="374">
      <formula>AND(IF($Q140=3,1,0),IF($X140&lt;30,1,0))</formula>
    </cfRule>
    <cfRule type="expression" dxfId="2014" priority="375">
      <formula>AND(IF($Q140=3,1,IF($Q140=4,1,0)),IF($F140&lt;=85,1,0))</formula>
    </cfRule>
  </conditionalFormatting>
  <conditionalFormatting sqref="AV141">
    <cfRule type="expression" dxfId="2013" priority="370">
      <formula>AV141="X"</formula>
    </cfRule>
    <cfRule type="expression" dxfId="2012" priority="371">
      <formula>AV141="후보"</formula>
    </cfRule>
  </conditionalFormatting>
  <conditionalFormatting sqref="Z141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2011" priority="367" operator="greaterThan">
      <formula>0.9</formula>
    </cfRule>
    <cfRule type="cellIs" dxfId="2010" priority="368" operator="greaterThan">
      <formula>0.85</formula>
    </cfRule>
  </conditionalFormatting>
  <conditionalFormatting sqref="N141">
    <cfRule type="cellIs" dxfId="2009" priority="365" operator="greaterThan">
      <formula>0.9</formula>
    </cfRule>
    <cfRule type="cellIs" dxfId="2008" priority="366" operator="greaterThan">
      <formula>0.85</formula>
    </cfRule>
  </conditionalFormatting>
  <conditionalFormatting sqref="E141">
    <cfRule type="expression" dxfId="2007" priority="361">
      <formula>AND(IF(OR($Q141=1,$Q141=2),1,0),IF($X141&lt;=20,1,0))</formula>
    </cfRule>
    <cfRule type="expression" dxfId="2006" priority="362">
      <formula>AND(IF($Q141=2,1,0),IF($X141&lt;30,1,0))</formula>
    </cfRule>
    <cfRule type="expression" dxfId="2005" priority="363">
      <formula>AND(IF($Q141=3,1,0),IF($X141&lt;30,1,0))</formula>
    </cfRule>
    <cfRule type="expression" dxfId="2004" priority="364">
      <formula>AND(IF($Q141=3,1,IF($Q141=4,1,0)),IF($F141&lt;=85,1,0))</formula>
    </cfRule>
  </conditionalFormatting>
  <conditionalFormatting sqref="X141">
    <cfRule type="expression" dxfId="2003" priority="357">
      <formula>AND(IF(OR($Q141=1,$Q141=2),1,0),IF($X141&lt;=20,1,0))</formula>
    </cfRule>
    <cfRule type="expression" dxfId="2002" priority="358">
      <formula>AND(IF($Q141=2,1,0),IF($X141&lt;30,1,0))</formula>
    </cfRule>
    <cfRule type="expression" dxfId="2001" priority="359">
      <formula>AND(IF($Q141=3,1,0),IF($X141&lt;30,1,0))</formula>
    </cfRule>
    <cfRule type="expression" dxfId="2000" priority="360">
      <formula>AND(IF($Q141=3,1,IF($Q141=4,1,0)),IF($F141&lt;=85,1,0))</formula>
    </cfRule>
  </conditionalFormatting>
  <conditionalFormatting sqref="AI141">
    <cfRule type="expression" dxfId="1999" priority="353">
      <formula>AND(IF(OR($Q141=1,$Q141=2),1,0),IF($X141&lt;=20,1,0))</formula>
    </cfRule>
    <cfRule type="expression" dxfId="1998" priority="354">
      <formula>AND(IF($Q141=2,1,0),IF($X141&lt;30,1,0))</formula>
    </cfRule>
    <cfRule type="expression" dxfId="1997" priority="355">
      <formula>AND(IF($Q141=3,1,0),IF($X141&lt;30,1,0))</formula>
    </cfRule>
    <cfRule type="expression" dxfId="1996" priority="356">
      <formula>AND(IF($Q141=3,1,IF($Q141=4,1,0)),IF($F141&lt;=85,1,0))</formula>
    </cfRule>
  </conditionalFormatting>
  <conditionalFormatting sqref="AV142">
    <cfRule type="expression" dxfId="1995" priority="351">
      <formula>AV142="X"</formula>
    </cfRule>
    <cfRule type="expression" dxfId="1994" priority="352">
      <formula>AV142="후보"</formula>
    </cfRule>
  </conditionalFormatting>
  <conditionalFormatting sqref="Z142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1993" priority="348" operator="greaterThan">
      <formula>0.9</formula>
    </cfRule>
    <cfRule type="cellIs" dxfId="1992" priority="349" operator="greaterThan">
      <formula>0.85</formula>
    </cfRule>
  </conditionalFormatting>
  <conditionalFormatting sqref="N142">
    <cfRule type="cellIs" dxfId="1991" priority="346" operator="greaterThan">
      <formula>0.9</formula>
    </cfRule>
    <cfRule type="cellIs" dxfId="1990" priority="347" operator="greaterThan">
      <formula>0.85</formula>
    </cfRule>
  </conditionalFormatting>
  <conditionalFormatting sqref="E142">
    <cfRule type="expression" dxfId="1989" priority="342">
      <formula>AND(IF(OR($Q142=1,$Q142=2),1,0),IF($X142&lt;=20,1,0))</formula>
    </cfRule>
    <cfRule type="expression" dxfId="1988" priority="343">
      <formula>AND(IF($Q142=2,1,0),IF($X142&lt;30,1,0))</formula>
    </cfRule>
    <cfRule type="expression" dxfId="1987" priority="344">
      <formula>AND(IF($Q142=3,1,0),IF($X142&lt;30,1,0))</formula>
    </cfRule>
    <cfRule type="expression" dxfId="1986" priority="345">
      <formula>AND(IF($Q142=3,1,IF($Q142=4,1,0)),IF($F142&lt;=85,1,0))</formula>
    </cfRule>
  </conditionalFormatting>
  <conditionalFormatting sqref="X142">
    <cfRule type="expression" dxfId="1985" priority="338">
      <formula>AND(IF(OR($Q142=1,$Q142=2),1,0),IF($X142&lt;=20,1,0))</formula>
    </cfRule>
    <cfRule type="expression" dxfId="1984" priority="339">
      <formula>AND(IF($Q142=2,1,0),IF($X142&lt;30,1,0))</formula>
    </cfRule>
    <cfRule type="expression" dxfId="1983" priority="340">
      <formula>AND(IF($Q142=3,1,0),IF($X142&lt;30,1,0))</formula>
    </cfRule>
    <cfRule type="expression" dxfId="1982" priority="341">
      <formula>AND(IF($Q142=3,1,IF($Q142=4,1,0)),IF($F142&lt;=85,1,0))</formula>
    </cfRule>
  </conditionalFormatting>
  <conditionalFormatting sqref="AI142">
    <cfRule type="expression" dxfId="1981" priority="334">
      <formula>AND(IF(OR($Q142=1,$Q142=2),1,0),IF($X142&lt;=20,1,0))</formula>
    </cfRule>
    <cfRule type="expression" dxfId="1980" priority="335">
      <formula>AND(IF($Q142=2,1,0),IF($X142&lt;30,1,0))</formula>
    </cfRule>
    <cfRule type="expression" dxfId="1979" priority="336">
      <formula>AND(IF($Q142=3,1,0),IF($X142&lt;30,1,0))</formula>
    </cfRule>
    <cfRule type="expression" dxfId="1978" priority="337">
      <formula>AND(IF($Q142=3,1,IF($Q142=4,1,0)),IF($F142&lt;=85,1,0))</formula>
    </cfRule>
  </conditionalFormatting>
  <conditionalFormatting sqref="AV143">
    <cfRule type="expression" dxfId="1977" priority="332">
      <formula>AV143="X"</formula>
    </cfRule>
    <cfRule type="expression" dxfId="1976" priority="333">
      <formula>AV143="후보"</formula>
    </cfRule>
  </conditionalFormatting>
  <conditionalFormatting sqref="Z143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1975" priority="329" operator="greaterThan">
      <formula>0.9</formula>
    </cfRule>
    <cfRule type="cellIs" dxfId="1974" priority="330" operator="greaterThan">
      <formula>0.85</formula>
    </cfRule>
  </conditionalFormatting>
  <conditionalFormatting sqref="N143">
    <cfRule type="cellIs" dxfId="1973" priority="327" operator="greaterThan">
      <formula>0.9</formula>
    </cfRule>
    <cfRule type="cellIs" dxfId="1972" priority="328" operator="greaterThan">
      <formula>0.85</formula>
    </cfRule>
  </conditionalFormatting>
  <conditionalFormatting sqref="E143">
    <cfRule type="expression" dxfId="1971" priority="323">
      <formula>AND(IF(OR($Q143=1,$Q143=2),1,0),IF($X143&lt;=20,1,0))</formula>
    </cfRule>
    <cfRule type="expression" dxfId="1970" priority="324">
      <formula>AND(IF($Q143=2,1,0),IF($X143&lt;30,1,0))</formula>
    </cfRule>
    <cfRule type="expression" dxfId="1969" priority="325">
      <formula>AND(IF($Q143=3,1,0),IF($X143&lt;30,1,0))</formula>
    </cfRule>
    <cfRule type="expression" dxfId="1968" priority="326">
      <formula>AND(IF($Q143=3,1,IF($Q143=4,1,0)),IF($F143&lt;=85,1,0))</formula>
    </cfRule>
  </conditionalFormatting>
  <conditionalFormatting sqref="X143">
    <cfRule type="expression" dxfId="1967" priority="319">
      <formula>AND(IF(OR($Q143=1,$Q143=2),1,0),IF($X143&lt;=20,1,0))</formula>
    </cfRule>
    <cfRule type="expression" dxfId="1966" priority="320">
      <formula>AND(IF($Q143=2,1,0),IF($X143&lt;30,1,0))</formula>
    </cfRule>
    <cfRule type="expression" dxfId="1965" priority="321">
      <formula>AND(IF($Q143=3,1,0),IF($X143&lt;30,1,0))</formula>
    </cfRule>
    <cfRule type="expression" dxfId="1964" priority="322">
      <formula>AND(IF($Q143=3,1,IF($Q143=4,1,0)),IF($F143&lt;=85,1,0))</formula>
    </cfRule>
  </conditionalFormatting>
  <conditionalFormatting sqref="AI143">
    <cfRule type="expression" dxfId="1963" priority="315">
      <formula>AND(IF(OR($Q143=1,$Q143=2),1,0),IF($X143&lt;=20,1,0))</formula>
    </cfRule>
    <cfRule type="expression" dxfId="1962" priority="316">
      <formula>AND(IF($Q143=2,1,0),IF($X143&lt;30,1,0))</formula>
    </cfRule>
    <cfRule type="expression" dxfId="1961" priority="317">
      <formula>AND(IF($Q143=3,1,0),IF($X143&lt;30,1,0))</formula>
    </cfRule>
    <cfRule type="expression" dxfId="1960" priority="318">
      <formula>AND(IF($Q143=3,1,IF($Q143=4,1,0)),IF($F143&lt;=85,1,0))</formula>
    </cfRule>
  </conditionalFormatting>
  <conditionalFormatting sqref="AV144">
    <cfRule type="expression" dxfId="1959" priority="313">
      <formula>AV144="X"</formula>
    </cfRule>
    <cfRule type="expression" dxfId="1958" priority="314">
      <formula>AV144="후보"</formula>
    </cfRule>
  </conditionalFormatting>
  <conditionalFormatting sqref="Z144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1957" priority="310" operator="greaterThan">
      <formula>0.9</formula>
    </cfRule>
    <cfRule type="cellIs" dxfId="1956" priority="311" operator="greaterThan">
      <formula>0.85</formula>
    </cfRule>
  </conditionalFormatting>
  <conditionalFormatting sqref="N144">
    <cfRule type="cellIs" dxfId="1955" priority="308" operator="greaterThan">
      <formula>0.9</formula>
    </cfRule>
    <cfRule type="cellIs" dxfId="1954" priority="309" operator="greaterThan">
      <formula>0.85</formula>
    </cfRule>
  </conditionalFormatting>
  <conditionalFormatting sqref="E144">
    <cfRule type="expression" dxfId="1953" priority="304">
      <formula>AND(IF(OR($Q144=1,$Q144=2),1,0),IF($X144&lt;=20,1,0))</formula>
    </cfRule>
    <cfRule type="expression" dxfId="1952" priority="305">
      <formula>AND(IF($Q144=2,1,0),IF($X144&lt;30,1,0))</formula>
    </cfRule>
    <cfRule type="expression" dxfId="1951" priority="306">
      <formula>AND(IF($Q144=3,1,0),IF($X144&lt;30,1,0))</formula>
    </cfRule>
    <cfRule type="expression" dxfId="1950" priority="307">
      <formula>AND(IF($Q144=3,1,IF($Q144=4,1,0)),IF($F144&lt;=85,1,0))</formula>
    </cfRule>
  </conditionalFormatting>
  <conditionalFormatting sqref="X144">
    <cfRule type="expression" dxfId="1949" priority="300">
      <formula>AND(IF(OR($Q144=1,$Q144=2),1,0),IF($X144&lt;=20,1,0))</formula>
    </cfRule>
    <cfRule type="expression" dxfId="1948" priority="301">
      <formula>AND(IF($Q144=2,1,0),IF($X144&lt;30,1,0))</formula>
    </cfRule>
    <cfRule type="expression" dxfId="1947" priority="302">
      <formula>AND(IF($Q144=3,1,0),IF($X144&lt;30,1,0))</formula>
    </cfRule>
    <cfRule type="expression" dxfId="1946" priority="303">
      <formula>AND(IF($Q144=3,1,IF($Q144=4,1,0)),IF($F144&lt;=85,1,0))</formula>
    </cfRule>
  </conditionalFormatting>
  <conditionalFormatting sqref="AI144">
    <cfRule type="expression" dxfId="1945" priority="296">
      <formula>AND(IF(OR($Q144=1,$Q144=2),1,0),IF($X144&lt;=20,1,0))</formula>
    </cfRule>
    <cfRule type="expression" dxfId="1944" priority="297">
      <formula>AND(IF($Q144=2,1,0),IF($X144&lt;30,1,0))</formula>
    </cfRule>
    <cfRule type="expression" dxfId="1943" priority="298">
      <formula>AND(IF($Q144=3,1,0),IF($X144&lt;30,1,0))</formula>
    </cfRule>
    <cfRule type="expression" dxfId="1942" priority="299">
      <formula>AND(IF($Q144=3,1,IF($Q144=4,1,0)),IF($F144&lt;=85,1,0))</formula>
    </cfRule>
  </conditionalFormatting>
  <conditionalFormatting sqref="AV145">
    <cfRule type="expression" dxfId="1941" priority="294">
      <formula>AV145="X"</formula>
    </cfRule>
    <cfRule type="expression" dxfId="1940" priority="295">
      <formula>AV145="후보"</formula>
    </cfRule>
  </conditionalFormatting>
  <conditionalFormatting sqref="Z145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1939" priority="291" operator="greaterThan">
      <formula>0.9</formula>
    </cfRule>
    <cfRule type="cellIs" dxfId="1938" priority="292" operator="greaterThan">
      <formula>0.85</formula>
    </cfRule>
  </conditionalFormatting>
  <conditionalFormatting sqref="N145">
    <cfRule type="cellIs" dxfId="1937" priority="289" operator="greaterThan">
      <formula>0.9</formula>
    </cfRule>
    <cfRule type="cellIs" dxfId="1936" priority="290" operator="greaterThan">
      <formula>0.85</formula>
    </cfRule>
  </conditionalFormatting>
  <conditionalFormatting sqref="E145">
    <cfRule type="expression" dxfId="1935" priority="285">
      <formula>AND(IF(OR($Q145=1,$Q145=2),1,0),IF($X145&lt;=20,1,0))</formula>
    </cfRule>
    <cfRule type="expression" dxfId="1934" priority="286">
      <formula>AND(IF($Q145=2,1,0),IF($X145&lt;30,1,0))</formula>
    </cfRule>
    <cfRule type="expression" dxfId="1933" priority="287">
      <formula>AND(IF($Q145=3,1,0),IF($X145&lt;30,1,0))</formula>
    </cfRule>
    <cfRule type="expression" dxfId="1932" priority="288">
      <formula>AND(IF($Q145=3,1,IF($Q145=4,1,0)),IF($F145&lt;=85,1,0))</formula>
    </cfRule>
  </conditionalFormatting>
  <conditionalFormatting sqref="X145">
    <cfRule type="expression" dxfId="1931" priority="281">
      <formula>AND(IF(OR($Q145=1,$Q145=2),1,0),IF($X145&lt;=20,1,0))</formula>
    </cfRule>
    <cfRule type="expression" dxfId="1930" priority="282">
      <formula>AND(IF($Q145=2,1,0),IF($X145&lt;30,1,0))</formula>
    </cfRule>
    <cfRule type="expression" dxfId="1929" priority="283">
      <formula>AND(IF($Q145=3,1,0),IF($X145&lt;30,1,0))</formula>
    </cfRule>
    <cfRule type="expression" dxfId="1928" priority="284">
      <formula>AND(IF($Q145=3,1,IF($Q145=4,1,0)),IF($F145&lt;=85,1,0))</formula>
    </cfRule>
  </conditionalFormatting>
  <conditionalFormatting sqref="AI145">
    <cfRule type="expression" dxfId="1927" priority="277">
      <formula>AND(IF(OR($Q145=1,$Q145=2),1,0),IF($X145&lt;=20,1,0))</formula>
    </cfRule>
    <cfRule type="expression" dxfId="1926" priority="278">
      <formula>AND(IF($Q145=2,1,0),IF($X145&lt;30,1,0))</formula>
    </cfRule>
    <cfRule type="expression" dxfId="1925" priority="279">
      <formula>AND(IF($Q145=3,1,0),IF($X145&lt;30,1,0))</formula>
    </cfRule>
    <cfRule type="expression" dxfId="1924" priority="280">
      <formula>AND(IF($Q145=3,1,IF($Q145=4,1,0)),IF($F145&lt;=85,1,0))</formula>
    </cfRule>
  </conditionalFormatting>
  <conditionalFormatting sqref="AV146">
    <cfRule type="expression" dxfId="1923" priority="275">
      <formula>AV146="X"</formula>
    </cfRule>
    <cfRule type="expression" dxfId="1922" priority="276">
      <formula>AV146="후보"</formula>
    </cfRule>
  </conditionalFormatting>
  <conditionalFormatting sqref="Z146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">
    <cfRule type="cellIs" dxfId="1921" priority="272" operator="greaterThan">
      <formula>0.9</formula>
    </cfRule>
    <cfRule type="cellIs" dxfId="1920" priority="273" operator="greaterThan">
      <formula>0.85</formula>
    </cfRule>
  </conditionalFormatting>
  <conditionalFormatting sqref="N146">
    <cfRule type="cellIs" dxfId="1919" priority="270" operator="greaterThan">
      <formula>0.9</formula>
    </cfRule>
    <cfRule type="cellIs" dxfId="1918" priority="271" operator="greaterThan">
      <formula>0.85</formula>
    </cfRule>
  </conditionalFormatting>
  <conditionalFormatting sqref="E146">
    <cfRule type="expression" dxfId="1917" priority="266">
      <formula>AND(IF(OR($Q146=1,$Q146=2),1,0),IF($X146&lt;=20,1,0))</formula>
    </cfRule>
    <cfRule type="expression" dxfId="1916" priority="267">
      <formula>AND(IF($Q146=2,1,0),IF($X146&lt;30,1,0))</formula>
    </cfRule>
    <cfRule type="expression" dxfId="1915" priority="268">
      <formula>AND(IF($Q146=3,1,0),IF($X146&lt;30,1,0))</formula>
    </cfRule>
    <cfRule type="expression" dxfId="1914" priority="269">
      <formula>AND(IF($Q146=3,1,IF($Q146=4,1,0)),IF($F146&lt;=85,1,0))</formula>
    </cfRule>
  </conditionalFormatting>
  <conditionalFormatting sqref="X146">
    <cfRule type="expression" dxfId="1913" priority="262">
      <formula>AND(IF(OR($Q146=1,$Q146=2),1,0),IF($X146&lt;=20,1,0))</formula>
    </cfRule>
    <cfRule type="expression" dxfId="1912" priority="263">
      <formula>AND(IF($Q146=2,1,0),IF($X146&lt;30,1,0))</formula>
    </cfRule>
    <cfRule type="expression" dxfId="1911" priority="264">
      <formula>AND(IF($Q146=3,1,0),IF($X146&lt;30,1,0))</formula>
    </cfRule>
    <cfRule type="expression" dxfId="1910" priority="265">
      <formula>AND(IF($Q146=3,1,IF($Q146=4,1,0)),IF($F146&lt;=85,1,0))</formula>
    </cfRule>
  </conditionalFormatting>
  <conditionalFormatting sqref="AI146">
    <cfRule type="expression" dxfId="1909" priority="258">
      <formula>AND(IF(OR($Q146=1,$Q146=2),1,0),IF($X146&lt;=20,1,0))</formula>
    </cfRule>
    <cfRule type="expression" dxfId="1908" priority="259">
      <formula>AND(IF($Q146=2,1,0),IF($X146&lt;30,1,0))</formula>
    </cfRule>
    <cfRule type="expression" dxfId="1907" priority="260">
      <formula>AND(IF($Q146=3,1,0),IF($X146&lt;30,1,0))</formula>
    </cfRule>
    <cfRule type="expression" dxfId="1906" priority="261">
      <formula>AND(IF($Q146=3,1,IF($Q146=4,1,0)),IF($F146&lt;=85,1,0))</formula>
    </cfRule>
  </conditionalFormatting>
  <conditionalFormatting sqref="AV147">
    <cfRule type="expression" dxfId="1905" priority="256">
      <formula>AV147="X"</formula>
    </cfRule>
    <cfRule type="expression" dxfId="1904" priority="257">
      <formula>AV147="후보"</formula>
    </cfRule>
  </conditionalFormatting>
  <conditionalFormatting sqref="Z147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1903" priority="253" operator="greaterThan">
      <formula>0.9</formula>
    </cfRule>
    <cfRule type="cellIs" dxfId="1902" priority="254" operator="greaterThan">
      <formula>0.85</formula>
    </cfRule>
  </conditionalFormatting>
  <conditionalFormatting sqref="N147">
    <cfRule type="cellIs" dxfId="1901" priority="251" operator="greaterThan">
      <formula>0.9</formula>
    </cfRule>
    <cfRule type="cellIs" dxfId="1900" priority="252" operator="greaterThan">
      <formula>0.85</formula>
    </cfRule>
  </conditionalFormatting>
  <conditionalFormatting sqref="E147">
    <cfRule type="expression" dxfId="1899" priority="247">
      <formula>AND(IF(OR($Q147=1,$Q147=2),1,0),IF($X147&lt;=20,1,0))</formula>
    </cfRule>
    <cfRule type="expression" dxfId="1898" priority="248">
      <formula>AND(IF($Q147=2,1,0),IF($X147&lt;30,1,0))</formula>
    </cfRule>
    <cfRule type="expression" dxfId="1897" priority="249">
      <formula>AND(IF($Q147=3,1,0),IF($X147&lt;30,1,0))</formula>
    </cfRule>
    <cfRule type="expression" dxfId="1896" priority="250">
      <formula>AND(IF($Q147=3,1,IF($Q147=4,1,0)),IF($F147&lt;=85,1,0))</formula>
    </cfRule>
  </conditionalFormatting>
  <conditionalFormatting sqref="X147">
    <cfRule type="expression" dxfId="1895" priority="243">
      <formula>AND(IF(OR($Q147=1,$Q147=2),1,0),IF($X147&lt;=20,1,0))</formula>
    </cfRule>
    <cfRule type="expression" dxfId="1894" priority="244">
      <formula>AND(IF($Q147=2,1,0),IF($X147&lt;30,1,0))</formula>
    </cfRule>
    <cfRule type="expression" dxfId="1893" priority="245">
      <formula>AND(IF($Q147=3,1,0),IF($X147&lt;30,1,0))</formula>
    </cfRule>
    <cfRule type="expression" dxfId="1892" priority="246">
      <formula>AND(IF($Q147=3,1,IF($Q147=4,1,0)),IF($F147&lt;=85,1,0))</formula>
    </cfRule>
  </conditionalFormatting>
  <conditionalFormatting sqref="AI147">
    <cfRule type="expression" dxfId="1891" priority="239">
      <formula>AND(IF(OR($Q147=1,$Q147=2),1,0),IF($X147&lt;=20,1,0))</formula>
    </cfRule>
    <cfRule type="expression" dxfId="1890" priority="240">
      <formula>AND(IF($Q147=2,1,0),IF($X147&lt;30,1,0))</formula>
    </cfRule>
    <cfRule type="expression" dxfId="1889" priority="241">
      <formula>AND(IF($Q147=3,1,0),IF($X147&lt;30,1,0))</formula>
    </cfRule>
    <cfRule type="expression" dxfId="1888" priority="242">
      <formula>AND(IF($Q147=3,1,IF($Q147=4,1,0)),IF($F147&lt;=85,1,0))</formula>
    </cfRule>
  </conditionalFormatting>
  <conditionalFormatting sqref="AV148">
    <cfRule type="expression" dxfId="1887" priority="237">
      <formula>AV148="X"</formula>
    </cfRule>
    <cfRule type="expression" dxfId="1886" priority="238">
      <formula>AV148="후보"</formula>
    </cfRule>
  </conditionalFormatting>
  <conditionalFormatting sqref="Z148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 N148">
    <cfRule type="cellIs" dxfId="1885" priority="234" operator="greaterThan">
      <formula>0.9</formula>
    </cfRule>
    <cfRule type="cellIs" dxfId="1884" priority="235" operator="greaterThan">
      <formula>0.85</formula>
    </cfRule>
  </conditionalFormatting>
  <conditionalFormatting sqref="AV149">
    <cfRule type="expression" dxfId="1883" priority="232">
      <formula>AV149="X"</formula>
    </cfRule>
    <cfRule type="expression" dxfId="1882" priority="233">
      <formula>AV149="후보"</formula>
    </cfRule>
  </conditionalFormatting>
  <conditionalFormatting sqref="Z149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1881" priority="229" operator="greaterThan">
      <formula>0.9</formula>
    </cfRule>
    <cfRule type="cellIs" dxfId="1880" priority="230" operator="greaterThan">
      <formula>0.85</formula>
    </cfRule>
  </conditionalFormatting>
  <conditionalFormatting sqref="N149">
    <cfRule type="cellIs" dxfId="1879" priority="227" operator="greaterThan">
      <formula>0.9</formula>
    </cfRule>
    <cfRule type="cellIs" dxfId="1878" priority="228" operator="greaterThan">
      <formula>0.85</formula>
    </cfRule>
  </conditionalFormatting>
  <conditionalFormatting sqref="E149">
    <cfRule type="expression" dxfId="1877" priority="223">
      <formula>AND(IF(OR($Q149=1,$Q149=2),1,0),IF($X149&lt;=20,1,0))</formula>
    </cfRule>
    <cfRule type="expression" dxfId="1876" priority="224">
      <formula>AND(IF($Q149=2,1,0),IF($X149&lt;30,1,0))</formula>
    </cfRule>
    <cfRule type="expression" dxfId="1875" priority="225">
      <formula>AND(IF($Q149=3,1,0),IF($X149&lt;30,1,0))</formula>
    </cfRule>
    <cfRule type="expression" dxfId="1874" priority="226">
      <formula>AND(IF($Q149=3,1,IF($Q149=4,1,0)),IF($F149&lt;=85,1,0))</formula>
    </cfRule>
  </conditionalFormatting>
  <conditionalFormatting sqref="X149">
    <cfRule type="expression" dxfId="1873" priority="219">
      <formula>AND(IF(OR($Q149=1,$Q149=2),1,0),IF($X149&lt;=20,1,0))</formula>
    </cfRule>
    <cfRule type="expression" dxfId="1872" priority="220">
      <formula>AND(IF($Q149=2,1,0),IF($X149&lt;30,1,0))</formula>
    </cfRule>
    <cfRule type="expression" dxfId="1871" priority="221">
      <formula>AND(IF($Q149=3,1,0),IF($X149&lt;30,1,0))</formula>
    </cfRule>
    <cfRule type="expression" dxfId="1870" priority="222">
      <formula>AND(IF($Q149=3,1,IF($Q149=4,1,0)),IF($F149&lt;=85,1,0))</formula>
    </cfRule>
  </conditionalFormatting>
  <conditionalFormatting sqref="AI149">
    <cfRule type="expression" dxfId="1869" priority="215">
      <formula>AND(IF(OR($Q149=1,$Q149=2),1,0),IF($X149&lt;=20,1,0))</formula>
    </cfRule>
    <cfRule type="expression" dxfId="1868" priority="216">
      <formula>AND(IF($Q149=2,1,0),IF($X149&lt;30,1,0))</formula>
    </cfRule>
    <cfRule type="expression" dxfId="1867" priority="217">
      <formula>AND(IF($Q149=3,1,0),IF($X149&lt;30,1,0))</formula>
    </cfRule>
    <cfRule type="expression" dxfId="1866" priority="218">
      <formula>AND(IF($Q149=3,1,IF($Q149=4,1,0)),IF($F149&lt;=85,1,0))</formula>
    </cfRule>
  </conditionalFormatting>
  <conditionalFormatting sqref="AV150">
    <cfRule type="expression" dxfId="1865" priority="213">
      <formula>AV150="X"</formula>
    </cfRule>
    <cfRule type="expression" dxfId="1864" priority="214">
      <formula>AV150="후보"</formula>
    </cfRule>
  </conditionalFormatting>
  <conditionalFormatting sqref="Z150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1863" priority="210" operator="greaterThan">
      <formula>0.9</formula>
    </cfRule>
    <cfRule type="cellIs" dxfId="1862" priority="211" operator="greaterThan">
      <formula>0.85</formula>
    </cfRule>
  </conditionalFormatting>
  <conditionalFormatting sqref="N150">
    <cfRule type="cellIs" dxfId="1861" priority="208" operator="greaterThan">
      <formula>0.9</formula>
    </cfRule>
    <cfRule type="cellIs" dxfId="1860" priority="209" operator="greaterThan">
      <formula>0.85</formula>
    </cfRule>
  </conditionalFormatting>
  <conditionalFormatting sqref="E150">
    <cfRule type="expression" dxfId="1859" priority="204">
      <formula>AND(IF(OR($Q150=1,$Q150=2),1,0),IF($X150&lt;=20,1,0))</formula>
    </cfRule>
    <cfRule type="expression" dxfId="1858" priority="205">
      <formula>AND(IF($Q150=2,1,0),IF($X150&lt;30,1,0))</formula>
    </cfRule>
    <cfRule type="expression" dxfId="1857" priority="206">
      <formula>AND(IF($Q150=3,1,0),IF($X150&lt;30,1,0))</formula>
    </cfRule>
    <cfRule type="expression" dxfId="1856" priority="207">
      <formula>AND(IF($Q150=3,1,IF($Q150=4,1,0)),IF($F150&lt;=85,1,0))</formula>
    </cfRule>
  </conditionalFormatting>
  <conditionalFormatting sqref="X150">
    <cfRule type="expression" dxfId="1855" priority="200">
      <formula>AND(IF(OR($Q150=1,$Q150=2),1,0),IF($X150&lt;=20,1,0))</formula>
    </cfRule>
    <cfRule type="expression" dxfId="1854" priority="201">
      <formula>AND(IF($Q150=2,1,0),IF($X150&lt;30,1,0))</formula>
    </cfRule>
    <cfRule type="expression" dxfId="1853" priority="202">
      <formula>AND(IF($Q150=3,1,0),IF($X150&lt;30,1,0))</formula>
    </cfRule>
    <cfRule type="expression" dxfId="1852" priority="203">
      <formula>AND(IF($Q150=3,1,IF($Q150=4,1,0)),IF($F150&lt;=85,1,0))</formula>
    </cfRule>
  </conditionalFormatting>
  <conditionalFormatting sqref="AI150">
    <cfRule type="expression" dxfId="1851" priority="196">
      <formula>AND(IF(OR($Q150=1,$Q150=2),1,0),IF($X150&lt;=20,1,0))</formula>
    </cfRule>
    <cfRule type="expression" dxfId="1850" priority="197">
      <formula>AND(IF($Q150=2,1,0),IF($X150&lt;30,1,0))</formula>
    </cfRule>
    <cfRule type="expression" dxfId="1849" priority="198">
      <formula>AND(IF($Q150=3,1,0),IF($X150&lt;30,1,0))</formula>
    </cfRule>
    <cfRule type="expression" dxfId="1848" priority="199">
      <formula>AND(IF($Q150=3,1,IF($Q150=4,1,0)),IF($F150&lt;=85,1,0))</formula>
    </cfRule>
  </conditionalFormatting>
  <conditionalFormatting sqref="AV151">
    <cfRule type="expression" dxfId="1847" priority="194">
      <formula>AV151="X"</formula>
    </cfRule>
    <cfRule type="expression" dxfId="1846" priority="195">
      <formula>AV151="후보"</formula>
    </cfRule>
  </conditionalFormatting>
  <conditionalFormatting sqref="Z151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1845" priority="191" operator="greaterThan">
      <formula>0.9</formula>
    </cfRule>
    <cfRule type="cellIs" dxfId="1844" priority="192" operator="greaterThan">
      <formula>0.85</formula>
    </cfRule>
  </conditionalFormatting>
  <conditionalFormatting sqref="N151">
    <cfRule type="cellIs" dxfId="1843" priority="189" operator="greaterThan">
      <formula>0.9</formula>
    </cfRule>
    <cfRule type="cellIs" dxfId="1842" priority="190" operator="greaterThan">
      <formula>0.85</formula>
    </cfRule>
  </conditionalFormatting>
  <conditionalFormatting sqref="E151">
    <cfRule type="expression" dxfId="1841" priority="185">
      <formula>AND(IF(OR($Q151=1,$Q151=2),1,0),IF($X151&lt;=20,1,0))</formula>
    </cfRule>
    <cfRule type="expression" dxfId="1840" priority="186">
      <formula>AND(IF($Q151=2,1,0),IF($X151&lt;30,1,0))</formula>
    </cfRule>
    <cfRule type="expression" dxfId="1839" priority="187">
      <formula>AND(IF($Q151=3,1,0),IF($X151&lt;30,1,0))</formula>
    </cfRule>
    <cfRule type="expression" dxfId="1838" priority="188">
      <formula>AND(IF($Q151=3,1,IF($Q151=4,1,0)),IF($F151&lt;=85,1,0))</formula>
    </cfRule>
  </conditionalFormatting>
  <conditionalFormatting sqref="X151">
    <cfRule type="expression" dxfId="1837" priority="181">
      <formula>AND(IF(OR($Q151=1,$Q151=2),1,0),IF($X151&lt;=20,1,0))</formula>
    </cfRule>
    <cfRule type="expression" dxfId="1836" priority="182">
      <formula>AND(IF($Q151=2,1,0),IF($X151&lt;30,1,0))</formula>
    </cfRule>
    <cfRule type="expression" dxfId="1835" priority="183">
      <formula>AND(IF($Q151=3,1,0),IF($X151&lt;30,1,0))</formula>
    </cfRule>
    <cfRule type="expression" dxfId="1834" priority="184">
      <formula>AND(IF($Q151=3,1,IF($Q151=4,1,0)),IF($F151&lt;=85,1,0))</formula>
    </cfRule>
  </conditionalFormatting>
  <conditionalFormatting sqref="AI151">
    <cfRule type="expression" dxfId="1833" priority="177">
      <formula>AND(IF(OR($Q151=1,$Q151=2),1,0),IF($X151&lt;=20,1,0))</formula>
    </cfRule>
    <cfRule type="expression" dxfId="1832" priority="178">
      <formula>AND(IF($Q151=2,1,0),IF($X151&lt;30,1,0))</formula>
    </cfRule>
    <cfRule type="expression" dxfId="1831" priority="179">
      <formula>AND(IF($Q151=3,1,0),IF($X151&lt;30,1,0))</formula>
    </cfRule>
    <cfRule type="expression" dxfId="1830" priority="180">
      <formula>AND(IF($Q151=3,1,IF($Q151=4,1,0)),IF($F151&lt;=85,1,0))</formula>
    </cfRule>
  </conditionalFormatting>
  <conditionalFormatting sqref="AV152">
    <cfRule type="expression" dxfId="1829" priority="175">
      <formula>AV152="X"</formula>
    </cfRule>
    <cfRule type="expression" dxfId="1828" priority="176">
      <formula>AV152="후보"</formula>
    </cfRule>
  </conditionalFormatting>
  <conditionalFormatting sqref="Z152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 N152">
    <cfRule type="cellIs" dxfId="1827" priority="172" operator="greaterThan">
      <formula>0.9</formula>
    </cfRule>
    <cfRule type="cellIs" dxfId="1826" priority="173" operator="greaterThan">
      <formula>0.85</formula>
    </cfRule>
  </conditionalFormatting>
  <conditionalFormatting sqref="AV153">
    <cfRule type="expression" dxfId="1825" priority="170">
      <formula>AV153="X"</formula>
    </cfRule>
    <cfRule type="expression" dxfId="1824" priority="171">
      <formula>AV153="후보"</formula>
    </cfRule>
  </conditionalFormatting>
  <conditionalFormatting sqref="Z153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1823" priority="167" operator="greaterThan">
      <formula>0.9</formula>
    </cfRule>
    <cfRule type="cellIs" dxfId="1822" priority="168" operator="greaterThan">
      <formula>0.85</formula>
    </cfRule>
  </conditionalFormatting>
  <conditionalFormatting sqref="N153">
    <cfRule type="cellIs" dxfId="1821" priority="165" operator="greaterThan">
      <formula>0.9</formula>
    </cfRule>
    <cfRule type="cellIs" dxfId="1820" priority="166" operator="greaterThan">
      <formula>0.85</formula>
    </cfRule>
  </conditionalFormatting>
  <conditionalFormatting sqref="E153">
    <cfRule type="expression" dxfId="1819" priority="161">
      <formula>AND(IF(OR($Q153=1,$Q153=2),1,0),IF($X153&lt;=20,1,0))</formula>
    </cfRule>
    <cfRule type="expression" dxfId="1818" priority="162">
      <formula>AND(IF($Q153=2,1,0),IF($X153&lt;30,1,0))</formula>
    </cfRule>
    <cfRule type="expression" dxfId="1817" priority="163">
      <formula>AND(IF($Q153=3,1,0),IF($X153&lt;30,1,0))</formula>
    </cfRule>
    <cfRule type="expression" dxfId="1816" priority="164">
      <formula>AND(IF($Q153=3,1,IF($Q153=4,1,0)),IF($F153&lt;=85,1,0))</formula>
    </cfRule>
  </conditionalFormatting>
  <conditionalFormatting sqref="X153">
    <cfRule type="expression" dxfId="1815" priority="157">
      <formula>AND(IF(OR($Q153=1,$Q153=2),1,0),IF($X153&lt;=20,1,0))</formula>
    </cfRule>
    <cfRule type="expression" dxfId="1814" priority="158">
      <formula>AND(IF($Q153=2,1,0),IF($X153&lt;30,1,0))</formula>
    </cfRule>
    <cfRule type="expression" dxfId="1813" priority="159">
      <formula>AND(IF($Q153=3,1,0),IF($X153&lt;30,1,0))</formula>
    </cfRule>
    <cfRule type="expression" dxfId="1812" priority="160">
      <formula>AND(IF($Q153=3,1,IF($Q153=4,1,0)),IF($F153&lt;=85,1,0))</formula>
    </cfRule>
  </conditionalFormatting>
  <conditionalFormatting sqref="AI153">
    <cfRule type="expression" dxfId="1811" priority="153">
      <formula>AND(IF(OR($Q153=1,$Q153=2),1,0),IF($X153&lt;=20,1,0))</formula>
    </cfRule>
    <cfRule type="expression" dxfId="1810" priority="154">
      <formula>AND(IF($Q153=2,1,0),IF($X153&lt;30,1,0))</formula>
    </cfRule>
    <cfRule type="expression" dxfId="1809" priority="155">
      <formula>AND(IF($Q153=3,1,0),IF($X153&lt;30,1,0))</formula>
    </cfRule>
    <cfRule type="expression" dxfId="1808" priority="156">
      <formula>AND(IF($Q153=3,1,IF($Q153=4,1,0)),IF($F153&lt;=85,1,0))</formula>
    </cfRule>
  </conditionalFormatting>
  <conditionalFormatting sqref="AV154">
    <cfRule type="expression" dxfId="1807" priority="151">
      <formula>AV154="X"</formula>
    </cfRule>
    <cfRule type="expression" dxfId="1806" priority="152">
      <formula>AV154="후보"</formula>
    </cfRule>
  </conditionalFormatting>
  <conditionalFormatting sqref="Z154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1805" priority="148" operator="greaterThan">
      <formula>0.9</formula>
    </cfRule>
    <cfRule type="cellIs" dxfId="1804" priority="149" operator="greaterThan">
      <formula>0.85</formula>
    </cfRule>
  </conditionalFormatting>
  <conditionalFormatting sqref="N154">
    <cfRule type="cellIs" dxfId="1803" priority="146" operator="greaterThan">
      <formula>0.9</formula>
    </cfRule>
    <cfRule type="cellIs" dxfId="1802" priority="147" operator="greaterThan">
      <formula>0.85</formula>
    </cfRule>
  </conditionalFormatting>
  <conditionalFormatting sqref="E154">
    <cfRule type="expression" dxfId="1801" priority="142">
      <formula>AND(IF(OR($Q154=1,$Q154=2),1,0),IF($X154&lt;=20,1,0))</formula>
    </cfRule>
    <cfRule type="expression" dxfId="1800" priority="143">
      <formula>AND(IF($Q154=2,1,0),IF($X154&lt;30,1,0))</formula>
    </cfRule>
    <cfRule type="expression" dxfId="1799" priority="144">
      <formula>AND(IF($Q154=3,1,0),IF($X154&lt;30,1,0))</formula>
    </cfRule>
    <cfRule type="expression" dxfId="1798" priority="145">
      <formula>AND(IF($Q154=3,1,IF($Q154=4,1,0)),IF($F154&lt;=85,1,0))</formula>
    </cfRule>
  </conditionalFormatting>
  <conditionalFormatting sqref="X154">
    <cfRule type="expression" dxfId="1797" priority="138">
      <formula>AND(IF(OR($Q154=1,$Q154=2),1,0),IF($X154&lt;=20,1,0))</formula>
    </cfRule>
    <cfRule type="expression" dxfId="1796" priority="139">
      <formula>AND(IF($Q154=2,1,0),IF($X154&lt;30,1,0))</formula>
    </cfRule>
    <cfRule type="expression" dxfId="1795" priority="140">
      <formula>AND(IF($Q154=3,1,0),IF($X154&lt;30,1,0))</formula>
    </cfRule>
    <cfRule type="expression" dxfId="1794" priority="141">
      <formula>AND(IF($Q154=3,1,IF($Q154=4,1,0)),IF($F154&lt;=85,1,0))</formula>
    </cfRule>
  </conditionalFormatting>
  <conditionalFormatting sqref="AI154">
    <cfRule type="expression" dxfId="1793" priority="134">
      <formula>AND(IF(OR($Q154=1,$Q154=2),1,0),IF($X154&lt;=20,1,0))</formula>
    </cfRule>
    <cfRule type="expression" dxfId="1792" priority="135">
      <formula>AND(IF($Q154=2,1,0),IF($X154&lt;30,1,0))</formula>
    </cfRule>
    <cfRule type="expression" dxfId="1791" priority="136">
      <formula>AND(IF($Q154=3,1,0),IF($X154&lt;30,1,0))</formula>
    </cfRule>
    <cfRule type="expression" dxfId="1790" priority="137">
      <formula>AND(IF($Q154=3,1,IF($Q154=4,1,0)),IF($F154&lt;=85,1,0))</formula>
    </cfRule>
  </conditionalFormatting>
  <conditionalFormatting sqref="AV155">
    <cfRule type="expression" dxfId="1789" priority="132">
      <formula>AV155="X"</formula>
    </cfRule>
    <cfRule type="expression" dxfId="1788" priority="133">
      <formula>AV155="후보"</formula>
    </cfRule>
  </conditionalFormatting>
  <conditionalFormatting sqref="Z155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1787" priority="129" operator="greaterThan">
      <formula>0.9</formula>
    </cfRule>
    <cfRule type="cellIs" dxfId="1786" priority="130" operator="greaterThan">
      <formula>0.85</formula>
    </cfRule>
  </conditionalFormatting>
  <conditionalFormatting sqref="N155">
    <cfRule type="cellIs" dxfId="1785" priority="127" operator="greaterThan">
      <formula>0.9</formula>
    </cfRule>
    <cfRule type="cellIs" dxfId="1784" priority="128" operator="greaterThan">
      <formula>0.85</formula>
    </cfRule>
  </conditionalFormatting>
  <conditionalFormatting sqref="E155">
    <cfRule type="expression" dxfId="1783" priority="123">
      <formula>AND(IF(OR($Q155=1,$Q155=2),1,0),IF($X155&lt;=20,1,0))</formula>
    </cfRule>
    <cfRule type="expression" dxfId="1782" priority="124">
      <formula>AND(IF($Q155=2,1,0),IF($X155&lt;30,1,0))</formula>
    </cfRule>
    <cfRule type="expression" dxfId="1781" priority="125">
      <formula>AND(IF($Q155=3,1,0),IF($X155&lt;30,1,0))</formula>
    </cfRule>
    <cfRule type="expression" dxfId="1780" priority="126">
      <formula>AND(IF($Q155=3,1,IF($Q155=4,1,0)),IF($F155&lt;=85,1,0))</formula>
    </cfRule>
  </conditionalFormatting>
  <conditionalFormatting sqref="X155">
    <cfRule type="expression" dxfId="1779" priority="119">
      <formula>AND(IF(OR($Q155=1,$Q155=2),1,0),IF($X155&lt;=20,1,0))</formula>
    </cfRule>
    <cfRule type="expression" dxfId="1778" priority="120">
      <formula>AND(IF($Q155=2,1,0),IF($X155&lt;30,1,0))</formula>
    </cfRule>
    <cfRule type="expression" dxfId="1777" priority="121">
      <formula>AND(IF($Q155=3,1,0),IF($X155&lt;30,1,0))</formula>
    </cfRule>
    <cfRule type="expression" dxfId="1776" priority="122">
      <formula>AND(IF($Q155=3,1,IF($Q155=4,1,0)),IF($F155&lt;=85,1,0))</formula>
    </cfRule>
  </conditionalFormatting>
  <conditionalFormatting sqref="AI155">
    <cfRule type="expression" dxfId="1775" priority="115">
      <formula>AND(IF(OR($Q155=1,$Q155=2),1,0),IF($X155&lt;=20,1,0))</formula>
    </cfRule>
    <cfRule type="expression" dxfId="1774" priority="116">
      <formula>AND(IF($Q155=2,1,0),IF($X155&lt;30,1,0))</formula>
    </cfRule>
    <cfRule type="expression" dxfId="1773" priority="117">
      <formula>AND(IF($Q155=3,1,0),IF($X155&lt;30,1,0))</formula>
    </cfRule>
    <cfRule type="expression" dxfId="1772" priority="118">
      <formula>AND(IF($Q155=3,1,IF($Q155=4,1,0)),IF($F155&lt;=85,1,0))</formula>
    </cfRule>
  </conditionalFormatting>
  <conditionalFormatting sqref="AV156">
    <cfRule type="expression" dxfId="1771" priority="113">
      <formula>AV156="X"</formula>
    </cfRule>
    <cfRule type="expression" dxfId="1770" priority="114">
      <formula>AV156="후보"</formula>
    </cfRule>
  </conditionalFormatting>
  <conditionalFormatting sqref="Z15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">
    <cfRule type="cellIs" dxfId="1769" priority="110" operator="greaterThan">
      <formula>0.9</formula>
    </cfRule>
    <cfRule type="cellIs" dxfId="1768" priority="111" operator="greaterThan">
      <formula>0.85</formula>
    </cfRule>
  </conditionalFormatting>
  <conditionalFormatting sqref="N156">
    <cfRule type="cellIs" dxfId="1767" priority="108" operator="greaterThan">
      <formula>0.9</formula>
    </cfRule>
    <cfRule type="cellIs" dxfId="1766" priority="109" operator="greaterThan">
      <formula>0.85</formula>
    </cfRule>
  </conditionalFormatting>
  <conditionalFormatting sqref="E156">
    <cfRule type="expression" dxfId="1765" priority="104">
      <formula>AND(IF(OR($Q156=1,$Q156=2),1,0),IF($X156&lt;=20,1,0))</formula>
    </cfRule>
    <cfRule type="expression" dxfId="1764" priority="105">
      <formula>AND(IF($Q156=2,1,0),IF($X156&lt;30,1,0))</formula>
    </cfRule>
    <cfRule type="expression" dxfId="1763" priority="106">
      <formula>AND(IF($Q156=3,1,0),IF($X156&lt;30,1,0))</formula>
    </cfRule>
    <cfRule type="expression" dxfId="1762" priority="107">
      <formula>AND(IF($Q156=3,1,IF($Q156=4,1,0)),IF($F156&lt;=85,1,0))</formula>
    </cfRule>
  </conditionalFormatting>
  <conditionalFormatting sqref="X156">
    <cfRule type="expression" dxfId="1761" priority="100">
      <formula>AND(IF(OR($Q156=1,$Q156=2),1,0),IF($X156&lt;=20,1,0))</formula>
    </cfRule>
    <cfRule type="expression" dxfId="1760" priority="101">
      <formula>AND(IF($Q156=2,1,0),IF($X156&lt;30,1,0))</formula>
    </cfRule>
    <cfRule type="expression" dxfId="1759" priority="102">
      <formula>AND(IF($Q156=3,1,0),IF($X156&lt;30,1,0))</formula>
    </cfRule>
    <cfRule type="expression" dxfId="1758" priority="103">
      <formula>AND(IF($Q156=3,1,IF($Q156=4,1,0)),IF($F156&lt;=85,1,0))</formula>
    </cfRule>
  </conditionalFormatting>
  <conditionalFormatting sqref="AI156">
    <cfRule type="expression" dxfId="1757" priority="96">
      <formula>AND(IF(OR($Q156=1,$Q156=2),1,0),IF($X156&lt;=20,1,0))</formula>
    </cfRule>
    <cfRule type="expression" dxfId="1756" priority="97">
      <formula>AND(IF($Q156=2,1,0),IF($X156&lt;30,1,0))</formula>
    </cfRule>
    <cfRule type="expression" dxfId="1755" priority="98">
      <formula>AND(IF($Q156=3,1,0),IF($X156&lt;30,1,0))</formula>
    </cfRule>
    <cfRule type="expression" dxfId="1754" priority="99">
      <formula>AND(IF($Q156=3,1,IF($Q156=4,1,0)),IF($F156&lt;=85,1,0))</formula>
    </cfRule>
  </conditionalFormatting>
  <conditionalFormatting sqref="AV157">
    <cfRule type="expression" dxfId="1753" priority="94">
      <formula>AV157="X"</formula>
    </cfRule>
    <cfRule type="expression" dxfId="1752" priority="95">
      <formula>AV157="후보"</formula>
    </cfRule>
  </conditionalFormatting>
  <conditionalFormatting sqref="Z15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">
    <cfRule type="cellIs" dxfId="1751" priority="91" operator="greaterThan">
      <formula>0.9</formula>
    </cfRule>
    <cfRule type="cellIs" dxfId="1750" priority="92" operator="greaterThan">
      <formula>0.85</formula>
    </cfRule>
  </conditionalFormatting>
  <conditionalFormatting sqref="N157">
    <cfRule type="cellIs" dxfId="1749" priority="89" operator="greaterThan">
      <formula>0.9</formula>
    </cfRule>
    <cfRule type="cellIs" dxfId="1748" priority="90" operator="greaterThan">
      <formula>0.85</formula>
    </cfRule>
  </conditionalFormatting>
  <conditionalFormatting sqref="E157">
    <cfRule type="expression" dxfId="1747" priority="85">
      <formula>AND(IF(OR($Q157=1,$Q157=2),1,0),IF($X157&lt;=20,1,0))</formula>
    </cfRule>
    <cfRule type="expression" dxfId="1746" priority="86">
      <formula>AND(IF($Q157=2,1,0),IF($X157&lt;30,1,0))</formula>
    </cfRule>
    <cfRule type="expression" dxfId="1745" priority="87">
      <formula>AND(IF($Q157=3,1,0),IF($X157&lt;30,1,0))</formula>
    </cfRule>
    <cfRule type="expression" dxfId="1744" priority="88">
      <formula>AND(IF($Q157=3,1,IF($Q157=4,1,0)),IF($F157&lt;=85,1,0))</formula>
    </cfRule>
  </conditionalFormatting>
  <conditionalFormatting sqref="X157">
    <cfRule type="expression" dxfId="1743" priority="81">
      <formula>AND(IF(OR($Q157=1,$Q157=2),1,0),IF($X157&lt;=20,1,0))</formula>
    </cfRule>
    <cfRule type="expression" dxfId="1742" priority="82">
      <formula>AND(IF($Q157=2,1,0),IF($X157&lt;30,1,0))</formula>
    </cfRule>
    <cfRule type="expression" dxfId="1741" priority="83">
      <formula>AND(IF($Q157=3,1,0),IF($X157&lt;30,1,0))</formula>
    </cfRule>
    <cfRule type="expression" dxfId="1740" priority="84">
      <formula>AND(IF($Q157=3,1,IF($Q157=4,1,0)),IF($F157&lt;=85,1,0))</formula>
    </cfRule>
  </conditionalFormatting>
  <conditionalFormatting sqref="AI157">
    <cfRule type="expression" dxfId="1739" priority="77">
      <formula>AND(IF(OR($Q157=1,$Q157=2),1,0),IF($X157&lt;=20,1,0))</formula>
    </cfRule>
    <cfRule type="expression" dxfId="1738" priority="78">
      <formula>AND(IF($Q157=2,1,0),IF($X157&lt;30,1,0))</formula>
    </cfRule>
    <cfRule type="expression" dxfId="1737" priority="79">
      <formula>AND(IF($Q157=3,1,0),IF($X157&lt;30,1,0))</formula>
    </cfRule>
    <cfRule type="expression" dxfId="1736" priority="80">
      <formula>AND(IF($Q157=3,1,IF($Q157=4,1,0)),IF($F157&lt;=85,1,0))</formula>
    </cfRule>
  </conditionalFormatting>
  <conditionalFormatting sqref="AV158">
    <cfRule type="expression" dxfId="1735" priority="75">
      <formula>AV158="X"</formula>
    </cfRule>
    <cfRule type="expression" dxfId="1734" priority="76">
      <formula>AV158="후보"</formula>
    </cfRule>
  </conditionalFormatting>
  <conditionalFormatting sqref="Z15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1733" priority="72" operator="greaterThan">
      <formula>0.9</formula>
    </cfRule>
    <cfRule type="cellIs" dxfId="1732" priority="73" operator="greaterThan">
      <formula>0.85</formula>
    </cfRule>
  </conditionalFormatting>
  <conditionalFormatting sqref="N158">
    <cfRule type="cellIs" dxfId="1731" priority="70" operator="greaterThan">
      <formula>0.9</formula>
    </cfRule>
    <cfRule type="cellIs" dxfId="1730" priority="71" operator="greaterThan">
      <formula>0.85</formula>
    </cfRule>
  </conditionalFormatting>
  <conditionalFormatting sqref="E158">
    <cfRule type="expression" dxfId="1729" priority="66">
      <formula>AND(IF(OR($Q158=1,$Q158=2),1,0),IF($X158&lt;=20,1,0))</formula>
    </cfRule>
    <cfRule type="expression" dxfId="1728" priority="67">
      <formula>AND(IF($Q158=2,1,0),IF($X158&lt;30,1,0))</formula>
    </cfRule>
    <cfRule type="expression" dxfId="1727" priority="68">
      <formula>AND(IF($Q158=3,1,0),IF($X158&lt;30,1,0))</formula>
    </cfRule>
    <cfRule type="expression" dxfId="1726" priority="69">
      <formula>AND(IF($Q158=3,1,IF($Q158=4,1,0)),IF($F158&lt;=85,1,0))</formula>
    </cfRule>
  </conditionalFormatting>
  <conditionalFormatting sqref="X158">
    <cfRule type="expression" dxfId="1725" priority="62">
      <formula>AND(IF(OR($Q158=1,$Q158=2),1,0),IF($X158&lt;=20,1,0))</formula>
    </cfRule>
    <cfRule type="expression" dxfId="1724" priority="63">
      <formula>AND(IF($Q158=2,1,0),IF($X158&lt;30,1,0))</formula>
    </cfRule>
    <cfRule type="expression" dxfId="1723" priority="64">
      <formula>AND(IF($Q158=3,1,0),IF($X158&lt;30,1,0))</formula>
    </cfRule>
    <cfRule type="expression" dxfId="1722" priority="65">
      <formula>AND(IF($Q158=3,1,IF($Q158=4,1,0)),IF($F158&lt;=85,1,0))</formula>
    </cfRule>
  </conditionalFormatting>
  <conditionalFormatting sqref="AI158">
    <cfRule type="expression" dxfId="1721" priority="58">
      <formula>AND(IF(OR($Q158=1,$Q158=2),1,0),IF($X158&lt;=20,1,0))</formula>
    </cfRule>
    <cfRule type="expression" dxfId="1720" priority="59">
      <formula>AND(IF($Q158=2,1,0),IF($X158&lt;30,1,0))</formula>
    </cfRule>
    <cfRule type="expression" dxfId="1719" priority="60">
      <formula>AND(IF($Q158=3,1,0),IF($X158&lt;30,1,0))</formula>
    </cfRule>
    <cfRule type="expression" dxfId="1718" priority="61">
      <formula>AND(IF($Q158=3,1,IF($Q158=4,1,0)),IF($F158&lt;=85,1,0))</formula>
    </cfRule>
  </conditionalFormatting>
  <conditionalFormatting sqref="AV159">
    <cfRule type="expression" dxfId="1717" priority="56">
      <formula>AV159="X"</formula>
    </cfRule>
    <cfRule type="expression" dxfId="1716" priority="57">
      <formula>AV159="후보"</formula>
    </cfRule>
  </conditionalFormatting>
  <conditionalFormatting sqref="Z15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1715" priority="53" operator="greaterThan">
      <formula>0.9</formula>
    </cfRule>
    <cfRule type="cellIs" dxfId="1714" priority="54" operator="greaterThan">
      <formula>0.85</formula>
    </cfRule>
  </conditionalFormatting>
  <conditionalFormatting sqref="N159">
    <cfRule type="cellIs" dxfId="1713" priority="51" operator="greaterThan">
      <formula>0.9</formula>
    </cfRule>
    <cfRule type="cellIs" dxfId="1712" priority="52" operator="greaterThan">
      <formula>0.85</formula>
    </cfRule>
  </conditionalFormatting>
  <conditionalFormatting sqref="E159">
    <cfRule type="expression" dxfId="1711" priority="47">
      <formula>AND(IF(OR($Q159=1,$Q159=2),1,0),IF($X159&lt;=20,1,0))</formula>
    </cfRule>
    <cfRule type="expression" dxfId="1710" priority="48">
      <formula>AND(IF($Q159=2,1,0),IF($X159&lt;30,1,0))</formula>
    </cfRule>
    <cfRule type="expression" dxfId="1709" priority="49">
      <formula>AND(IF($Q159=3,1,0),IF($X159&lt;30,1,0))</formula>
    </cfRule>
    <cfRule type="expression" dxfId="1708" priority="50">
      <formula>AND(IF($Q159=3,1,IF($Q159=4,1,0)),IF($F159&lt;=85,1,0))</formula>
    </cfRule>
  </conditionalFormatting>
  <conditionalFormatting sqref="X159">
    <cfRule type="expression" dxfId="1707" priority="43">
      <formula>AND(IF(OR($Q159=1,$Q159=2),1,0),IF($X159&lt;=20,1,0))</formula>
    </cfRule>
    <cfRule type="expression" dxfId="1706" priority="44">
      <formula>AND(IF($Q159=2,1,0),IF($X159&lt;30,1,0))</formula>
    </cfRule>
    <cfRule type="expression" dxfId="1705" priority="45">
      <formula>AND(IF($Q159=3,1,0),IF($X159&lt;30,1,0))</formula>
    </cfRule>
    <cfRule type="expression" dxfId="1704" priority="46">
      <formula>AND(IF($Q159=3,1,IF($Q159=4,1,0)),IF($F159&lt;=85,1,0))</formula>
    </cfRule>
  </conditionalFormatting>
  <conditionalFormatting sqref="AI159">
    <cfRule type="expression" dxfId="1703" priority="39">
      <formula>AND(IF(OR($Q159=1,$Q159=2),1,0),IF($X159&lt;=20,1,0))</formula>
    </cfRule>
    <cfRule type="expression" dxfId="1702" priority="40">
      <formula>AND(IF($Q159=2,1,0),IF($X159&lt;30,1,0))</formula>
    </cfRule>
    <cfRule type="expression" dxfId="1701" priority="41">
      <formula>AND(IF($Q159=3,1,0),IF($X159&lt;30,1,0))</formula>
    </cfRule>
    <cfRule type="expression" dxfId="1700" priority="42">
      <formula>AND(IF($Q159=3,1,IF($Q159=4,1,0)),IF($F159&lt;=85,1,0))</formula>
    </cfRule>
  </conditionalFormatting>
  <conditionalFormatting sqref="AV160">
    <cfRule type="expression" dxfId="1699" priority="37">
      <formula>AV160="X"</formula>
    </cfRule>
    <cfRule type="expression" dxfId="1698" priority="38">
      <formula>AV160="후보"</formula>
    </cfRule>
  </conditionalFormatting>
  <conditionalFormatting sqref="Z16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1697" priority="34" operator="greaterThan">
      <formula>0.9</formula>
    </cfRule>
    <cfRule type="cellIs" dxfId="1696" priority="35" operator="greaterThan">
      <formula>0.85</formula>
    </cfRule>
  </conditionalFormatting>
  <conditionalFormatting sqref="N160">
    <cfRule type="cellIs" dxfId="1695" priority="32" operator="greaterThan">
      <formula>0.9</formula>
    </cfRule>
    <cfRule type="cellIs" dxfId="1694" priority="33" operator="greaterThan">
      <formula>0.85</formula>
    </cfRule>
  </conditionalFormatting>
  <conditionalFormatting sqref="E160">
    <cfRule type="expression" dxfId="1693" priority="28">
      <formula>AND(IF(OR($Q160=1,$Q160=2),1,0),IF($X160&lt;=20,1,0))</formula>
    </cfRule>
    <cfRule type="expression" dxfId="1692" priority="29">
      <formula>AND(IF($Q160=2,1,0),IF($X160&lt;30,1,0))</formula>
    </cfRule>
    <cfRule type="expression" dxfId="1691" priority="30">
      <formula>AND(IF($Q160=3,1,0),IF($X160&lt;30,1,0))</formula>
    </cfRule>
    <cfRule type="expression" dxfId="1690" priority="31">
      <formula>AND(IF($Q160=3,1,IF($Q160=4,1,0)),IF($F160&lt;=85,1,0))</formula>
    </cfRule>
  </conditionalFormatting>
  <conditionalFormatting sqref="X160">
    <cfRule type="expression" dxfId="1689" priority="24">
      <formula>AND(IF(OR($Q160=1,$Q160=2),1,0),IF($X160&lt;=20,1,0))</formula>
    </cfRule>
    <cfRule type="expression" dxfId="1688" priority="25">
      <formula>AND(IF($Q160=2,1,0),IF($X160&lt;30,1,0))</formula>
    </cfRule>
    <cfRule type="expression" dxfId="1687" priority="26">
      <formula>AND(IF($Q160=3,1,0),IF($X160&lt;30,1,0))</formula>
    </cfRule>
    <cfRule type="expression" dxfId="1686" priority="27">
      <formula>AND(IF($Q160=3,1,IF($Q160=4,1,0)),IF($F160&lt;=85,1,0))</formula>
    </cfRule>
  </conditionalFormatting>
  <conditionalFormatting sqref="AI160">
    <cfRule type="expression" dxfId="1685" priority="20">
      <formula>AND(IF(OR($Q160=1,$Q160=2),1,0),IF($X160&lt;=20,1,0))</formula>
    </cfRule>
    <cfRule type="expression" dxfId="1684" priority="21">
      <formula>AND(IF($Q160=2,1,0),IF($X160&lt;30,1,0))</formula>
    </cfRule>
    <cfRule type="expression" dxfId="1683" priority="22">
      <formula>AND(IF($Q160=3,1,0),IF($X160&lt;30,1,0))</formula>
    </cfRule>
    <cfRule type="expression" dxfId="1682" priority="23">
      <formula>AND(IF($Q160=3,1,IF($Q160=4,1,0)),IF($F160&lt;=85,1,0))</formula>
    </cfRule>
  </conditionalFormatting>
  <conditionalFormatting sqref="AV161">
    <cfRule type="expression" dxfId="1681" priority="18">
      <formula>AV161="X"</formula>
    </cfRule>
    <cfRule type="expression" dxfId="1680" priority="19">
      <formula>AV161="후보"</formula>
    </cfRule>
  </conditionalFormatting>
  <conditionalFormatting sqref="Z16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1679" priority="15" operator="greaterThan">
      <formula>0.9</formula>
    </cfRule>
    <cfRule type="cellIs" dxfId="1678" priority="16" operator="greaterThan">
      <formula>0.85</formula>
    </cfRule>
  </conditionalFormatting>
  <conditionalFormatting sqref="N161">
    <cfRule type="cellIs" dxfId="1677" priority="13" operator="greaterThan">
      <formula>0.9</formula>
    </cfRule>
    <cfRule type="cellIs" dxfId="1676" priority="14" operator="greaterThan">
      <formula>0.85</formula>
    </cfRule>
  </conditionalFormatting>
  <conditionalFormatting sqref="E161">
    <cfRule type="expression" dxfId="1675" priority="9">
      <formula>AND(IF(OR($Q161=1,$Q161=2),1,0),IF($X161&lt;=20,1,0))</formula>
    </cfRule>
    <cfRule type="expression" dxfId="1674" priority="10">
      <formula>AND(IF($Q161=2,1,0),IF($X161&lt;30,1,0))</formula>
    </cfRule>
    <cfRule type="expression" dxfId="1673" priority="11">
      <formula>AND(IF($Q161=3,1,0),IF($X161&lt;30,1,0))</formula>
    </cfRule>
    <cfRule type="expression" dxfId="1672" priority="12">
      <formula>AND(IF($Q161=3,1,IF($Q161=4,1,0)),IF($F161&lt;=85,1,0))</formula>
    </cfRule>
  </conditionalFormatting>
  <conditionalFormatting sqref="X161">
    <cfRule type="expression" dxfId="1671" priority="5">
      <formula>AND(IF(OR($Q161=1,$Q161=2),1,0),IF($X161&lt;=20,1,0))</formula>
    </cfRule>
    <cfRule type="expression" dxfId="1670" priority="6">
      <formula>AND(IF($Q161=2,1,0),IF($X161&lt;30,1,0))</formula>
    </cfRule>
    <cfRule type="expression" dxfId="1669" priority="7">
      <formula>AND(IF($Q161=3,1,0),IF($X161&lt;30,1,0))</formula>
    </cfRule>
    <cfRule type="expression" dxfId="1668" priority="8">
      <formula>AND(IF($Q161=3,1,IF($Q161=4,1,0)),IF($F161&lt;=85,1,0))</formula>
    </cfRule>
  </conditionalFormatting>
  <conditionalFormatting sqref="AI161">
    <cfRule type="expression" dxfId="1667" priority="1">
      <formula>AND(IF(OR($Q161=1,$Q161=2),1,0),IF($X161&lt;=20,1,0))</formula>
    </cfRule>
    <cfRule type="expression" dxfId="1666" priority="2">
      <formula>AND(IF($Q161=2,1,0),IF($X161&lt;30,1,0))</formula>
    </cfRule>
    <cfRule type="expression" dxfId="1665" priority="3">
      <formula>AND(IF($Q161=3,1,0),IF($X161&lt;30,1,0))</formula>
    </cfRule>
    <cfRule type="expression" dxfId="1664" priority="4">
      <formula>AND(IF($Q161=3,1,IF($Q161=4,1,0)),IF($F161&lt;=85,1,0))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학익동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3322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학익동 신동아3차('90.04.,894^)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3323</v>
      </c>
      <c r="B6" s="16" t="s">
        <v>3324</v>
      </c>
      <c r="C6" s="28">
        <v>894</v>
      </c>
      <c r="D6" s="25">
        <v>52.5</v>
      </c>
      <c r="E6" s="106">
        <v>16</v>
      </c>
      <c r="F6" s="25">
        <v>43.8</v>
      </c>
      <c r="G6" s="27">
        <v>13</v>
      </c>
      <c r="H6" s="28">
        <v>48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64</v>
      </c>
      <c r="T6" s="8">
        <v>52</v>
      </c>
      <c r="U6" s="13"/>
      <c r="W6" s="25">
        <f>D6</f>
        <v>52.5</v>
      </c>
      <c r="X6" s="106">
        <f>E6</f>
        <v>16</v>
      </c>
      <c r="Y6" s="32">
        <f>H6</f>
        <v>48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2/1</v>
      </c>
      <c r="AH6" s="36" t="str">
        <f>IF(A6="","",A6)</f>
        <v>신동아3차</v>
      </c>
      <c r="AI6" s="106">
        <f>IF(E6="","",E6)</f>
        <v>16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3325</v>
      </c>
      <c r="B7" s="16" t="s">
        <v>3326</v>
      </c>
      <c r="C7" s="28">
        <v>894</v>
      </c>
      <c r="D7" s="25">
        <v>68.599999999999994</v>
      </c>
      <c r="E7" s="106">
        <v>21</v>
      </c>
      <c r="F7" s="25">
        <v>57.2</v>
      </c>
      <c r="G7" s="27">
        <v>17</v>
      </c>
      <c r="H7" s="28">
        <v>156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64</v>
      </c>
      <c r="T7" s="8">
        <v>68</v>
      </c>
      <c r="U7" s="13"/>
      <c r="W7" s="25">
        <f>D7</f>
        <v>68.599999999999994</v>
      </c>
      <c r="X7" s="106">
        <f>E7</f>
        <v>21</v>
      </c>
      <c r="Y7" s="32">
        <f>H7</f>
        <v>156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신동아3차</v>
      </c>
      <c r="AI7" s="106">
        <f>IF(E7="","",E7)</f>
        <v>21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3323</v>
      </c>
      <c r="B8" s="16" t="s">
        <v>3324</v>
      </c>
      <c r="C8" s="28">
        <v>894</v>
      </c>
      <c r="D8" s="25">
        <v>82.9</v>
      </c>
      <c r="E8" s="106">
        <v>25</v>
      </c>
      <c r="F8" s="25">
        <v>68.900000000000006</v>
      </c>
      <c r="G8" s="27">
        <v>21</v>
      </c>
      <c r="H8" s="28">
        <v>108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3327</v>
      </c>
      <c r="T8" s="8">
        <v>82</v>
      </c>
      <c r="U8" s="13"/>
      <c r="W8" s="25">
        <f>D8</f>
        <v>82.9</v>
      </c>
      <c r="X8" s="106">
        <f>E8</f>
        <v>25</v>
      </c>
      <c r="Y8" s="32">
        <f>H8</f>
        <v>108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복</v>
      </c>
      <c r="AF8" s="15" t="str">
        <f>Q8&amp;"/"&amp;R8</f>
        <v>3/1</v>
      </c>
      <c r="AH8" s="36" t="str">
        <f>IF(A8="","",A8)</f>
        <v>신동아3차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3323</v>
      </c>
      <c r="B9" s="16" t="s">
        <v>3324</v>
      </c>
      <c r="C9" s="28">
        <v>894</v>
      </c>
      <c r="D9" s="25">
        <v>86.7</v>
      </c>
      <c r="E9" s="106">
        <v>26</v>
      </c>
      <c r="F9" s="25">
        <v>73.3</v>
      </c>
      <c r="G9" s="27">
        <v>22</v>
      </c>
      <c r="H9" s="28">
        <v>120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3328</v>
      </c>
      <c r="T9" s="8">
        <v>86</v>
      </c>
      <c r="U9" s="13"/>
      <c r="W9" s="25">
        <f>D9</f>
        <v>86.7</v>
      </c>
      <c r="X9" s="106">
        <f>E9</f>
        <v>26</v>
      </c>
      <c r="Y9" s="32">
        <f>H9</f>
        <v>120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신동아3차</v>
      </c>
      <c r="AI9" s="106">
        <f>IF(E9="","",E9)</f>
        <v>26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3323</v>
      </c>
      <c r="B10" s="16" t="s">
        <v>3324</v>
      </c>
      <c r="C10" s="28">
        <v>894</v>
      </c>
      <c r="D10" s="25">
        <v>97.4</v>
      </c>
      <c r="E10" s="106">
        <v>29</v>
      </c>
      <c r="F10" s="25">
        <v>84.9</v>
      </c>
      <c r="G10" s="27">
        <v>26</v>
      </c>
      <c r="H10" s="28">
        <v>210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3328</v>
      </c>
      <c r="T10" s="8">
        <v>97</v>
      </c>
      <c r="U10" s="13"/>
      <c r="W10" s="25">
        <f>D10</f>
        <v>97.4</v>
      </c>
      <c r="X10" s="106">
        <f>E10</f>
        <v>29</v>
      </c>
      <c r="Y10" s="32">
        <f>H10</f>
        <v>210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신동아3차</v>
      </c>
      <c r="AI10" s="106">
        <f>IF(E10="","",E10)</f>
        <v>29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3323</v>
      </c>
      <c r="B11" s="16" t="s">
        <v>3324</v>
      </c>
      <c r="C11" s="28">
        <v>894</v>
      </c>
      <c r="D11" s="25">
        <v>110.9</v>
      </c>
      <c r="E11" s="106">
        <v>34</v>
      </c>
      <c r="F11" s="25">
        <v>99.1</v>
      </c>
      <c r="G11" s="27">
        <v>30</v>
      </c>
      <c r="H11" s="28">
        <v>60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3328</v>
      </c>
      <c r="T11" s="8">
        <v>110</v>
      </c>
      <c r="U11" s="13"/>
      <c r="W11" s="25">
        <f>D11</f>
        <v>110.9</v>
      </c>
      <c r="X11" s="106">
        <f>E11</f>
        <v>34</v>
      </c>
      <c r="Y11" s="32">
        <f>H11</f>
        <v>60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신동아3차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3323</v>
      </c>
      <c r="B12" s="16" t="s">
        <v>3324</v>
      </c>
      <c r="C12" s="28">
        <v>894</v>
      </c>
      <c r="D12" s="25">
        <v>129.1</v>
      </c>
      <c r="E12" s="106">
        <v>39</v>
      </c>
      <c r="F12" s="25">
        <v>112.2</v>
      </c>
      <c r="G12" s="27">
        <v>34</v>
      </c>
      <c r="H12" s="28">
        <v>48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3328</v>
      </c>
      <c r="T12" s="8">
        <v>129</v>
      </c>
      <c r="U12" s="13"/>
      <c r="W12" s="25">
        <f>D12</f>
        <v>129.1</v>
      </c>
      <c r="X12" s="106">
        <f>E12</f>
        <v>39</v>
      </c>
      <c r="Y12" s="32">
        <f>H12</f>
        <v>48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신동아3차</v>
      </c>
      <c r="AI12" s="106">
        <f>IF(E12="","",E12)</f>
        <v>39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3323</v>
      </c>
      <c r="B13" s="16" t="s">
        <v>3324</v>
      </c>
      <c r="C13" s="28">
        <v>894</v>
      </c>
      <c r="D13" s="25">
        <v>146.5</v>
      </c>
      <c r="E13" s="106">
        <v>44</v>
      </c>
      <c r="F13" s="25">
        <v>127</v>
      </c>
      <c r="G13" s="27">
        <v>38</v>
      </c>
      <c r="H13" s="28">
        <v>84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3328</v>
      </c>
      <c r="T13" s="8">
        <v>146</v>
      </c>
      <c r="U13" s="13"/>
      <c r="W13" s="25">
        <f>D13</f>
        <v>146.5</v>
      </c>
      <c r="X13" s="106">
        <f>E13</f>
        <v>44</v>
      </c>
      <c r="Y13" s="32">
        <f>H13</f>
        <v>84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신동아3차</v>
      </c>
      <c r="AI13" s="106">
        <f>IF(E13="","",E13)</f>
        <v>44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3323</v>
      </c>
      <c r="B14" s="16" t="s">
        <v>3324</v>
      </c>
      <c r="C14" s="28">
        <v>894</v>
      </c>
      <c r="D14" s="25">
        <v>173.3</v>
      </c>
      <c r="E14" s="106">
        <v>52</v>
      </c>
      <c r="F14" s="25">
        <v>151.6</v>
      </c>
      <c r="G14" s="27">
        <v>46</v>
      </c>
      <c r="H14" s="28">
        <v>60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5</v>
      </c>
      <c r="R14" s="15">
        <v>2</v>
      </c>
      <c r="S14" s="113" t="s">
        <v>3328</v>
      </c>
      <c r="T14" s="8">
        <v>173</v>
      </c>
      <c r="U14" s="13"/>
      <c r="W14" s="25">
        <f>D14</f>
        <v>173.3</v>
      </c>
      <c r="X14" s="106">
        <f>E14</f>
        <v>52</v>
      </c>
      <c r="Y14" s="32">
        <f>H14</f>
        <v>60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5/2</v>
      </c>
      <c r="AH14" s="36" t="str">
        <f>IF(A14="","",A14)</f>
        <v>신동아3차</v>
      </c>
      <c r="AI14" s="106">
        <f>IF(E14="","",E14)</f>
        <v>52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학익동 주안신동아8차('97.06.,538^)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3329</v>
      </c>
      <c r="B16" s="16" t="s">
        <v>3330</v>
      </c>
      <c r="C16" s="28">
        <v>538</v>
      </c>
      <c r="D16" s="25">
        <v>84.4</v>
      </c>
      <c r="E16" s="106">
        <v>26</v>
      </c>
      <c r="F16" s="25">
        <v>59.4</v>
      </c>
      <c r="G16" s="27">
        <v>18</v>
      </c>
      <c r="H16" s="28">
        <v>218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3327</v>
      </c>
      <c r="T16" s="8">
        <v>84</v>
      </c>
      <c r="U16" s="13"/>
      <c r="W16" s="25">
        <f>D16</f>
        <v>84.4</v>
      </c>
      <c r="X16" s="106">
        <f>E16</f>
        <v>26</v>
      </c>
      <c r="Y16" s="32">
        <f>H16</f>
        <v>218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복</v>
      </c>
      <c r="AF16" s="15" t="str">
        <f>Q16&amp;"/"&amp;R16</f>
        <v>2/1</v>
      </c>
      <c r="AH16" s="36" t="str">
        <f>IF(A16="","",A16)</f>
        <v>주안신동아8차</v>
      </c>
      <c r="AI16" s="106">
        <f>IF(E16="","",E16)</f>
        <v>26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3329</v>
      </c>
      <c r="B17" s="16" t="s">
        <v>3330</v>
      </c>
      <c r="C17" s="28">
        <v>538</v>
      </c>
      <c r="D17" s="25">
        <v>108.2</v>
      </c>
      <c r="E17" s="106">
        <v>33</v>
      </c>
      <c r="F17" s="25">
        <v>85</v>
      </c>
      <c r="G17" s="27">
        <v>26</v>
      </c>
      <c r="H17" s="28">
        <v>320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3328</v>
      </c>
      <c r="T17" s="8">
        <v>108</v>
      </c>
      <c r="U17" s="13"/>
      <c r="W17" s="25">
        <f>D17</f>
        <v>108.2</v>
      </c>
      <c r="X17" s="106">
        <f>E17</f>
        <v>33</v>
      </c>
      <c r="Y17" s="32">
        <f>H17</f>
        <v>320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주안신동아8차</v>
      </c>
      <c r="AI17" s="106">
        <f>IF(E17="","",E17)</f>
        <v>33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학익동 시티오씨엘4단지(주)('25.01.,428^)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3331</v>
      </c>
      <c r="B19" s="16" t="s">
        <v>3332</v>
      </c>
      <c r="C19" s="28">
        <v>428</v>
      </c>
      <c r="D19" s="25">
        <v>105.5</v>
      </c>
      <c r="E19" s="106">
        <v>32</v>
      </c>
      <c r="F19" s="25">
        <v>75</v>
      </c>
      <c r="G19" s="27">
        <v>23</v>
      </c>
      <c r="H19" s="28">
        <v>107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3328</v>
      </c>
      <c r="T19" s="8">
        <v>105</v>
      </c>
      <c r="U19" s="13"/>
      <c r="W19" s="25">
        <f>D19</f>
        <v>105.5</v>
      </c>
      <c r="X19" s="106">
        <f>E19</f>
        <v>32</v>
      </c>
      <c r="Y19" s="32">
        <f>H19</f>
        <v>107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시티오씨엘4단지(주)</v>
      </c>
      <c r="AI19" s="106">
        <f>IF(E19="","",E19)</f>
        <v>32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3331</v>
      </c>
      <c r="B20" s="16" t="s">
        <v>3332</v>
      </c>
      <c r="C20" s="28">
        <v>428</v>
      </c>
      <c r="D20" s="25">
        <v>118.3</v>
      </c>
      <c r="E20" s="106">
        <v>36</v>
      </c>
      <c r="F20" s="25">
        <v>84.9</v>
      </c>
      <c r="G20" s="27">
        <v>26</v>
      </c>
      <c r="H20" s="28">
        <v>255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3328</v>
      </c>
      <c r="T20" s="8">
        <v>118</v>
      </c>
      <c r="U20" s="13"/>
      <c r="W20" s="25">
        <f>D20</f>
        <v>118.3</v>
      </c>
      <c r="X20" s="106">
        <f>E20</f>
        <v>36</v>
      </c>
      <c r="Y20" s="32">
        <f>H20</f>
        <v>255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시티오씨엘4단지(주)</v>
      </c>
      <c r="AI20" s="106">
        <f>IF(E20="","",E20)</f>
        <v>36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3331</v>
      </c>
      <c r="B21" s="16" t="s">
        <v>3332</v>
      </c>
      <c r="C21" s="28">
        <v>428</v>
      </c>
      <c r="D21" s="25">
        <v>140.30000000000001</v>
      </c>
      <c r="E21" s="106">
        <v>42</v>
      </c>
      <c r="F21" s="25">
        <v>101.1</v>
      </c>
      <c r="G21" s="27">
        <v>31</v>
      </c>
      <c r="H21" s="28">
        <v>66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3328</v>
      </c>
      <c r="T21" s="8">
        <v>140</v>
      </c>
      <c r="U21" s="13"/>
      <c r="W21" s="25">
        <f>D21</f>
        <v>140.30000000000001</v>
      </c>
      <c r="X21" s="106">
        <f>E21</f>
        <v>42</v>
      </c>
      <c r="Y21" s="32">
        <f>H21</f>
        <v>66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시티오씨엘4단지(주)</v>
      </c>
      <c r="AI21" s="106">
        <f>IF(E21="","",E21)</f>
        <v>42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학익동 주안신동아7차('94.11.,510^)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3333</v>
      </c>
      <c r="B23" s="16" t="s">
        <v>3334</v>
      </c>
      <c r="C23" s="28">
        <v>510</v>
      </c>
      <c r="D23" s="25">
        <v>75.099999999999994</v>
      </c>
      <c r="E23" s="106">
        <v>23</v>
      </c>
      <c r="F23" s="25">
        <v>59.4</v>
      </c>
      <c r="G23" s="27">
        <v>18</v>
      </c>
      <c r="H23" s="28">
        <v>192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3327</v>
      </c>
      <c r="T23" s="8">
        <v>75</v>
      </c>
      <c r="U23" s="13"/>
      <c r="W23" s="25">
        <f>D23</f>
        <v>75.099999999999994</v>
      </c>
      <c r="X23" s="106">
        <f>E23</f>
        <v>23</v>
      </c>
      <c r="Y23" s="32">
        <f>H23</f>
        <v>192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복</v>
      </c>
      <c r="AF23" s="15" t="str">
        <f>Q23&amp;"/"&amp;R23</f>
        <v>3/1</v>
      </c>
      <c r="AH23" s="36" t="str">
        <f>IF(A23="","",A23)</f>
        <v>주안신동아7차</v>
      </c>
      <c r="AI23" s="106">
        <f>IF(E23="","",E23)</f>
        <v>23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3333</v>
      </c>
      <c r="B24" s="16" t="s">
        <v>3334</v>
      </c>
      <c r="C24" s="28">
        <v>510</v>
      </c>
      <c r="D24" s="25">
        <v>97.8</v>
      </c>
      <c r="E24" s="106">
        <v>30</v>
      </c>
      <c r="F24" s="25">
        <v>85</v>
      </c>
      <c r="G24" s="27">
        <v>26</v>
      </c>
      <c r="H24" s="28">
        <v>168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3328</v>
      </c>
      <c r="T24" s="8">
        <v>97</v>
      </c>
      <c r="U24" s="13"/>
      <c r="W24" s="25">
        <f>D24</f>
        <v>97.8</v>
      </c>
      <c r="X24" s="106">
        <f>E24</f>
        <v>30</v>
      </c>
      <c r="Y24" s="32">
        <f>H24</f>
        <v>168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주안신동아7차</v>
      </c>
      <c r="AI24" s="106">
        <f>IF(E24="","",E24)</f>
        <v>30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3333</v>
      </c>
      <c r="B25" s="16" t="s">
        <v>3334</v>
      </c>
      <c r="C25" s="28">
        <v>510</v>
      </c>
      <c r="D25" s="25">
        <v>141.30000000000001</v>
      </c>
      <c r="E25" s="106">
        <v>43</v>
      </c>
      <c r="F25" s="25">
        <v>127.1</v>
      </c>
      <c r="G25" s="27">
        <v>38</v>
      </c>
      <c r="H25" s="28">
        <v>150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4</v>
      </c>
      <c r="R25" s="15">
        <v>2</v>
      </c>
      <c r="S25" s="113" t="s">
        <v>3328</v>
      </c>
      <c r="T25" s="8">
        <v>141</v>
      </c>
      <c r="U25" s="13"/>
      <c r="W25" s="25">
        <f>D25</f>
        <v>141.30000000000001</v>
      </c>
      <c r="X25" s="106">
        <f>E25</f>
        <v>43</v>
      </c>
      <c r="Y25" s="32">
        <f>H25</f>
        <v>150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4/2</v>
      </c>
      <c r="AH25" s="36" t="str">
        <f>IF(A25="","",A25)</f>
        <v>주안신동아7차</v>
      </c>
      <c r="AI25" s="106">
        <f>IF(E25="","",E25)</f>
        <v>43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학익동 태산('98.10.,252^)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3335</v>
      </c>
      <c r="B27" s="16" t="s">
        <v>3336</v>
      </c>
      <c r="C27" s="28">
        <v>252</v>
      </c>
      <c r="D27" s="25">
        <v>80.099999999999994</v>
      </c>
      <c r="E27" s="106">
        <v>24</v>
      </c>
      <c r="F27" s="25">
        <v>59.1</v>
      </c>
      <c r="G27" s="27">
        <v>18</v>
      </c>
      <c r="H27" s="28">
        <v>168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2</v>
      </c>
      <c r="R27" s="15">
        <v>2</v>
      </c>
      <c r="S27" s="113" t="s">
        <v>3328</v>
      </c>
      <c r="T27" s="8">
        <v>80</v>
      </c>
      <c r="U27" s="13"/>
      <c r="W27" s="25">
        <f>D27</f>
        <v>80.099999999999994</v>
      </c>
      <c r="X27" s="106">
        <f>E27</f>
        <v>24</v>
      </c>
      <c r="Y27" s="32">
        <f>H27</f>
        <v>168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2/2</v>
      </c>
      <c r="AH27" s="36" t="str">
        <f>IF(A27="","",A27)</f>
        <v>태산</v>
      </c>
      <c r="AI27" s="106">
        <f>IF(E27="","",E27)</f>
        <v>24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5" t="s">
        <v>3335</v>
      </c>
      <c r="B28" s="16" t="s">
        <v>3336</v>
      </c>
      <c r="C28" s="28">
        <v>252</v>
      </c>
      <c r="D28" s="25">
        <v>114.5</v>
      </c>
      <c r="E28" s="106">
        <v>35</v>
      </c>
      <c r="F28" s="25">
        <v>84.4</v>
      </c>
      <c r="G28" s="27">
        <v>26</v>
      </c>
      <c r="H28" s="28">
        <v>84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3328</v>
      </c>
      <c r="T28" s="8">
        <v>114</v>
      </c>
      <c r="U28" s="13"/>
      <c r="W28" s="25">
        <f>D28</f>
        <v>114.5</v>
      </c>
      <c r="X28" s="106">
        <f>E28</f>
        <v>35</v>
      </c>
      <c r="Y28" s="32">
        <f>H28</f>
        <v>84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태산</v>
      </c>
      <c r="AI28" s="106">
        <f>IF(E28="","",E28)</f>
        <v>35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학익동 시티오씨엘3단지(주)('24.12.,977^)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3337</v>
      </c>
      <c r="B30" s="16" t="s">
        <v>3338</v>
      </c>
      <c r="C30" s="28">
        <v>977</v>
      </c>
      <c r="D30" s="25">
        <v>105.8</v>
      </c>
      <c r="E30" s="106">
        <v>32</v>
      </c>
      <c r="F30" s="25">
        <v>75.900000000000006</v>
      </c>
      <c r="G30" s="27">
        <v>23</v>
      </c>
      <c r="H30" s="28">
        <v>124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3328</v>
      </c>
      <c r="T30" s="8" t="s">
        <v>551</v>
      </c>
      <c r="U30" s="13"/>
      <c r="W30" s="25">
        <f>D30</f>
        <v>105.8</v>
      </c>
      <c r="X30" s="106">
        <f>E30</f>
        <v>32</v>
      </c>
      <c r="Y30" s="32">
        <f>H30</f>
        <v>124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시티오씨엘3단지(주)</v>
      </c>
      <c r="AI30" s="106">
        <f>IF(E30="","",E30)</f>
        <v>32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3337</v>
      </c>
      <c r="B31" s="16" t="s">
        <v>3338</v>
      </c>
      <c r="C31" s="28">
        <v>977</v>
      </c>
      <c r="D31" s="25">
        <v>107.7</v>
      </c>
      <c r="E31" s="106">
        <v>33</v>
      </c>
      <c r="F31" s="25">
        <v>75.900000000000006</v>
      </c>
      <c r="G31" s="27">
        <v>23</v>
      </c>
      <c r="H31" s="28">
        <v>83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3328</v>
      </c>
      <c r="T31" s="8" t="s">
        <v>2322</v>
      </c>
      <c r="U31" s="13"/>
      <c r="W31" s="25">
        <f>D31</f>
        <v>107.7</v>
      </c>
      <c r="X31" s="106">
        <f>E31</f>
        <v>33</v>
      </c>
      <c r="Y31" s="32">
        <f>H31</f>
        <v>83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시티오씨엘3단지(주)</v>
      </c>
      <c r="AI31" s="106">
        <f>IF(E31="","",E31)</f>
        <v>33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3337</v>
      </c>
      <c r="B32" s="16" t="s">
        <v>3338</v>
      </c>
      <c r="C32" s="28">
        <v>977</v>
      </c>
      <c r="D32" s="25">
        <v>117.6</v>
      </c>
      <c r="E32" s="106">
        <v>36</v>
      </c>
      <c r="F32" s="25">
        <v>84.7</v>
      </c>
      <c r="G32" s="27">
        <v>26</v>
      </c>
      <c r="H32" s="28">
        <v>299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3328</v>
      </c>
      <c r="T32" s="8" t="s">
        <v>1228</v>
      </c>
      <c r="U32" s="13"/>
      <c r="W32" s="25">
        <f>D32</f>
        <v>117.6</v>
      </c>
      <c r="X32" s="106">
        <f>E32</f>
        <v>36</v>
      </c>
      <c r="Y32" s="32">
        <f>H32</f>
        <v>299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시티오씨엘3단지(주)</v>
      </c>
      <c r="AI32" s="106">
        <f>IF(E32="","",E32)</f>
        <v>36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3337</v>
      </c>
      <c r="B33" s="16" t="s">
        <v>3338</v>
      </c>
      <c r="C33" s="28">
        <v>977</v>
      </c>
      <c r="D33" s="25">
        <v>119.7</v>
      </c>
      <c r="E33" s="106">
        <v>36</v>
      </c>
      <c r="F33" s="25">
        <v>85</v>
      </c>
      <c r="G33" s="27">
        <v>26</v>
      </c>
      <c r="H33" s="28">
        <v>231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3328</v>
      </c>
      <c r="T33" s="8" t="s">
        <v>553</v>
      </c>
      <c r="U33" s="13"/>
      <c r="W33" s="25">
        <f>D33</f>
        <v>119.7</v>
      </c>
      <c r="X33" s="106">
        <f>E33</f>
        <v>36</v>
      </c>
      <c r="Y33" s="32">
        <f>H33</f>
        <v>231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시티오씨엘3단지(주)</v>
      </c>
      <c r="AI33" s="106">
        <f>IF(E33="","",E33)</f>
        <v>36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3337</v>
      </c>
      <c r="B34" s="16" t="s">
        <v>3338</v>
      </c>
      <c r="C34" s="28">
        <v>977</v>
      </c>
      <c r="D34" s="25">
        <v>119.1</v>
      </c>
      <c r="E34" s="106">
        <v>36</v>
      </c>
      <c r="F34" s="25">
        <v>84.8</v>
      </c>
      <c r="G34" s="27">
        <v>26</v>
      </c>
      <c r="H34" s="28">
        <v>68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3328</v>
      </c>
      <c r="T34" s="8" t="s">
        <v>2804</v>
      </c>
      <c r="U34" s="13"/>
      <c r="W34" s="25">
        <f>D34</f>
        <v>119.1</v>
      </c>
      <c r="X34" s="106">
        <f>E34</f>
        <v>36</v>
      </c>
      <c r="Y34" s="32">
        <f>H34</f>
        <v>68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시티오씨엘3단지(주)</v>
      </c>
      <c r="AI34" s="106">
        <f>IF(E34="","",E34)</f>
        <v>36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3337</v>
      </c>
      <c r="B35" s="16" t="s">
        <v>3338</v>
      </c>
      <c r="C35" s="28">
        <v>977</v>
      </c>
      <c r="D35" s="25">
        <v>140.80000000000001</v>
      </c>
      <c r="E35" s="106">
        <v>43</v>
      </c>
      <c r="F35" s="25">
        <v>101.7</v>
      </c>
      <c r="G35" s="27">
        <v>31</v>
      </c>
      <c r="H35" s="28">
        <v>170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3328</v>
      </c>
      <c r="T35" s="8">
        <v>140</v>
      </c>
      <c r="U35" s="13"/>
      <c r="W35" s="25">
        <f>D35</f>
        <v>140.80000000000001</v>
      </c>
      <c r="X35" s="106">
        <f>E35</f>
        <v>43</v>
      </c>
      <c r="Y35" s="32">
        <f>H35</f>
        <v>170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시티오씨엘3단지(주)</v>
      </c>
      <c r="AI35" s="106">
        <f>IF(E35="","",E35)</f>
        <v>43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3337</v>
      </c>
      <c r="B36" s="16" t="s">
        <v>3338</v>
      </c>
      <c r="C36" s="28">
        <v>977</v>
      </c>
      <c r="D36" s="25">
        <v>194.9</v>
      </c>
      <c r="E36" s="106">
        <v>59</v>
      </c>
      <c r="F36" s="25">
        <v>136.80000000000001</v>
      </c>
      <c r="G36" s="27">
        <v>41</v>
      </c>
      <c r="H36" s="28">
        <v>2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3328</v>
      </c>
      <c r="T36" s="8" t="s">
        <v>2896</v>
      </c>
      <c r="U36" s="13"/>
      <c r="W36" s="25">
        <f>D36</f>
        <v>194.9</v>
      </c>
      <c r="X36" s="106">
        <f>E36</f>
        <v>59</v>
      </c>
      <c r="Y36" s="32">
        <f>H36</f>
        <v>2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시티오씨엘3단지(주)</v>
      </c>
      <c r="AI36" s="106">
        <f>IF(E36="","",E36)</f>
        <v>59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학익동 현광1차('00.04.,348^)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3339</v>
      </c>
      <c r="B38" s="16" t="s">
        <v>3340</v>
      </c>
      <c r="C38" s="28">
        <v>348</v>
      </c>
      <c r="D38" s="25">
        <v>79.3</v>
      </c>
      <c r="E38" s="106">
        <v>24</v>
      </c>
      <c r="F38" s="25">
        <v>58.7</v>
      </c>
      <c r="G38" s="27">
        <v>18</v>
      </c>
      <c r="H38" s="28">
        <v>145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3" t="s">
        <v>3328</v>
      </c>
      <c r="T38" s="8">
        <v>79</v>
      </c>
      <c r="U38" s="13"/>
      <c r="W38" s="25">
        <f>D38</f>
        <v>79.3</v>
      </c>
      <c r="X38" s="106">
        <f>E38</f>
        <v>24</v>
      </c>
      <c r="Y38" s="32">
        <f>H38</f>
        <v>145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3/1</v>
      </c>
      <c r="AH38" s="36" t="str">
        <f>IF(A38="","",A38)</f>
        <v>현광1차</v>
      </c>
      <c r="AI38" s="106">
        <f>IF(E38="","",E38)</f>
        <v>24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3339</v>
      </c>
      <c r="B39" s="16" t="s">
        <v>3340</v>
      </c>
      <c r="C39" s="28">
        <v>348</v>
      </c>
      <c r="D39" s="25">
        <v>108</v>
      </c>
      <c r="E39" s="106">
        <v>33</v>
      </c>
      <c r="F39" s="25">
        <v>84.6</v>
      </c>
      <c r="G39" s="27">
        <v>26</v>
      </c>
      <c r="H39" s="28">
        <v>165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3328</v>
      </c>
      <c r="T39" s="8">
        <v>108</v>
      </c>
      <c r="U39" s="13"/>
      <c r="W39" s="25">
        <f>D39</f>
        <v>108</v>
      </c>
      <c r="X39" s="106">
        <f>E39</f>
        <v>33</v>
      </c>
      <c r="Y39" s="32">
        <f>H39</f>
        <v>165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현광1차</v>
      </c>
      <c r="AI39" s="106">
        <f>IF(E39="","",E39)</f>
        <v>33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3339</v>
      </c>
      <c r="B40" s="16" t="s">
        <v>3340</v>
      </c>
      <c r="C40" s="28">
        <v>348</v>
      </c>
      <c r="D40" s="25">
        <v>150.30000000000001</v>
      </c>
      <c r="E40" s="106">
        <v>45</v>
      </c>
      <c r="F40" s="25">
        <v>122.3</v>
      </c>
      <c r="G40" s="27">
        <v>37</v>
      </c>
      <c r="H40" s="28">
        <v>38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3328</v>
      </c>
      <c r="T40" s="8">
        <v>150</v>
      </c>
      <c r="U40" s="13"/>
      <c r="W40" s="25">
        <f>D40</f>
        <v>150.30000000000001</v>
      </c>
      <c r="X40" s="106">
        <f>E40</f>
        <v>45</v>
      </c>
      <c r="Y40" s="32">
        <f>H40</f>
        <v>38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현광1차</v>
      </c>
      <c r="AI40" s="106">
        <f>IF(E40="","",E40)</f>
        <v>45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학익동 시티오씨엘1단지('24.03.,1131^)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3341</v>
      </c>
      <c r="B42" s="16" t="s">
        <v>3342</v>
      </c>
      <c r="C42" s="28">
        <v>1131</v>
      </c>
      <c r="D42" s="25">
        <v>81.400000000000006</v>
      </c>
      <c r="E42" s="106">
        <v>25</v>
      </c>
      <c r="F42" s="25">
        <v>60</v>
      </c>
      <c r="G42" s="27">
        <v>18</v>
      </c>
      <c r="H42" s="28">
        <v>155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3328</v>
      </c>
      <c r="T42" s="8">
        <v>81</v>
      </c>
      <c r="U42" s="13"/>
      <c r="W42" s="25">
        <f>D42</f>
        <v>81.400000000000006</v>
      </c>
      <c r="X42" s="106">
        <f>E42</f>
        <v>25</v>
      </c>
      <c r="Y42" s="32">
        <f>H42</f>
        <v>155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시티오씨엘1단지</v>
      </c>
      <c r="AI42" s="106">
        <f>IF(E42="","",E42)</f>
        <v>25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3341</v>
      </c>
      <c r="B43" s="16" t="s">
        <v>3342</v>
      </c>
      <c r="C43" s="28">
        <v>1131</v>
      </c>
      <c r="D43" s="25">
        <v>105.8</v>
      </c>
      <c r="E43" s="106">
        <v>32</v>
      </c>
      <c r="F43" s="25">
        <v>77.900000000000006</v>
      </c>
      <c r="G43" s="27">
        <v>24</v>
      </c>
      <c r="H43" s="28">
        <v>265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3328</v>
      </c>
      <c r="T43" s="8">
        <v>105</v>
      </c>
      <c r="U43" s="13"/>
      <c r="W43" s="25">
        <f>D43</f>
        <v>105.8</v>
      </c>
      <c r="X43" s="106">
        <f>E43</f>
        <v>32</v>
      </c>
      <c r="Y43" s="32">
        <f>H43</f>
        <v>265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시티오씨엘1단지</v>
      </c>
      <c r="AI43" s="106">
        <f>IF(E43="","",E43)</f>
        <v>32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3341</v>
      </c>
      <c r="B44" s="16" t="s">
        <v>3342</v>
      </c>
      <c r="C44" s="28">
        <v>1131</v>
      </c>
      <c r="D44" s="25">
        <v>115.4</v>
      </c>
      <c r="E44" s="106">
        <v>35</v>
      </c>
      <c r="F44" s="25">
        <v>85</v>
      </c>
      <c r="G44" s="27">
        <v>26</v>
      </c>
      <c r="H44" s="28">
        <v>406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3328</v>
      </c>
      <c r="T44" s="8" t="s">
        <v>1479</v>
      </c>
      <c r="U44" s="13"/>
      <c r="W44" s="25">
        <f>D44</f>
        <v>115.4</v>
      </c>
      <c r="X44" s="106">
        <f>E44</f>
        <v>35</v>
      </c>
      <c r="Y44" s="32">
        <f>H44</f>
        <v>406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시티오씨엘1단지</v>
      </c>
      <c r="AI44" s="106">
        <f>IF(E44="","",E44)</f>
        <v>35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3341</v>
      </c>
      <c r="B45" s="16" t="s">
        <v>3342</v>
      </c>
      <c r="C45" s="28">
        <v>1131</v>
      </c>
      <c r="D45" s="25">
        <v>115.4</v>
      </c>
      <c r="E45" s="106">
        <v>35</v>
      </c>
      <c r="F45" s="25">
        <v>85</v>
      </c>
      <c r="G45" s="27">
        <v>26</v>
      </c>
      <c r="H45" s="28">
        <v>168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3328</v>
      </c>
      <c r="T45" s="8" t="s">
        <v>1618</v>
      </c>
      <c r="U45" s="13"/>
      <c r="W45" s="25">
        <f>D45</f>
        <v>115.4</v>
      </c>
      <c r="X45" s="106">
        <f>E45</f>
        <v>35</v>
      </c>
      <c r="Y45" s="32">
        <f>H45</f>
        <v>168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시티오씨엘1단지</v>
      </c>
      <c r="AI45" s="106">
        <f>IF(E45="","",E45)</f>
        <v>35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3341</v>
      </c>
      <c r="B46" s="16" t="s">
        <v>3342</v>
      </c>
      <c r="C46" s="28">
        <v>1131</v>
      </c>
      <c r="D46" s="25">
        <v>139.80000000000001</v>
      </c>
      <c r="E46" s="106">
        <v>42</v>
      </c>
      <c r="F46" s="25">
        <v>103</v>
      </c>
      <c r="G46" s="27">
        <v>31</v>
      </c>
      <c r="H46" s="28">
        <v>133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3343</v>
      </c>
      <c r="T46" s="8">
        <v>139</v>
      </c>
      <c r="U46" s="13"/>
      <c r="W46" s="25">
        <f>D46</f>
        <v>139.80000000000001</v>
      </c>
      <c r="X46" s="106">
        <f>E46</f>
        <v>42</v>
      </c>
      <c r="Y46" s="32">
        <f>H46</f>
        <v>133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시티오씨엘1단지</v>
      </c>
      <c r="AI46" s="106">
        <f>IF(E46="","",E46)</f>
        <v>42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3344</v>
      </c>
      <c r="B47" s="16" t="s">
        <v>3345</v>
      </c>
      <c r="C47" s="28">
        <v>1131</v>
      </c>
      <c r="D47" s="25">
        <v>158.9</v>
      </c>
      <c r="E47" s="106">
        <v>48</v>
      </c>
      <c r="F47" s="25">
        <v>117</v>
      </c>
      <c r="G47" s="27">
        <v>35</v>
      </c>
      <c r="H47" s="28">
        <v>2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3346</v>
      </c>
      <c r="T47" s="8" t="s">
        <v>2906</v>
      </c>
      <c r="U47" s="13"/>
      <c r="W47" s="25">
        <f>D47</f>
        <v>158.9</v>
      </c>
      <c r="X47" s="106">
        <f>E47</f>
        <v>48</v>
      </c>
      <c r="Y47" s="32">
        <f>H47</f>
        <v>2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시티오씨엘1단지</v>
      </c>
      <c r="AI47" s="106">
        <f>IF(E47="","",E47)</f>
        <v>48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3347</v>
      </c>
      <c r="B48" s="16" t="s">
        <v>3348</v>
      </c>
      <c r="C48" s="28">
        <v>1131</v>
      </c>
      <c r="D48" s="25">
        <v>172.1</v>
      </c>
      <c r="E48" s="106">
        <v>52</v>
      </c>
      <c r="F48" s="25">
        <v>126.8</v>
      </c>
      <c r="G48" s="27">
        <v>38</v>
      </c>
      <c r="H48" s="28">
        <v>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 t="s">
        <v>2907</v>
      </c>
      <c r="U48" s="13"/>
      <c r="W48" s="25">
        <f>D48</f>
        <v>172.1</v>
      </c>
      <c r="X48" s="106">
        <f>E48</f>
        <v>52</v>
      </c>
      <c r="Y48" s="32">
        <f>H48</f>
        <v>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시티오씨엘1단지</v>
      </c>
      <c r="AI48" s="106">
        <f>IF(E48="","",E48)</f>
        <v>52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학익동 학익풍림아이원('07.12.,2090^)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3349</v>
      </c>
      <c r="B50" s="16" t="s">
        <v>3350</v>
      </c>
      <c r="C50" s="28">
        <v>2090</v>
      </c>
      <c r="D50" s="25">
        <v>83.6</v>
      </c>
      <c r="E50" s="106">
        <v>25</v>
      </c>
      <c r="F50" s="25">
        <v>59.9</v>
      </c>
      <c r="G50" s="27">
        <v>18</v>
      </c>
      <c r="H50" s="28">
        <v>446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>
        <v>83</v>
      </c>
      <c r="U50" s="13"/>
      <c r="W50" s="25">
        <f>D50</f>
        <v>83.6</v>
      </c>
      <c r="X50" s="106">
        <f>E50</f>
        <v>25</v>
      </c>
      <c r="Y50" s="32">
        <f>H50</f>
        <v>446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학익풍림아이원</v>
      </c>
      <c r="AI50" s="106">
        <f>IF(E50="","",E50)</f>
        <v>25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3351</v>
      </c>
      <c r="B51" s="16" t="s">
        <v>3350</v>
      </c>
      <c r="C51" s="28">
        <v>2090</v>
      </c>
      <c r="D51" s="25">
        <v>110.1</v>
      </c>
      <c r="E51" s="106">
        <v>33</v>
      </c>
      <c r="F51" s="25">
        <v>84.9</v>
      </c>
      <c r="G51" s="27">
        <v>26</v>
      </c>
      <c r="H51" s="28">
        <v>872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3352</v>
      </c>
      <c r="T51" s="8" t="s">
        <v>440</v>
      </c>
      <c r="U51" s="13"/>
      <c r="W51" s="25">
        <f>D51</f>
        <v>110.1</v>
      </c>
      <c r="X51" s="106">
        <f>E51</f>
        <v>33</v>
      </c>
      <c r="Y51" s="32">
        <f>H51</f>
        <v>872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학익풍림아이원</v>
      </c>
      <c r="AI51" s="106">
        <f>IF(E51="","",E51)</f>
        <v>33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3349</v>
      </c>
      <c r="B52" s="16" t="s">
        <v>3353</v>
      </c>
      <c r="C52" s="28">
        <v>2090</v>
      </c>
      <c r="D52" s="25">
        <v>110.7</v>
      </c>
      <c r="E52" s="106">
        <v>33</v>
      </c>
      <c r="F52" s="25">
        <v>84.9</v>
      </c>
      <c r="G52" s="27">
        <v>26</v>
      </c>
      <c r="H52" s="28">
        <v>244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158</v>
      </c>
      <c r="U52" s="13"/>
      <c r="W52" s="25">
        <f>D52</f>
        <v>110.7</v>
      </c>
      <c r="X52" s="106">
        <f>E52</f>
        <v>33</v>
      </c>
      <c r="Y52" s="32">
        <f>H52</f>
        <v>244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학익풍림아이원</v>
      </c>
      <c r="AI52" s="106">
        <f>IF(E52="","",E52)</f>
        <v>33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3349</v>
      </c>
      <c r="B53" s="16" t="s">
        <v>3350</v>
      </c>
      <c r="C53" s="28">
        <v>2090</v>
      </c>
      <c r="D53" s="25">
        <v>111.1</v>
      </c>
      <c r="E53" s="106">
        <v>34</v>
      </c>
      <c r="F53" s="25">
        <v>85</v>
      </c>
      <c r="G53" s="27">
        <v>26</v>
      </c>
      <c r="H53" s="28">
        <v>211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1638</v>
      </c>
      <c r="U53" s="13"/>
      <c r="W53" s="25">
        <f>D53</f>
        <v>111.1</v>
      </c>
      <c r="X53" s="106">
        <f>E53</f>
        <v>34</v>
      </c>
      <c r="Y53" s="32">
        <f>H53</f>
        <v>211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학익풍림아이원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3349</v>
      </c>
      <c r="B54" s="16" t="s">
        <v>3350</v>
      </c>
      <c r="C54" s="28">
        <v>2090</v>
      </c>
      <c r="D54" s="25">
        <v>154.19999999999999</v>
      </c>
      <c r="E54" s="106">
        <v>47</v>
      </c>
      <c r="F54" s="25">
        <v>122.2</v>
      </c>
      <c r="G54" s="27">
        <v>37</v>
      </c>
      <c r="H54" s="28">
        <v>221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64</v>
      </c>
      <c r="T54" s="8">
        <v>154</v>
      </c>
      <c r="U54" s="13"/>
      <c r="W54" s="25">
        <f>D54</f>
        <v>154.19999999999999</v>
      </c>
      <c r="X54" s="106">
        <f>E54</f>
        <v>47</v>
      </c>
      <c r="Y54" s="32">
        <f>H54</f>
        <v>221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4/2</v>
      </c>
      <c r="AH54" s="36" t="str">
        <f>IF(A54="","",A54)</f>
        <v>학익풍림아이원</v>
      </c>
      <c r="AI54" s="106">
        <f>IF(E54="","",E54)</f>
        <v>47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3349</v>
      </c>
      <c r="B55" s="16" t="s">
        <v>3350</v>
      </c>
      <c r="C55" s="28">
        <v>2090</v>
      </c>
      <c r="D55" s="25">
        <v>193</v>
      </c>
      <c r="E55" s="106">
        <v>58</v>
      </c>
      <c r="F55" s="25">
        <v>155.9</v>
      </c>
      <c r="G55" s="27">
        <v>47</v>
      </c>
      <c r="H55" s="28">
        <v>96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5</v>
      </c>
      <c r="R55" s="15">
        <v>2</v>
      </c>
      <c r="S55" s="113" t="s">
        <v>64</v>
      </c>
      <c r="T55" s="8">
        <v>192</v>
      </c>
      <c r="U55" s="13"/>
      <c r="W55" s="25">
        <f>D55</f>
        <v>193</v>
      </c>
      <c r="X55" s="106">
        <f>E55</f>
        <v>58</v>
      </c>
      <c r="Y55" s="32">
        <f>H55</f>
        <v>96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5/2</v>
      </c>
      <c r="AH55" s="36" t="str">
        <f>IF(A55="","",A55)</f>
        <v>학익풍림아이원</v>
      </c>
      <c r="AI55" s="106">
        <f>IF(E55="","",E55)</f>
        <v>58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학익동 신동아6차('92.05.,254^)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3354</v>
      </c>
      <c r="B57" s="16" t="s">
        <v>3355</v>
      </c>
      <c r="C57" s="28">
        <v>254</v>
      </c>
      <c r="D57" s="25">
        <v>84.5</v>
      </c>
      <c r="E57" s="106">
        <v>26</v>
      </c>
      <c r="F57" s="25">
        <v>73.3</v>
      </c>
      <c r="G57" s="27">
        <v>22</v>
      </c>
      <c r="H57" s="28">
        <v>60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64</v>
      </c>
      <c r="T57" s="8">
        <v>84</v>
      </c>
      <c r="U57" s="13"/>
      <c r="W57" s="25">
        <f>D57</f>
        <v>84.5</v>
      </c>
      <c r="X57" s="106">
        <f>E57</f>
        <v>26</v>
      </c>
      <c r="Y57" s="32">
        <f>H57</f>
        <v>60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신동아6차</v>
      </c>
      <c r="AI57" s="106">
        <f>IF(E57="","",E57)</f>
        <v>26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3356</v>
      </c>
      <c r="B58" s="16" t="s">
        <v>3357</v>
      </c>
      <c r="C58" s="28">
        <v>254</v>
      </c>
      <c r="D58" s="25">
        <v>96.2</v>
      </c>
      <c r="E58" s="106">
        <v>29</v>
      </c>
      <c r="F58" s="25">
        <v>84.9</v>
      </c>
      <c r="G58" s="27">
        <v>26</v>
      </c>
      <c r="H58" s="28">
        <v>134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3352</v>
      </c>
      <c r="T58" s="8">
        <v>96</v>
      </c>
      <c r="U58" s="13"/>
      <c r="W58" s="25">
        <f>D58</f>
        <v>96.2</v>
      </c>
      <c r="X58" s="106">
        <f>E58</f>
        <v>29</v>
      </c>
      <c r="Y58" s="32">
        <f>H58</f>
        <v>134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신동아6차</v>
      </c>
      <c r="AI58" s="106">
        <f>IF(E58="","",E58)</f>
        <v>29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5" t="s">
        <v>3354</v>
      </c>
      <c r="B59" s="16" t="s">
        <v>3355</v>
      </c>
      <c r="C59" s="28">
        <v>254</v>
      </c>
      <c r="D59" s="25">
        <v>138.30000000000001</v>
      </c>
      <c r="E59" s="106">
        <v>42</v>
      </c>
      <c r="F59" s="25">
        <v>127</v>
      </c>
      <c r="G59" s="27">
        <v>38</v>
      </c>
      <c r="H59" s="28">
        <v>60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64</v>
      </c>
      <c r="T59" s="8">
        <v>138</v>
      </c>
      <c r="U59" s="13"/>
      <c r="W59" s="25">
        <f>D59</f>
        <v>138.30000000000001</v>
      </c>
      <c r="X59" s="106">
        <f>E59</f>
        <v>42</v>
      </c>
      <c r="Y59" s="32">
        <f>H59</f>
        <v>60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신동아6차</v>
      </c>
      <c r="AI59" s="106">
        <f>IF(E59="","",E59)</f>
        <v>42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X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학익동 동아풍림('99.11.,1480^)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3358</v>
      </c>
      <c r="B61" s="16" t="s">
        <v>3192</v>
      </c>
      <c r="C61" s="28">
        <v>1480</v>
      </c>
      <c r="D61" s="25">
        <v>82.9</v>
      </c>
      <c r="E61" s="106">
        <v>25</v>
      </c>
      <c r="F61" s="25">
        <v>59.8</v>
      </c>
      <c r="G61" s="27">
        <v>18</v>
      </c>
      <c r="H61" s="28">
        <v>240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>
        <v>82</v>
      </c>
      <c r="U61" s="13"/>
      <c r="W61" s="25">
        <f>D61</f>
        <v>82.9</v>
      </c>
      <c r="X61" s="106">
        <f>E61</f>
        <v>25</v>
      </c>
      <c r="Y61" s="32">
        <f>H61</f>
        <v>240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동아풍림</v>
      </c>
      <c r="AI61" s="106">
        <f>IF(E61="","",E61)</f>
        <v>25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3359</v>
      </c>
      <c r="B62" s="16" t="s">
        <v>3360</v>
      </c>
      <c r="C62" s="28">
        <v>1480</v>
      </c>
      <c r="D62" s="25">
        <v>110</v>
      </c>
      <c r="E62" s="106">
        <v>33</v>
      </c>
      <c r="F62" s="25">
        <v>84.4</v>
      </c>
      <c r="G62" s="27">
        <v>26</v>
      </c>
      <c r="H62" s="28">
        <v>520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3352</v>
      </c>
      <c r="T62" s="8">
        <v>109</v>
      </c>
      <c r="U62" s="13"/>
      <c r="W62" s="25">
        <f>D62</f>
        <v>110</v>
      </c>
      <c r="X62" s="106">
        <f>E62</f>
        <v>33</v>
      </c>
      <c r="Y62" s="32">
        <f>H62</f>
        <v>520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동아풍림</v>
      </c>
      <c r="AI62" s="106">
        <f>IF(E62="","",E62)</f>
        <v>33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3359</v>
      </c>
      <c r="B63" s="16" t="s">
        <v>3360</v>
      </c>
      <c r="C63" s="28">
        <v>1480</v>
      </c>
      <c r="D63" s="25">
        <v>153</v>
      </c>
      <c r="E63" s="106">
        <v>46</v>
      </c>
      <c r="F63" s="25">
        <v>123.5</v>
      </c>
      <c r="G63" s="27">
        <v>37</v>
      </c>
      <c r="H63" s="28">
        <v>320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3352</v>
      </c>
      <c r="T63" s="8">
        <v>152</v>
      </c>
      <c r="U63" s="13"/>
      <c r="W63" s="25">
        <f>D63</f>
        <v>153</v>
      </c>
      <c r="X63" s="106">
        <f>E63</f>
        <v>46</v>
      </c>
      <c r="Y63" s="32">
        <f>H63</f>
        <v>320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동아풍림</v>
      </c>
      <c r="AI63" s="106">
        <f>IF(E63="","",E63)</f>
        <v>46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3359</v>
      </c>
      <c r="B64" s="16" t="s">
        <v>3360</v>
      </c>
      <c r="C64" s="28">
        <v>1480</v>
      </c>
      <c r="D64" s="25">
        <v>176.5</v>
      </c>
      <c r="E64" s="106">
        <v>53</v>
      </c>
      <c r="F64" s="25">
        <v>144.69999999999999</v>
      </c>
      <c r="G64" s="27">
        <v>44</v>
      </c>
      <c r="H64" s="28">
        <v>240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2</v>
      </c>
      <c r="S64" s="113" t="s">
        <v>3352</v>
      </c>
      <c r="T64" s="8">
        <v>176</v>
      </c>
      <c r="U64" s="13"/>
      <c r="W64" s="25">
        <f>D64</f>
        <v>176.5</v>
      </c>
      <c r="X64" s="106">
        <f>E64</f>
        <v>53</v>
      </c>
      <c r="Y64" s="32">
        <f>H64</f>
        <v>240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4/2</v>
      </c>
      <c r="AH64" s="36" t="str">
        <f>IF(A64="","",A64)</f>
        <v>동아풍림</v>
      </c>
      <c r="AI64" s="106">
        <f>IF(E64="","",E64)</f>
        <v>53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3358</v>
      </c>
      <c r="B65" s="16" t="s">
        <v>3192</v>
      </c>
      <c r="C65" s="28">
        <v>1480</v>
      </c>
      <c r="D65" s="25">
        <v>200.7</v>
      </c>
      <c r="E65" s="106">
        <v>61</v>
      </c>
      <c r="F65" s="25">
        <v>167.3</v>
      </c>
      <c r="G65" s="27">
        <v>51</v>
      </c>
      <c r="H65" s="28">
        <v>160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5</v>
      </c>
      <c r="R65" s="15">
        <v>2</v>
      </c>
      <c r="S65" s="113" t="s">
        <v>64</v>
      </c>
      <c r="T65" s="8">
        <v>200</v>
      </c>
      <c r="U65" s="13"/>
      <c r="W65" s="25">
        <f>D65</f>
        <v>200.7</v>
      </c>
      <c r="X65" s="106">
        <f>E65</f>
        <v>61</v>
      </c>
      <c r="Y65" s="32">
        <f>H65</f>
        <v>160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5/2</v>
      </c>
      <c r="AH65" s="36" t="str">
        <f>IF(A65="","",A65)</f>
        <v>동아풍림</v>
      </c>
      <c r="AI65" s="106">
        <f>IF(E65="","",E65)</f>
        <v>61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학익동 신동아4차('90.11.,630^)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3361</v>
      </c>
      <c r="B67" s="16" t="s">
        <v>3362</v>
      </c>
      <c r="C67" s="28">
        <v>630</v>
      </c>
      <c r="D67" s="25">
        <v>55</v>
      </c>
      <c r="E67" s="106">
        <v>17</v>
      </c>
      <c r="F67" s="25">
        <v>43.8</v>
      </c>
      <c r="G67" s="27">
        <v>13</v>
      </c>
      <c r="H67" s="28">
        <v>150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2</v>
      </c>
      <c r="R67" s="15">
        <v>1</v>
      </c>
      <c r="S67" s="113" t="s">
        <v>64</v>
      </c>
      <c r="T67" s="8">
        <v>55</v>
      </c>
      <c r="U67" s="13"/>
      <c r="W67" s="25">
        <f>D67</f>
        <v>55</v>
      </c>
      <c r="X67" s="106">
        <f>E67</f>
        <v>17</v>
      </c>
      <c r="Y67" s="32">
        <f>H67</f>
        <v>150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2/1</v>
      </c>
      <c r="AH67" s="36" t="str">
        <f>IF(A67="","",A67)</f>
        <v>신동아4차</v>
      </c>
      <c r="AI67" s="106">
        <f>IF(E67="","",E67)</f>
        <v>17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3363</v>
      </c>
      <c r="B68" s="16" t="s">
        <v>3364</v>
      </c>
      <c r="C68" s="28">
        <v>630</v>
      </c>
      <c r="D68" s="25">
        <v>71.8</v>
      </c>
      <c r="E68" s="106">
        <v>22</v>
      </c>
      <c r="F68" s="25">
        <v>57.2</v>
      </c>
      <c r="G68" s="27">
        <v>17</v>
      </c>
      <c r="H68" s="28">
        <v>150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1</v>
      </c>
      <c r="S68" s="113" t="s">
        <v>3346</v>
      </c>
      <c r="T68" s="8">
        <v>71</v>
      </c>
      <c r="U68" s="13"/>
      <c r="W68" s="25">
        <f>D68</f>
        <v>71.8</v>
      </c>
      <c r="X68" s="106">
        <f>E68</f>
        <v>22</v>
      </c>
      <c r="Y68" s="32">
        <f>H68</f>
        <v>150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3/1</v>
      </c>
      <c r="AH68" s="36" t="str">
        <f>IF(A68="","",A68)</f>
        <v>신동아4차</v>
      </c>
      <c r="AI68" s="106">
        <f>IF(E68="","",E68)</f>
        <v>22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3361</v>
      </c>
      <c r="B69" s="16" t="s">
        <v>3362</v>
      </c>
      <c r="C69" s="28">
        <v>630</v>
      </c>
      <c r="D69" s="25">
        <v>89.1</v>
      </c>
      <c r="E69" s="106">
        <v>27</v>
      </c>
      <c r="F69" s="25">
        <v>73.3</v>
      </c>
      <c r="G69" s="27">
        <v>22</v>
      </c>
      <c r="H69" s="28">
        <v>60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1</v>
      </c>
      <c r="S69" s="113" t="s">
        <v>64</v>
      </c>
      <c r="T69" s="8">
        <v>89</v>
      </c>
      <c r="U69" s="13"/>
      <c r="W69" s="25">
        <f>D69</f>
        <v>89.1</v>
      </c>
      <c r="X69" s="106">
        <f>E69</f>
        <v>27</v>
      </c>
      <c r="Y69" s="32">
        <f>H69</f>
        <v>60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3/1</v>
      </c>
      <c r="AH69" s="36" t="str">
        <f>IF(A69="","",A69)</f>
        <v>신동아4차</v>
      </c>
      <c r="AI69" s="106">
        <f>IF(E69="","",E69)</f>
        <v>27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3363</v>
      </c>
      <c r="B70" s="16" t="s">
        <v>3364</v>
      </c>
      <c r="C70" s="28">
        <v>630</v>
      </c>
      <c r="D70" s="25">
        <v>102.4</v>
      </c>
      <c r="E70" s="106">
        <v>31</v>
      </c>
      <c r="F70" s="25">
        <v>84.9</v>
      </c>
      <c r="G70" s="27">
        <v>26</v>
      </c>
      <c r="H70" s="28">
        <v>120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3346</v>
      </c>
      <c r="T70" s="8">
        <v>102</v>
      </c>
      <c r="U70" s="13"/>
      <c r="W70" s="25">
        <f>D70</f>
        <v>102.4</v>
      </c>
      <c r="X70" s="106">
        <f>E70</f>
        <v>31</v>
      </c>
      <c r="Y70" s="32">
        <f>H70</f>
        <v>120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신동아4차</v>
      </c>
      <c r="AI70" s="106">
        <f>IF(E70="","",E70)</f>
        <v>31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3363</v>
      </c>
      <c r="B71" s="16" t="s">
        <v>3364</v>
      </c>
      <c r="C71" s="28">
        <v>630</v>
      </c>
      <c r="D71" s="25">
        <v>131.80000000000001</v>
      </c>
      <c r="E71" s="106">
        <v>40</v>
      </c>
      <c r="F71" s="25">
        <v>112.2</v>
      </c>
      <c r="G71" s="27">
        <v>34</v>
      </c>
      <c r="H71" s="28">
        <v>60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4</v>
      </c>
      <c r="R71" s="15">
        <v>2</v>
      </c>
      <c r="S71" s="113" t="s">
        <v>3346</v>
      </c>
      <c r="T71" s="8">
        <v>131</v>
      </c>
      <c r="U71" s="13"/>
      <c r="W71" s="25">
        <f>D71</f>
        <v>131.80000000000001</v>
      </c>
      <c r="X71" s="106">
        <f>E71</f>
        <v>40</v>
      </c>
      <c r="Y71" s="32">
        <f>H71</f>
        <v>60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4/2</v>
      </c>
      <c r="AH71" s="36" t="str">
        <f>IF(A71="","",A71)</f>
        <v>신동아4차</v>
      </c>
      <c r="AI71" s="106">
        <f>IF(E71="","",E71)</f>
        <v>40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3365</v>
      </c>
      <c r="B72" s="16" t="s">
        <v>3366</v>
      </c>
      <c r="C72" s="28">
        <v>630</v>
      </c>
      <c r="D72" s="25">
        <v>148.19999999999999</v>
      </c>
      <c r="E72" s="106">
        <v>45</v>
      </c>
      <c r="F72" s="25">
        <v>127</v>
      </c>
      <c r="G72" s="27">
        <v>38</v>
      </c>
      <c r="H72" s="28">
        <v>90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3346</v>
      </c>
      <c r="T72" s="8">
        <v>148</v>
      </c>
      <c r="U72" s="13"/>
      <c r="W72" s="25">
        <f>D72</f>
        <v>148.19999999999999</v>
      </c>
      <c r="X72" s="106">
        <f>E72</f>
        <v>45</v>
      </c>
      <c r="Y72" s="32">
        <f>H72</f>
        <v>90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신동아4차</v>
      </c>
      <c r="AI72" s="106">
        <f>IF(E72="","",E72)</f>
        <v>45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9"/>
      <c r="B73" s="113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70"/>
      <c r="U73" s="13"/>
      <c r="W73" s="107" t="str">
        <f>$A$4&amp;" "&amp;A74&amp;"("&amp;B74&amp;","&amp;C74&amp;"^)"</f>
        <v>학익동 하나1차('97.12.,312^)</v>
      </c>
      <c r="X73" s="108"/>
      <c r="Y73" s="108"/>
      <c r="Z73" s="108"/>
      <c r="AA73" s="108"/>
      <c r="AB73" s="108"/>
      <c r="AC73" s="108"/>
      <c r="AD73" s="108"/>
      <c r="AE73" s="108"/>
      <c r="AF73" s="109"/>
      <c r="AH73" s="36" t="str">
        <f>IF(A73="","",A73)</f>
        <v/>
      </c>
      <c r="AI73" s="37" t="str">
        <f>IF(E73="","",E73)</f>
        <v/>
      </c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</row>
    <row r="74" spans="1:48" x14ac:dyDescent="0.3">
      <c r="A74" s="5" t="s">
        <v>3367</v>
      </c>
      <c r="B74" s="16" t="s">
        <v>3368</v>
      </c>
      <c r="C74" s="28">
        <v>312</v>
      </c>
      <c r="D74" s="25">
        <v>40.1</v>
      </c>
      <c r="E74" s="106">
        <v>12</v>
      </c>
      <c r="F74" s="25">
        <v>26.4</v>
      </c>
      <c r="G74" s="27">
        <v>8</v>
      </c>
      <c r="H74" s="28">
        <v>84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1</v>
      </c>
      <c r="R74" s="15">
        <v>1</v>
      </c>
      <c r="S74" s="113" t="s">
        <v>3369</v>
      </c>
      <c r="T74" s="8">
        <v>40</v>
      </c>
      <c r="U74" s="13"/>
      <c r="W74" s="25">
        <f>D74</f>
        <v>40.1</v>
      </c>
      <c r="X74" s="106">
        <f>E74</f>
        <v>12</v>
      </c>
      <c r="Y74" s="32">
        <f>H74</f>
        <v>84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1/1</v>
      </c>
      <c r="AH74" s="36" t="str">
        <f>IF(A74="","",A74)</f>
        <v>하나1차</v>
      </c>
      <c r="AI74" s="106">
        <f>IF(E74="","",E74)</f>
        <v>12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3370</v>
      </c>
      <c r="B75" s="16" t="s">
        <v>3371</v>
      </c>
      <c r="C75" s="28">
        <v>312</v>
      </c>
      <c r="D75" s="25">
        <v>74.900000000000006</v>
      </c>
      <c r="E75" s="106">
        <v>23</v>
      </c>
      <c r="F75" s="25">
        <v>59.9</v>
      </c>
      <c r="G75" s="27">
        <v>18</v>
      </c>
      <c r="H75" s="28">
        <v>52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1</v>
      </c>
      <c r="S75" s="113" t="s">
        <v>64</v>
      </c>
      <c r="T75" s="8">
        <v>74</v>
      </c>
      <c r="U75" s="13"/>
      <c r="W75" s="25">
        <f>D75</f>
        <v>74.900000000000006</v>
      </c>
      <c r="X75" s="106">
        <f>E75</f>
        <v>23</v>
      </c>
      <c r="Y75" s="32">
        <f>H75</f>
        <v>52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3/1</v>
      </c>
      <c r="AH75" s="36" t="str">
        <f>IF(A75="","",A75)</f>
        <v>하나1차</v>
      </c>
      <c r="AI75" s="106">
        <f>IF(E75="","",E75)</f>
        <v>23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3372</v>
      </c>
      <c r="B76" s="16" t="s">
        <v>3373</v>
      </c>
      <c r="C76" s="28">
        <v>312</v>
      </c>
      <c r="D76" s="25">
        <v>106.3</v>
      </c>
      <c r="E76" s="106">
        <v>32</v>
      </c>
      <c r="F76" s="25">
        <v>85</v>
      </c>
      <c r="G76" s="27">
        <v>26</v>
      </c>
      <c r="H76" s="28">
        <v>176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>
        <v>106</v>
      </c>
      <c r="U76" s="13"/>
      <c r="W76" s="25">
        <f>D76</f>
        <v>106.3</v>
      </c>
      <c r="X76" s="106">
        <f>E76</f>
        <v>32</v>
      </c>
      <c r="Y76" s="32">
        <f>H76</f>
        <v>176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하나1차</v>
      </c>
      <c r="AI76" s="106">
        <f>IF(E76="","",E76)</f>
        <v>32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학익동 신동아5차('93.06.,594^)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3374</v>
      </c>
      <c r="B78" s="16" t="s">
        <v>3375</v>
      </c>
      <c r="C78" s="28">
        <v>594</v>
      </c>
      <c r="D78" s="25">
        <v>67.599999999999994</v>
      </c>
      <c r="E78" s="106">
        <v>20</v>
      </c>
      <c r="F78" s="25">
        <v>57.2</v>
      </c>
      <c r="G78" s="27">
        <v>17</v>
      </c>
      <c r="H78" s="28">
        <v>72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64</v>
      </c>
      <c r="T78" s="8">
        <v>67</v>
      </c>
      <c r="U78" s="13"/>
      <c r="W78" s="25">
        <f>D78</f>
        <v>67.599999999999994</v>
      </c>
      <c r="X78" s="106">
        <f>E78</f>
        <v>20</v>
      </c>
      <c r="Y78" s="32">
        <f>H78</f>
        <v>72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2/1</v>
      </c>
      <c r="AH78" s="36" t="str">
        <f>IF(A78="","",A78)</f>
        <v>신동아5차</v>
      </c>
      <c r="AI78" s="106">
        <f>IF(E78="","",E78)</f>
        <v>20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3374</v>
      </c>
      <c r="B79" s="16" t="s">
        <v>3376</v>
      </c>
      <c r="C79" s="28">
        <v>594</v>
      </c>
      <c r="D79" s="25">
        <v>79.900000000000006</v>
      </c>
      <c r="E79" s="106">
        <v>24</v>
      </c>
      <c r="F79" s="25">
        <v>68.900000000000006</v>
      </c>
      <c r="G79" s="27">
        <v>21</v>
      </c>
      <c r="H79" s="28">
        <v>72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1</v>
      </c>
      <c r="S79" s="113" t="s">
        <v>3346</v>
      </c>
      <c r="T79" s="8">
        <v>79</v>
      </c>
      <c r="U79" s="13"/>
      <c r="W79" s="25">
        <f>D79</f>
        <v>79.900000000000006</v>
      </c>
      <c r="X79" s="106">
        <f>E79</f>
        <v>24</v>
      </c>
      <c r="Y79" s="32">
        <f>H79</f>
        <v>72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3/1</v>
      </c>
      <c r="AH79" s="36" t="str">
        <f>IF(A79="","",A79)</f>
        <v>신동아5차</v>
      </c>
      <c r="AI79" s="106">
        <f>IF(E79="","",E79)</f>
        <v>24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3377</v>
      </c>
      <c r="B80" s="16" t="s">
        <v>3378</v>
      </c>
      <c r="C80" s="28">
        <v>594</v>
      </c>
      <c r="D80" s="25">
        <v>84.5</v>
      </c>
      <c r="E80" s="106">
        <v>26</v>
      </c>
      <c r="F80" s="25">
        <v>73.3</v>
      </c>
      <c r="G80" s="27">
        <v>22</v>
      </c>
      <c r="H80" s="28">
        <v>60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64</v>
      </c>
      <c r="T80" s="8">
        <v>84</v>
      </c>
      <c r="U80" s="13"/>
      <c r="W80" s="25">
        <f>D80</f>
        <v>84.5</v>
      </c>
      <c r="X80" s="106">
        <f>E80</f>
        <v>26</v>
      </c>
      <c r="Y80" s="32">
        <f>H80</f>
        <v>60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신동아5차</v>
      </c>
      <c r="AI80" s="106">
        <f>IF(E80="","",E80)</f>
        <v>26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3379</v>
      </c>
      <c r="B81" s="16" t="s">
        <v>3378</v>
      </c>
      <c r="C81" s="28">
        <v>594</v>
      </c>
      <c r="D81" s="25">
        <v>96.2</v>
      </c>
      <c r="E81" s="106">
        <v>29</v>
      </c>
      <c r="F81" s="25">
        <v>84.9</v>
      </c>
      <c r="G81" s="27">
        <v>26</v>
      </c>
      <c r="H81" s="28">
        <v>120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3346</v>
      </c>
      <c r="T81" s="8">
        <v>96</v>
      </c>
      <c r="U81" s="13"/>
      <c r="W81" s="25">
        <f>D81</f>
        <v>96.2</v>
      </c>
      <c r="X81" s="106">
        <f>E81</f>
        <v>29</v>
      </c>
      <c r="Y81" s="32">
        <f>H81</f>
        <v>120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신동아5차</v>
      </c>
      <c r="AI81" s="106">
        <f>IF(E81="","",E81)</f>
        <v>29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3377</v>
      </c>
      <c r="B82" s="16" t="s">
        <v>3376</v>
      </c>
      <c r="C82" s="28">
        <v>594</v>
      </c>
      <c r="D82" s="25">
        <v>123.6</v>
      </c>
      <c r="E82" s="106">
        <v>37</v>
      </c>
      <c r="F82" s="25">
        <v>112.2</v>
      </c>
      <c r="G82" s="27">
        <v>34</v>
      </c>
      <c r="H82" s="28">
        <v>120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3380</v>
      </c>
      <c r="T82" s="8">
        <v>123</v>
      </c>
      <c r="U82" s="13"/>
      <c r="W82" s="25">
        <f>D82</f>
        <v>123.6</v>
      </c>
      <c r="X82" s="106">
        <f>E82</f>
        <v>37</v>
      </c>
      <c r="Y82" s="32">
        <f>H82</f>
        <v>120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신동아5차</v>
      </c>
      <c r="AI82" s="106">
        <f>IF(E82="","",E82)</f>
        <v>37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3381</v>
      </c>
      <c r="B83" s="16" t="s">
        <v>3382</v>
      </c>
      <c r="C83" s="28">
        <v>594</v>
      </c>
      <c r="D83" s="25">
        <v>138.9</v>
      </c>
      <c r="E83" s="106">
        <v>42</v>
      </c>
      <c r="F83" s="25">
        <v>127</v>
      </c>
      <c r="G83" s="27">
        <v>38</v>
      </c>
      <c r="H83" s="28">
        <v>90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3380</v>
      </c>
      <c r="T83" s="8">
        <v>138</v>
      </c>
      <c r="U83" s="13"/>
      <c r="W83" s="25">
        <f>D83</f>
        <v>138.9</v>
      </c>
      <c r="X83" s="106">
        <f>E83</f>
        <v>42</v>
      </c>
      <c r="Y83" s="32">
        <f>H83</f>
        <v>90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신동아5차</v>
      </c>
      <c r="AI83" s="106">
        <f>IF(E83="","",E83)</f>
        <v>42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3383</v>
      </c>
      <c r="B84" s="16" t="s">
        <v>3376</v>
      </c>
      <c r="C84" s="28">
        <v>594</v>
      </c>
      <c r="D84" s="25">
        <v>164.1</v>
      </c>
      <c r="E84" s="106">
        <v>50</v>
      </c>
      <c r="F84" s="25">
        <v>151.6</v>
      </c>
      <c r="G84" s="27">
        <v>46</v>
      </c>
      <c r="H84" s="28">
        <v>60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5</v>
      </c>
      <c r="R84" s="15">
        <v>2</v>
      </c>
      <c r="S84" s="113" t="s">
        <v>3384</v>
      </c>
      <c r="T84" s="8">
        <v>164</v>
      </c>
      <c r="U84" s="13"/>
      <c r="W84" s="25">
        <f>D84</f>
        <v>164.1</v>
      </c>
      <c r="X84" s="106">
        <f>E84</f>
        <v>50</v>
      </c>
      <c r="Y84" s="32">
        <f>H84</f>
        <v>60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5/2</v>
      </c>
      <c r="AH84" s="36" t="str">
        <f>IF(A84="","",A84)</f>
        <v>신동아5차</v>
      </c>
      <c r="AI84" s="106">
        <f>IF(E84="","",E84)</f>
        <v>50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학익동 신동아1,2차('88.11.,938^)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3385</v>
      </c>
      <c r="B86" s="16" t="s">
        <v>3386</v>
      </c>
      <c r="C86" s="28">
        <v>938</v>
      </c>
      <c r="D86" s="25">
        <v>51.9</v>
      </c>
      <c r="E86" s="106">
        <v>16</v>
      </c>
      <c r="F86" s="25">
        <v>42</v>
      </c>
      <c r="G86" s="27">
        <v>13</v>
      </c>
      <c r="H86" s="28">
        <v>104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2</v>
      </c>
      <c r="R86" s="15">
        <v>1</v>
      </c>
      <c r="S86" s="113" t="s">
        <v>3380</v>
      </c>
      <c r="T86" s="8" t="s">
        <v>251</v>
      </c>
      <c r="U86" s="13"/>
      <c r="W86" s="25">
        <f>D86</f>
        <v>51.9</v>
      </c>
      <c r="X86" s="106">
        <f>E86</f>
        <v>16</v>
      </c>
      <c r="Y86" s="32">
        <f>H86</f>
        <v>104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2/1</v>
      </c>
      <c r="AH86" s="36" t="str">
        <f>IF(A86="","",A86)</f>
        <v>신동아1,2차</v>
      </c>
      <c r="AI86" s="106">
        <f>IF(E86="","",E86)</f>
        <v>16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3387</v>
      </c>
      <c r="B87" s="16" t="s">
        <v>3388</v>
      </c>
      <c r="C87" s="28">
        <v>938</v>
      </c>
      <c r="D87" s="25">
        <v>52</v>
      </c>
      <c r="E87" s="106">
        <v>16</v>
      </c>
      <c r="F87" s="25">
        <v>42</v>
      </c>
      <c r="G87" s="27">
        <v>13</v>
      </c>
      <c r="H87" s="28">
        <v>106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2</v>
      </c>
      <c r="R87" s="15">
        <v>1</v>
      </c>
      <c r="S87" s="113" t="s">
        <v>3384</v>
      </c>
      <c r="T87" s="8" t="s">
        <v>586</v>
      </c>
      <c r="U87" s="13"/>
      <c r="W87" s="25">
        <f>D87</f>
        <v>52</v>
      </c>
      <c r="X87" s="106">
        <f>E87</f>
        <v>16</v>
      </c>
      <c r="Y87" s="32">
        <f>H87</f>
        <v>106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2/1</v>
      </c>
      <c r="AH87" s="36" t="str">
        <f>IF(A87="","",A87)</f>
        <v>신동아1,2차</v>
      </c>
      <c r="AI87" s="106">
        <f>IF(E87="","",E87)</f>
        <v>16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3389</v>
      </c>
      <c r="B88" s="16" t="s">
        <v>3386</v>
      </c>
      <c r="C88" s="28">
        <v>938</v>
      </c>
      <c r="D88" s="25">
        <v>61.4</v>
      </c>
      <c r="E88" s="106">
        <v>19</v>
      </c>
      <c r="F88" s="25">
        <v>49</v>
      </c>
      <c r="G88" s="27">
        <v>15</v>
      </c>
      <c r="H88" s="28">
        <v>84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1</v>
      </c>
      <c r="S88" s="113" t="s">
        <v>3346</v>
      </c>
      <c r="T88" s="8">
        <v>61</v>
      </c>
      <c r="U88" s="13"/>
      <c r="W88" s="25">
        <f>D88</f>
        <v>61.4</v>
      </c>
      <c r="X88" s="106">
        <f>E88</f>
        <v>19</v>
      </c>
      <c r="Y88" s="32">
        <f>H88</f>
        <v>84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3/1</v>
      </c>
      <c r="AH88" s="36" t="str">
        <f>IF(A88="","",A88)</f>
        <v>신동아1,2차</v>
      </c>
      <c r="AI88" s="106">
        <f>IF(E88="","",E88)</f>
        <v>19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3389</v>
      </c>
      <c r="B89" s="16" t="s">
        <v>3386</v>
      </c>
      <c r="C89" s="28">
        <v>938</v>
      </c>
      <c r="D89" s="25">
        <v>61.1</v>
      </c>
      <c r="E89" s="106">
        <v>18</v>
      </c>
      <c r="F89" s="25">
        <v>49</v>
      </c>
      <c r="G89" s="27">
        <v>15</v>
      </c>
      <c r="H89" s="28">
        <v>78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1</v>
      </c>
      <c r="S89" s="113" t="s">
        <v>3390</v>
      </c>
      <c r="T89" s="8">
        <v>61</v>
      </c>
      <c r="U89" s="13"/>
      <c r="W89" s="25">
        <f>D89</f>
        <v>61.1</v>
      </c>
      <c r="X89" s="106">
        <f>E89</f>
        <v>18</v>
      </c>
      <c r="Y89" s="32">
        <f>H89</f>
        <v>78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3/1</v>
      </c>
      <c r="AH89" s="36" t="str">
        <f>IF(A89="","",A89)</f>
        <v>신동아1,2차</v>
      </c>
      <c r="AI89" s="106">
        <f>IF(E89="","",E89)</f>
        <v>18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3389</v>
      </c>
      <c r="B90" s="16" t="s">
        <v>3386</v>
      </c>
      <c r="C90" s="28">
        <v>938</v>
      </c>
      <c r="D90" s="25">
        <v>70.5</v>
      </c>
      <c r="E90" s="106">
        <v>21</v>
      </c>
      <c r="F90" s="25">
        <v>56.3</v>
      </c>
      <c r="G90" s="27">
        <v>17</v>
      </c>
      <c r="H90" s="28">
        <v>84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1</v>
      </c>
      <c r="S90" s="113" t="s">
        <v>3391</v>
      </c>
      <c r="T90" s="8" t="s">
        <v>490</v>
      </c>
      <c r="U90" s="13"/>
      <c r="W90" s="25">
        <f>D90</f>
        <v>70.5</v>
      </c>
      <c r="X90" s="106">
        <f>E90</f>
        <v>21</v>
      </c>
      <c r="Y90" s="32">
        <f>H90</f>
        <v>84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복</v>
      </c>
      <c r="AF90" s="15" t="str">
        <f>Q90&amp;"/"&amp;R90</f>
        <v>3/1</v>
      </c>
      <c r="AH90" s="36" t="str">
        <f>IF(A90="","",A90)</f>
        <v>신동아1,2차</v>
      </c>
      <c r="AI90" s="106">
        <f>IF(E90="","",E90)</f>
        <v>21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3392</v>
      </c>
      <c r="B91" s="16" t="s">
        <v>3386</v>
      </c>
      <c r="C91" s="28">
        <v>938</v>
      </c>
      <c r="D91" s="25">
        <v>70.099999999999994</v>
      </c>
      <c r="E91" s="106">
        <v>21</v>
      </c>
      <c r="F91" s="25">
        <v>56.3</v>
      </c>
      <c r="G91" s="27">
        <v>17</v>
      </c>
      <c r="H91" s="28">
        <v>78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1</v>
      </c>
      <c r="S91" s="113" t="s">
        <v>3391</v>
      </c>
      <c r="T91" s="8" t="s">
        <v>979</v>
      </c>
      <c r="U91" s="13"/>
      <c r="W91" s="25">
        <f>D91</f>
        <v>70.099999999999994</v>
      </c>
      <c r="X91" s="106">
        <f>E91</f>
        <v>21</v>
      </c>
      <c r="Y91" s="32">
        <f>H91</f>
        <v>78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복</v>
      </c>
      <c r="AF91" s="15" t="str">
        <f>Q91&amp;"/"&amp;R91</f>
        <v>3/1</v>
      </c>
      <c r="AH91" s="36" t="str">
        <f>IF(A91="","",A91)</f>
        <v>신동아1,2차</v>
      </c>
      <c r="AI91" s="106">
        <f>IF(E91="","",E91)</f>
        <v>21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3389</v>
      </c>
      <c r="B92" s="16" t="s">
        <v>3386</v>
      </c>
      <c r="C92" s="28">
        <v>938</v>
      </c>
      <c r="D92" s="25">
        <v>79.7</v>
      </c>
      <c r="E92" s="106">
        <v>24</v>
      </c>
      <c r="F92" s="25">
        <v>64.3</v>
      </c>
      <c r="G92" s="27">
        <v>19</v>
      </c>
      <c r="H92" s="28">
        <v>106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1</v>
      </c>
      <c r="S92" s="113" t="s">
        <v>3391</v>
      </c>
      <c r="T92" s="8" t="s">
        <v>475</v>
      </c>
      <c r="U92" s="13"/>
      <c r="W92" s="25">
        <f>D92</f>
        <v>79.7</v>
      </c>
      <c r="X92" s="106">
        <f>E92</f>
        <v>24</v>
      </c>
      <c r="Y92" s="32">
        <f>H92</f>
        <v>106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복</v>
      </c>
      <c r="AF92" s="15" t="str">
        <f>Q92&amp;"/"&amp;R92</f>
        <v>3/1</v>
      </c>
      <c r="AH92" s="36" t="str">
        <f>IF(A92="","",A92)</f>
        <v>신동아1,2차</v>
      </c>
      <c r="AI92" s="106">
        <f>IF(E92="","",E92)</f>
        <v>24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3389</v>
      </c>
      <c r="B93" s="16" t="s">
        <v>3386</v>
      </c>
      <c r="C93" s="28">
        <v>938</v>
      </c>
      <c r="D93" s="25">
        <v>80.099999999999994</v>
      </c>
      <c r="E93" s="106">
        <v>24</v>
      </c>
      <c r="F93" s="25">
        <v>64.3</v>
      </c>
      <c r="G93" s="27">
        <v>19</v>
      </c>
      <c r="H93" s="28">
        <v>104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1</v>
      </c>
      <c r="S93" s="113" t="s">
        <v>3393</v>
      </c>
      <c r="T93" s="8" t="s">
        <v>1020</v>
      </c>
      <c r="U93" s="13"/>
      <c r="W93" s="25">
        <f>D93</f>
        <v>80.099999999999994</v>
      </c>
      <c r="X93" s="106">
        <f>E93</f>
        <v>24</v>
      </c>
      <c r="Y93" s="32">
        <f>H93</f>
        <v>104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복</v>
      </c>
      <c r="AF93" s="15" t="str">
        <f>Q93&amp;"/"&amp;R93</f>
        <v>3/1</v>
      </c>
      <c r="AH93" s="36" t="str">
        <f>IF(A93="","",A93)</f>
        <v>신동아1,2차</v>
      </c>
      <c r="AI93" s="106">
        <f>IF(E93="","",E93)</f>
        <v>24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3387</v>
      </c>
      <c r="B94" s="16" t="s">
        <v>3394</v>
      </c>
      <c r="C94" s="28">
        <v>938</v>
      </c>
      <c r="D94" s="25">
        <v>89.7</v>
      </c>
      <c r="E94" s="106">
        <v>27</v>
      </c>
      <c r="F94" s="25">
        <v>73.3</v>
      </c>
      <c r="G94" s="27">
        <v>22</v>
      </c>
      <c r="H94" s="28">
        <v>80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1</v>
      </c>
      <c r="S94" s="113" t="s">
        <v>64</v>
      </c>
      <c r="T94" s="8">
        <v>89</v>
      </c>
      <c r="U94" s="13"/>
      <c r="W94" s="25">
        <f>D94</f>
        <v>89.7</v>
      </c>
      <c r="X94" s="106">
        <f>E94</f>
        <v>27</v>
      </c>
      <c r="Y94" s="32">
        <f>H94</f>
        <v>80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3/1</v>
      </c>
      <c r="AH94" s="36" t="str">
        <f>IF(A94="","",A94)</f>
        <v>신동아1,2차</v>
      </c>
      <c r="AI94" s="106">
        <f>IF(E94="","",E94)</f>
        <v>27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3395</v>
      </c>
      <c r="B95" s="16" t="s">
        <v>3396</v>
      </c>
      <c r="C95" s="28">
        <v>938</v>
      </c>
      <c r="D95" s="25">
        <v>102.9</v>
      </c>
      <c r="E95" s="106">
        <v>31</v>
      </c>
      <c r="F95" s="25">
        <v>84.9</v>
      </c>
      <c r="G95" s="27">
        <v>26</v>
      </c>
      <c r="H95" s="28">
        <v>114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3397</v>
      </c>
      <c r="T95" s="8">
        <v>102</v>
      </c>
      <c r="U95" s="13"/>
      <c r="W95" s="25">
        <f>D95</f>
        <v>102.9</v>
      </c>
      <c r="X95" s="106">
        <f>E95</f>
        <v>31</v>
      </c>
      <c r="Y95" s="32">
        <f>H95</f>
        <v>114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신동아1,2차</v>
      </c>
      <c r="AI95" s="106">
        <f>IF(E95="","",E95)</f>
        <v>31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9"/>
      <c r="B96" s="113"/>
      <c r="C96" s="10"/>
      <c r="D96" s="13"/>
      <c r="E96" s="20"/>
      <c r="F96" s="26"/>
      <c r="G96" s="13"/>
      <c r="H96" s="13"/>
      <c r="I96" s="13"/>
      <c r="J96" s="13"/>
      <c r="K96" s="13"/>
      <c r="L96" s="13"/>
      <c r="M96" s="13"/>
      <c r="N96" s="13"/>
      <c r="O96" s="29"/>
      <c r="P96" s="29"/>
      <c r="Q96" s="23"/>
      <c r="R96" s="23"/>
      <c r="S96" s="13"/>
      <c r="T96" s="70"/>
      <c r="U96" s="13"/>
      <c r="W96" s="107" t="str">
        <f>$A$4&amp;" "&amp;A97&amp;"("&amp;B97&amp;","&amp;C97&amp;"^)"</f>
        <v>학익동 인천학익두산위브('11.09.,432^)</v>
      </c>
      <c r="X96" s="108"/>
      <c r="Y96" s="108"/>
      <c r="Z96" s="108"/>
      <c r="AA96" s="108"/>
      <c r="AB96" s="108"/>
      <c r="AC96" s="108"/>
      <c r="AD96" s="108"/>
      <c r="AE96" s="108"/>
      <c r="AF96" s="109"/>
      <c r="AH96" s="36" t="str">
        <f>IF(A96="","",A96)</f>
        <v/>
      </c>
      <c r="AI96" s="37" t="str">
        <f>IF(E96="","",E96)</f>
        <v/>
      </c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</row>
    <row r="97" spans="1:48" x14ac:dyDescent="0.3">
      <c r="A97" s="5" t="s">
        <v>3398</v>
      </c>
      <c r="B97" s="16" t="s">
        <v>3399</v>
      </c>
      <c r="C97" s="28">
        <v>432</v>
      </c>
      <c r="D97" s="25">
        <v>23.8</v>
      </c>
      <c r="E97" s="106">
        <v>7</v>
      </c>
      <c r="F97" s="25">
        <v>15.3</v>
      </c>
      <c r="G97" s="27">
        <v>5</v>
      </c>
      <c r="H97" s="28">
        <v>12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1</v>
      </c>
      <c r="R97" s="15">
        <v>1</v>
      </c>
      <c r="S97" s="113" t="s">
        <v>3400</v>
      </c>
      <c r="T97" s="8" t="s">
        <v>2264</v>
      </c>
      <c r="U97" s="13"/>
      <c r="W97" s="25">
        <f>D97</f>
        <v>23.8</v>
      </c>
      <c r="X97" s="106">
        <f>E97</f>
        <v>7</v>
      </c>
      <c r="Y97" s="32">
        <f>H97</f>
        <v>12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합</v>
      </c>
      <c r="AF97" s="15" t="str">
        <f>Q97&amp;"/"&amp;R97</f>
        <v>1/1</v>
      </c>
      <c r="AH97" s="36" t="str">
        <f>IF(A97="","",A97)</f>
        <v>인천학익두산위브</v>
      </c>
      <c r="AI97" s="106">
        <f>IF(E97="","",E97)</f>
        <v>7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X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3398</v>
      </c>
      <c r="B98" s="16" t="s">
        <v>3399</v>
      </c>
      <c r="C98" s="28">
        <v>432</v>
      </c>
      <c r="D98" s="25">
        <v>25.4</v>
      </c>
      <c r="E98" s="106">
        <v>8</v>
      </c>
      <c r="F98" s="25">
        <v>16</v>
      </c>
      <c r="G98" s="27">
        <v>5</v>
      </c>
      <c r="H98" s="28">
        <v>12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1</v>
      </c>
      <c r="R98" s="15">
        <v>1</v>
      </c>
      <c r="S98" s="113" t="s">
        <v>3401</v>
      </c>
      <c r="T98" s="8" t="s">
        <v>2291</v>
      </c>
      <c r="U98" s="13"/>
      <c r="W98" s="25">
        <f>D98</f>
        <v>25.4</v>
      </c>
      <c r="X98" s="106">
        <f>E98</f>
        <v>8</v>
      </c>
      <c r="Y98" s="32">
        <f>H98</f>
        <v>12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합</v>
      </c>
      <c r="AF98" s="15" t="str">
        <f>Q98&amp;"/"&amp;R98</f>
        <v>1/1</v>
      </c>
      <c r="AH98" s="36" t="str">
        <f>IF(A98="","",A98)</f>
        <v>인천학익두산위브</v>
      </c>
      <c r="AI98" s="106">
        <f>IF(E98="","",E98)</f>
        <v>8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3398</v>
      </c>
      <c r="B99" s="16" t="s">
        <v>3402</v>
      </c>
      <c r="C99" s="28">
        <v>432</v>
      </c>
      <c r="D99" s="25">
        <v>28.4</v>
      </c>
      <c r="E99" s="106">
        <v>9</v>
      </c>
      <c r="F99" s="25">
        <v>18.399999999999999</v>
      </c>
      <c r="G99" s="27">
        <v>6</v>
      </c>
      <c r="H99" s="28">
        <v>5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1</v>
      </c>
      <c r="R99" s="15">
        <v>1</v>
      </c>
      <c r="S99" s="113" t="s">
        <v>3401</v>
      </c>
      <c r="T99" s="8">
        <v>28</v>
      </c>
      <c r="U99" s="13"/>
      <c r="W99" s="25">
        <f>D99</f>
        <v>28.4</v>
      </c>
      <c r="X99" s="106">
        <f>E99</f>
        <v>9</v>
      </c>
      <c r="Y99" s="32">
        <f>H99</f>
        <v>5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합</v>
      </c>
      <c r="AF99" s="15" t="str">
        <f>Q99&amp;"/"&amp;R99</f>
        <v>1/1</v>
      </c>
      <c r="AH99" s="36" t="str">
        <f>IF(A99="","",A99)</f>
        <v>인천학익두산위브</v>
      </c>
      <c r="AI99" s="106">
        <f>IF(E99="","",E99)</f>
        <v>9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3403</v>
      </c>
      <c r="B100" s="16" t="s">
        <v>3404</v>
      </c>
      <c r="C100" s="28">
        <v>432</v>
      </c>
      <c r="D100" s="25">
        <v>34.1</v>
      </c>
      <c r="E100" s="106">
        <v>10</v>
      </c>
      <c r="F100" s="25">
        <v>21.8</v>
      </c>
      <c r="G100" s="27">
        <v>7</v>
      </c>
      <c r="H100" s="28">
        <v>12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1</v>
      </c>
      <c r="R100" s="15">
        <v>1</v>
      </c>
      <c r="S100" s="113" t="s">
        <v>3405</v>
      </c>
      <c r="T100" s="8" t="s">
        <v>2967</v>
      </c>
      <c r="U100" s="13"/>
      <c r="W100" s="25">
        <f>D100</f>
        <v>34.1</v>
      </c>
      <c r="X100" s="106">
        <f>E100</f>
        <v>10</v>
      </c>
      <c r="Y100" s="32">
        <f>H100</f>
        <v>12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합</v>
      </c>
      <c r="AF100" s="15" t="str">
        <f>Q100&amp;"/"&amp;R100</f>
        <v>1/1</v>
      </c>
      <c r="AH100" s="36" t="str">
        <f>IF(A100="","",A100)</f>
        <v>인천학익두산위브</v>
      </c>
      <c r="AI100" s="106">
        <f>IF(E100="","",E100)</f>
        <v>10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X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3398</v>
      </c>
      <c r="B101" s="16" t="s">
        <v>3399</v>
      </c>
      <c r="C101" s="28">
        <v>432</v>
      </c>
      <c r="D101" s="25">
        <v>36.200000000000003</v>
      </c>
      <c r="E101" s="106">
        <v>11</v>
      </c>
      <c r="F101" s="25">
        <v>23.9</v>
      </c>
      <c r="G101" s="27">
        <v>7</v>
      </c>
      <c r="H101" s="28">
        <v>12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1</v>
      </c>
      <c r="R101" s="15">
        <v>1</v>
      </c>
      <c r="S101" s="113" t="s">
        <v>3400</v>
      </c>
      <c r="T101" s="8" t="s">
        <v>2001</v>
      </c>
      <c r="U101" s="13"/>
      <c r="W101" s="25">
        <f>D101</f>
        <v>36.200000000000003</v>
      </c>
      <c r="X101" s="106">
        <f>E101</f>
        <v>11</v>
      </c>
      <c r="Y101" s="32">
        <f>H101</f>
        <v>12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합</v>
      </c>
      <c r="AF101" s="15" t="str">
        <f>Q101&amp;"/"&amp;R101</f>
        <v>1/1</v>
      </c>
      <c r="AH101" s="36" t="str">
        <f>IF(A101="","",A101)</f>
        <v>인천학익두산위브</v>
      </c>
      <c r="AI101" s="106">
        <f>IF(E101="","",E101)</f>
        <v>11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3406</v>
      </c>
      <c r="B102" s="16" t="s">
        <v>3407</v>
      </c>
      <c r="C102" s="28">
        <v>432</v>
      </c>
      <c r="D102" s="25">
        <v>37.299999999999997</v>
      </c>
      <c r="E102" s="106">
        <v>11</v>
      </c>
      <c r="F102" s="25">
        <v>24.7</v>
      </c>
      <c r="G102" s="27">
        <v>7</v>
      </c>
      <c r="H102" s="28">
        <v>5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1</v>
      </c>
      <c r="R102" s="15">
        <v>1</v>
      </c>
      <c r="S102" s="113" t="s">
        <v>3096</v>
      </c>
      <c r="T102" s="8">
        <v>37</v>
      </c>
      <c r="U102" s="13"/>
      <c r="W102" s="25">
        <f>D102</f>
        <v>37.299999999999997</v>
      </c>
      <c r="X102" s="106">
        <f>E102</f>
        <v>11</v>
      </c>
      <c r="Y102" s="32">
        <f>H102</f>
        <v>5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합</v>
      </c>
      <c r="AF102" s="15" t="str">
        <f>Q102&amp;"/"&amp;R102</f>
        <v>1/1</v>
      </c>
      <c r="AH102" s="36" t="str">
        <f>IF(A102="","",A102)</f>
        <v>인천학익두산위브</v>
      </c>
      <c r="AI102" s="106">
        <f>IF(E102="","",E102)</f>
        <v>11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X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3408</v>
      </c>
      <c r="B103" s="16" t="s">
        <v>3409</v>
      </c>
      <c r="C103" s="28">
        <v>432</v>
      </c>
      <c r="D103" s="25">
        <v>41.1</v>
      </c>
      <c r="E103" s="106">
        <v>12</v>
      </c>
      <c r="F103" s="25">
        <v>27.5</v>
      </c>
      <c r="G103" s="27">
        <v>8</v>
      </c>
      <c r="H103" s="28">
        <v>12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1</v>
      </c>
      <c r="R103" s="15">
        <v>1</v>
      </c>
      <c r="S103" s="113" t="s">
        <v>3410</v>
      </c>
      <c r="T103" s="8">
        <v>41</v>
      </c>
      <c r="U103" s="13"/>
      <c r="W103" s="25">
        <f>D103</f>
        <v>41.1</v>
      </c>
      <c r="X103" s="106">
        <f>E103</f>
        <v>12</v>
      </c>
      <c r="Y103" s="32">
        <f>H103</f>
        <v>12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합</v>
      </c>
      <c r="AF103" s="15" t="str">
        <f>Q103&amp;"/"&amp;R103</f>
        <v>1/1</v>
      </c>
      <c r="AH103" s="36" t="str">
        <f>IF(A103="","",A103)</f>
        <v>인천학익두산위브</v>
      </c>
      <c r="AI103" s="106">
        <f>IF(E103="","",E103)</f>
        <v>12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3408</v>
      </c>
      <c r="B104" s="16" t="s">
        <v>3409</v>
      </c>
      <c r="C104" s="28">
        <v>432</v>
      </c>
      <c r="D104" s="25">
        <v>59.2</v>
      </c>
      <c r="E104" s="106">
        <v>18</v>
      </c>
      <c r="F104" s="25">
        <v>39</v>
      </c>
      <c r="G104" s="27">
        <v>12</v>
      </c>
      <c r="H104" s="28">
        <v>5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1</v>
      </c>
      <c r="R104" s="15">
        <v>1</v>
      </c>
      <c r="S104" s="113" t="s">
        <v>3410</v>
      </c>
      <c r="T104" s="8">
        <v>59</v>
      </c>
      <c r="U104" s="13"/>
      <c r="W104" s="25">
        <f>D104</f>
        <v>59.2</v>
      </c>
      <c r="X104" s="106">
        <f>E104</f>
        <v>18</v>
      </c>
      <c r="Y104" s="32">
        <f>H104</f>
        <v>5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합</v>
      </c>
      <c r="AF104" s="15" t="str">
        <f>Q104&amp;"/"&amp;R104</f>
        <v>1/1</v>
      </c>
      <c r="AH104" s="36" t="str">
        <f>IF(A104="","",A104)</f>
        <v>인천학익두산위브</v>
      </c>
      <c r="AI104" s="106">
        <f>IF(E104="","",E104)</f>
        <v>18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3408</v>
      </c>
      <c r="B105" s="16" t="s">
        <v>3409</v>
      </c>
      <c r="C105" s="28">
        <v>432</v>
      </c>
      <c r="D105" s="25">
        <v>88.5</v>
      </c>
      <c r="E105" s="106">
        <v>27</v>
      </c>
      <c r="F105" s="25">
        <v>58.8</v>
      </c>
      <c r="G105" s="27">
        <v>18</v>
      </c>
      <c r="H105" s="28">
        <v>5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1</v>
      </c>
      <c r="R105" s="15">
        <v>2</v>
      </c>
      <c r="S105" s="113" t="s">
        <v>3410</v>
      </c>
      <c r="T105" s="8">
        <v>88</v>
      </c>
      <c r="U105" s="13"/>
      <c r="W105" s="25">
        <f>D105</f>
        <v>88.5</v>
      </c>
      <c r="X105" s="106">
        <f>E105</f>
        <v>27</v>
      </c>
      <c r="Y105" s="32">
        <f>H105</f>
        <v>5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합</v>
      </c>
      <c r="AF105" s="15" t="str">
        <f>Q105&amp;"/"&amp;R105</f>
        <v>1/2</v>
      </c>
      <c r="AH105" s="36" t="str">
        <f>IF(A105="","",A105)</f>
        <v>인천학익두산위브</v>
      </c>
      <c r="AI105" s="106">
        <f>IF(E105="","",E105)</f>
        <v>27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3406</v>
      </c>
      <c r="B106" s="16" t="s">
        <v>3407</v>
      </c>
      <c r="C106" s="28">
        <v>432</v>
      </c>
      <c r="D106" s="25">
        <v>108.5</v>
      </c>
      <c r="E106" s="106">
        <v>33</v>
      </c>
      <c r="F106" s="25">
        <v>84.8</v>
      </c>
      <c r="G106" s="27">
        <v>26</v>
      </c>
      <c r="H106" s="28">
        <v>52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3096</v>
      </c>
      <c r="T106" s="8" t="s">
        <v>2968</v>
      </c>
      <c r="U106" s="13"/>
      <c r="W106" s="25">
        <f>D106</f>
        <v>108.5</v>
      </c>
      <c r="X106" s="106">
        <f>E106</f>
        <v>33</v>
      </c>
      <c r="Y106" s="32">
        <f>H106</f>
        <v>52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합</v>
      </c>
      <c r="AF106" s="15" t="str">
        <f>Q106&amp;"/"&amp;R106</f>
        <v>3/2</v>
      </c>
      <c r="AH106" s="36" t="str">
        <f>IF(A106="","",A106)</f>
        <v>인천학익두산위브</v>
      </c>
      <c r="AI106" s="106">
        <f>IF(E106="","",E106)</f>
        <v>33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3408</v>
      </c>
      <c r="B107" s="16" t="s">
        <v>3409</v>
      </c>
      <c r="C107" s="28">
        <v>432</v>
      </c>
      <c r="D107" s="25">
        <v>110.2</v>
      </c>
      <c r="E107" s="106">
        <v>33</v>
      </c>
      <c r="F107" s="25">
        <v>84.9</v>
      </c>
      <c r="G107" s="27">
        <v>26</v>
      </c>
      <c r="H107" s="28">
        <v>48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3410</v>
      </c>
      <c r="T107" s="8" t="s">
        <v>157</v>
      </c>
      <c r="U107" s="13"/>
      <c r="W107" s="25">
        <f>D107</f>
        <v>110.2</v>
      </c>
      <c r="X107" s="106">
        <f>E107</f>
        <v>33</v>
      </c>
      <c r="Y107" s="32">
        <f>H107</f>
        <v>48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합</v>
      </c>
      <c r="AF107" s="15" t="str">
        <f>Q107&amp;"/"&amp;R107</f>
        <v>3/2</v>
      </c>
      <c r="AH107" s="36" t="str">
        <f>IF(A107="","",A107)</f>
        <v>인천학익두산위브</v>
      </c>
      <c r="AI107" s="106">
        <f>IF(E107="","",E107)</f>
        <v>33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3408</v>
      </c>
      <c r="B108" s="16" t="s">
        <v>3407</v>
      </c>
      <c r="C108" s="28">
        <v>432</v>
      </c>
      <c r="D108" s="25">
        <v>152.1</v>
      </c>
      <c r="E108" s="106">
        <v>46</v>
      </c>
      <c r="F108" s="25">
        <v>125.9</v>
      </c>
      <c r="G108" s="27">
        <v>38</v>
      </c>
      <c r="H108" s="28">
        <v>130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4</v>
      </c>
      <c r="R108" s="15">
        <v>2</v>
      </c>
      <c r="S108" s="113" t="s">
        <v>3096</v>
      </c>
      <c r="T108" s="8">
        <v>152</v>
      </c>
      <c r="U108" s="13"/>
      <c r="W108" s="25">
        <f>D108</f>
        <v>152.1</v>
      </c>
      <c r="X108" s="106">
        <f>E108</f>
        <v>46</v>
      </c>
      <c r="Y108" s="32">
        <f>H108</f>
        <v>130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합</v>
      </c>
      <c r="AF108" s="15" t="str">
        <f>Q108&amp;"/"&amp;R108</f>
        <v>4/2</v>
      </c>
      <c r="AH108" s="36" t="str">
        <f>IF(A108="","",A108)</f>
        <v>인천학익두산위브</v>
      </c>
      <c r="AI108" s="106">
        <f>IF(E108="","",E108)</f>
        <v>46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3406</v>
      </c>
      <c r="B109" s="16" t="s">
        <v>3409</v>
      </c>
      <c r="C109" s="28">
        <v>432</v>
      </c>
      <c r="D109" s="25">
        <v>177.8</v>
      </c>
      <c r="E109" s="106">
        <v>54</v>
      </c>
      <c r="F109" s="25">
        <v>146.30000000000001</v>
      </c>
      <c r="G109" s="27">
        <v>44</v>
      </c>
      <c r="H109" s="28">
        <v>122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4</v>
      </c>
      <c r="R109" s="15">
        <v>2</v>
      </c>
      <c r="S109" s="113" t="s">
        <v>3410</v>
      </c>
      <c r="T109" s="8">
        <v>177</v>
      </c>
      <c r="U109" s="13"/>
      <c r="W109" s="25">
        <f>D109</f>
        <v>177.8</v>
      </c>
      <c r="X109" s="106">
        <f>E109</f>
        <v>54</v>
      </c>
      <c r="Y109" s="32">
        <f>H109</f>
        <v>122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합</v>
      </c>
      <c r="AF109" s="15" t="str">
        <f>Q109&amp;"/"&amp;R109</f>
        <v>4/2</v>
      </c>
      <c r="AH109" s="36" t="str">
        <f>IF(A109="","",A109)</f>
        <v>인천학익두산위브</v>
      </c>
      <c r="AI109" s="106">
        <f>IF(E109="","",E109)</f>
        <v>54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</sheetData>
  <mergeCells count="1">
    <mergeCell ref="AJ1:AN1"/>
  </mergeCells>
  <phoneticPr fontId="2" type="noConversion"/>
  <conditionalFormatting sqref="AV4:AV6">
    <cfRule type="expression" dxfId="1663" priority="1767">
      <formula>AV4="X"</formula>
    </cfRule>
    <cfRule type="expression" dxfId="1662" priority="1768">
      <formula>AV4="후보"</formula>
    </cfRule>
  </conditionalFormatting>
  <conditionalFormatting sqref="Z2:Z6">
    <cfRule type="colorScale" priority="1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661" priority="1764" operator="greaterThan">
      <formula>0.9</formula>
    </cfRule>
    <cfRule type="cellIs" dxfId="1660" priority="1765" operator="greaterThan">
      <formula>0.85</formula>
    </cfRule>
  </conditionalFormatting>
  <conditionalFormatting sqref="N1:N2">
    <cfRule type="cellIs" dxfId="1659" priority="1762" operator="greaterThan">
      <formula>0.9</formula>
    </cfRule>
    <cfRule type="cellIs" dxfId="1658" priority="1763" operator="greaterThan">
      <formula>0.85</formula>
    </cfRule>
  </conditionalFormatting>
  <conditionalFormatting sqref="N6">
    <cfRule type="cellIs" dxfId="1657" priority="1760" operator="greaterThan">
      <formula>0.9</formula>
    </cfRule>
    <cfRule type="cellIs" dxfId="1656" priority="1761" operator="greaterThan">
      <formula>0.85</formula>
    </cfRule>
  </conditionalFormatting>
  <conditionalFormatting sqref="E6">
    <cfRule type="expression" dxfId="1655" priority="1756">
      <formula>AND(IF(OR($Q6=1,$Q6=2),1,0),IF($X6&lt;=20,1,0))</formula>
    </cfRule>
    <cfRule type="expression" dxfId="1654" priority="1757">
      <formula>AND(IF($Q6=2,1,0),IF($X6&lt;30,1,0))</formula>
    </cfRule>
    <cfRule type="expression" dxfId="1653" priority="1758">
      <formula>AND(IF($Q6=3,1,0),IF($X6&lt;30,1,0))</formula>
    </cfRule>
    <cfRule type="expression" dxfId="1652" priority="1759">
      <formula>AND(IF($Q6=3,1,IF($Q6=4,1,0)),IF($F6&lt;=85,1,0))</formula>
    </cfRule>
  </conditionalFormatting>
  <conditionalFormatting sqref="X6">
    <cfRule type="expression" dxfId="1651" priority="1752">
      <formula>AND(IF(OR($Q6=1,$Q6=2),1,0),IF($X6&lt;=20,1,0))</formula>
    </cfRule>
    <cfRule type="expression" dxfId="1650" priority="1753">
      <formula>AND(IF($Q6=2,1,0),IF($X6&lt;30,1,0))</formula>
    </cfRule>
    <cfRule type="expression" dxfId="1649" priority="1754">
      <formula>AND(IF($Q6=3,1,0),IF($X6&lt;30,1,0))</formula>
    </cfRule>
    <cfRule type="expression" dxfId="1648" priority="1755">
      <formula>AND(IF($Q6=3,1,IF($Q6=4,1,0)),IF($F6&lt;=85,1,0))</formula>
    </cfRule>
  </conditionalFormatting>
  <conditionalFormatting sqref="AI6">
    <cfRule type="expression" dxfId="1647" priority="1748">
      <formula>AND(IF(OR($Q6=1,$Q6=2),1,0),IF($X6&lt;=20,1,0))</formula>
    </cfRule>
    <cfRule type="expression" dxfId="1646" priority="1749">
      <formula>AND(IF($Q6=2,1,0),IF($X6&lt;30,1,0))</formula>
    </cfRule>
    <cfRule type="expression" dxfId="1645" priority="1750">
      <formula>AND(IF($Q6=3,1,0),IF($X6&lt;30,1,0))</formula>
    </cfRule>
    <cfRule type="expression" dxfId="1644" priority="1751">
      <formula>AND(IF($Q6=3,1,IF($Q6=4,1,0)),IF($F6&lt;=85,1,0))</formula>
    </cfRule>
  </conditionalFormatting>
  <conditionalFormatting sqref="AV7">
    <cfRule type="expression" dxfId="1643" priority="1746">
      <formula>AV7="X"</formula>
    </cfRule>
    <cfRule type="expression" dxfId="1642" priority="1747">
      <formula>AV7="후보"</formula>
    </cfRule>
  </conditionalFormatting>
  <conditionalFormatting sqref="Z7">
    <cfRule type="colorScale" priority="1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641" priority="1743" operator="greaterThan">
      <formula>0.9</formula>
    </cfRule>
    <cfRule type="cellIs" dxfId="1640" priority="1744" operator="greaterThan">
      <formula>0.85</formula>
    </cfRule>
  </conditionalFormatting>
  <conditionalFormatting sqref="N7">
    <cfRule type="cellIs" dxfId="1639" priority="1741" operator="greaterThan">
      <formula>0.9</formula>
    </cfRule>
    <cfRule type="cellIs" dxfId="1638" priority="1742" operator="greaterThan">
      <formula>0.85</formula>
    </cfRule>
  </conditionalFormatting>
  <conditionalFormatting sqref="E7">
    <cfRule type="expression" dxfId="1637" priority="1737">
      <formula>AND(IF(OR($Q7=1,$Q7=2),1,0),IF($X7&lt;=20,1,0))</formula>
    </cfRule>
    <cfRule type="expression" dxfId="1636" priority="1738">
      <formula>AND(IF($Q7=2,1,0),IF($X7&lt;30,1,0))</formula>
    </cfRule>
    <cfRule type="expression" dxfId="1635" priority="1739">
      <formula>AND(IF($Q7=3,1,0),IF($X7&lt;30,1,0))</formula>
    </cfRule>
    <cfRule type="expression" dxfId="1634" priority="1740">
      <formula>AND(IF($Q7=3,1,IF($Q7=4,1,0)),IF($F7&lt;=85,1,0))</formula>
    </cfRule>
  </conditionalFormatting>
  <conditionalFormatting sqref="X7">
    <cfRule type="expression" dxfId="1633" priority="1733">
      <formula>AND(IF(OR($Q7=1,$Q7=2),1,0),IF($X7&lt;=20,1,0))</formula>
    </cfRule>
    <cfRule type="expression" dxfId="1632" priority="1734">
      <formula>AND(IF($Q7=2,1,0),IF($X7&lt;30,1,0))</formula>
    </cfRule>
    <cfRule type="expression" dxfId="1631" priority="1735">
      <formula>AND(IF($Q7=3,1,0),IF($X7&lt;30,1,0))</formula>
    </cfRule>
    <cfRule type="expression" dxfId="1630" priority="1736">
      <formula>AND(IF($Q7=3,1,IF($Q7=4,1,0)),IF($F7&lt;=85,1,0))</formula>
    </cfRule>
  </conditionalFormatting>
  <conditionalFormatting sqref="AI7">
    <cfRule type="expression" dxfId="1629" priority="1729">
      <formula>AND(IF(OR($Q7=1,$Q7=2),1,0),IF($X7&lt;=20,1,0))</formula>
    </cfRule>
    <cfRule type="expression" dxfId="1628" priority="1730">
      <formula>AND(IF($Q7=2,1,0),IF($X7&lt;30,1,0))</formula>
    </cfRule>
    <cfRule type="expression" dxfId="1627" priority="1731">
      <formula>AND(IF($Q7=3,1,0),IF($X7&lt;30,1,0))</formula>
    </cfRule>
    <cfRule type="expression" dxfId="1626" priority="1732">
      <formula>AND(IF($Q7=3,1,IF($Q7=4,1,0)),IF($F7&lt;=85,1,0))</formula>
    </cfRule>
  </conditionalFormatting>
  <conditionalFormatting sqref="AV8">
    <cfRule type="expression" dxfId="1625" priority="1727">
      <formula>AV8="X"</formula>
    </cfRule>
    <cfRule type="expression" dxfId="1624" priority="1728">
      <formula>AV8="후보"</formula>
    </cfRule>
  </conditionalFormatting>
  <conditionalFormatting sqref="Z8">
    <cfRule type="colorScale" priority="1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623" priority="1724" operator="greaterThan">
      <formula>0.9</formula>
    </cfRule>
    <cfRule type="cellIs" dxfId="1622" priority="1725" operator="greaterThan">
      <formula>0.85</formula>
    </cfRule>
  </conditionalFormatting>
  <conditionalFormatting sqref="N8">
    <cfRule type="cellIs" dxfId="1621" priority="1722" operator="greaterThan">
      <formula>0.9</formula>
    </cfRule>
    <cfRule type="cellIs" dxfId="1620" priority="1723" operator="greaterThan">
      <formula>0.85</formula>
    </cfRule>
  </conditionalFormatting>
  <conditionalFormatting sqref="E8">
    <cfRule type="expression" dxfId="1619" priority="1718">
      <formula>AND(IF(OR($Q8=1,$Q8=2),1,0),IF($X8&lt;=20,1,0))</formula>
    </cfRule>
    <cfRule type="expression" dxfId="1618" priority="1719">
      <formula>AND(IF($Q8=2,1,0),IF($X8&lt;30,1,0))</formula>
    </cfRule>
    <cfRule type="expression" dxfId="1617" priority="1720">
      <formula>AND(IF($Q8=3,1,0),IF($X8&lt;30,1,0))</formula>
    </cfRule>
    <cfRule type="expression" dxfId="1616" priority="1721">
      <formula>AND(IF($Q8=3,1,IF($Q8=4,1,0)),IF($F8&lt;=85,1,0))</formula>
    </cfRule>
  </conditionalFormatting>
  <conditionalFormatting sqref="X8">
    <cfRule type="expression" dxfId="1615" priority="1714">
      <formula>AND(IF(OR($Q8=1,$Q8=2),1,0),IF($X8&lt;=20,1,0))</formula>
    </cfRule>
    <cfRule type="expression" dxfId="1614" priority="1715">
      <formula>AND(IF($Q8=2,1,0),IF($X8&lt;30,1,0))</formula>
    </cfRule>
    <cfRule type="expression" dxfId="1613" priority="1716">
      <formula>AND(IF($Q8=3,1,0),IF($X8&lt;30,1,0))</formula>
    </cfRule>
    <cfRule type="expression" dxfId="1612" priority="1717">
      <formula>AND(IF($Q8=3,1,IF($Q8=4,1,0)),IF($F8&lt;=85,1,0))</formula>
    </cfRule>
  </conditionalFormatting>
  <conditionalFormatting sqref="AI8">
    <cfRule type="expression" dxfId="1611" priority="1710">
      <formula>AND(IF(OR($Q8=1,$Q8=2),1,0),IF($X8&lt;=20,1,0))</formula>
    </cfRule>
    <cfRule type="expression" dxfId="1610" priority="1711">
      <formula>AND(IF($Q8=2,1,0),IF($X8&lt;30,1,0))</formula>
    </cfRule>
    <cfRule type="expression" dxfId="1609" priority="1712">
      <formula>AND(IF($Q8=3,1,0),IF($X8&lt;30,1,0))</formula>
    </cfRule>
    <cfRule type="expression" dxfId="1608" priority="1713">
      <formula>AND(IF($Q8=3,1,IF($Q8=4,1,0)),IF($F8&lt;=85,1,0))</formula>
    </cfRule>
  </conditionalFormatting>
  <conditionalFormatting sqref="AV9">
    <cfRule type="expression" dxfId="1607" priority="1708">
      <formula>AV9="X"</formula>
    </cfRule>
    <cfRule type="expression" dxfId="1606" priority="1709">
      <formula>AV9="후보"</formula>
    </cfRule>
  </conditionalFormatting>
  <conditionalFormatting sqref="Z9">
    <cfRule type="colorScale" priority="1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605" priority="1705" operator="greaterThan">
      <formula>0.9</formula>
    </cfRule>
    <cfRule type="cellIs" dxfId="1604" priority="1706" operator="greaterThan">
      <formula>0.85</formula>
    </cfRule>
  </conditionalFormatting>
  <conditionalFormatting sqref="N9">
    <cfRule type="cellIs" dxfId="1603" priority="1703" operator="greaterThan">
      <formula>0.9</formula>
    </cfRule>
    <cfRule type="cellIs" dxfId="1602" priority="1704" operator="greaterThan">
      <formula>0.85</formula>
    </cfRule>
  </conditionalFormatting>
  <conditionalFormatting sqref="E9">
    <cfRule type="expression" dxfId="1601" priority="1699">
      <formula>AND(IF(OR($Q9=1,$Q9=2),1,0),IF($X9&lt;=20,1,0))</formula>
    </cfRule>
    <cfRule type="expression" dxfId="1600" priority="1700">
      <formula>AND(IF($Q9=2,1,0),IF($X9&lt;30,1,0))</formula>
    </cfRule>
    <cfRule type="expression" dxfId="1599" priority="1701">
      <formula>AND(IF($Q9=3,1,0),IF($X9&lt;30,1,0))</formula>
    </cfRule>
    <cfRule type="expression" dxfId="1598" priority="1702">
      <formula>AND(IF($Q9=3,1,IF($Q9=4,1,0)),IF($F9&lt;=85,1,0))</formula>
    </cfRule>
  </conditionalFormatting>
  <conditionalFormatting sqref="X9">
    <cfRule type="expression" dxfId="1597" priority="1695">
      <formula>AND(IF(OR($Q9=1,$Q9=2),1,0),IF($X9&lt;=20,1,0))</formula>
    </cfRule>
    <cfRule type="expression" dxfId="1596" priority="1696">
      <formula>AND(IF($Q9=2,1,0),IF($X9&lt;30,1,0))</formula>
    </cfRule>
    <cfRule type="expression" dxfId="1595" priority="1697">
      <formula>AND(IF($Q9=3,1,0),IF($X9&lt;30,1,0))</formula>
    </cfRule>
    <cfRule type="expression" dxfId="1594" priority="1698">
      <formula>AND(IF($Q9=3,1,IF($Q9=4,1,0)),IF($F9&lt;=85,1,0))</formula>
    </cfRule>
  </conditionalFormatting>
  <conditionalFormatting sqref="AI9">
    <cfRule type="expression" dxfId="1593" priority="1691">
      <formula>AND(IF(OR($Q9=1,$Q9=2),1,0),IF($X9&lt;=20,1,0))</formula>
    </cfRule>
    <cfRule type="expression" dxfId="1592" priority="1692">
      <formula>AND(IF($Q9=2,1,0),IF($X9&lt;30,1,0))</formula>
    </cfRule>
    <cfRule type="expression" dxfId="1591" priority="1693">
      <formula>AND(IF($Q9=3,1,0),IF($X9&lt;30,1,0))</formula>
    </cfRule>
    <cfRule type="expression" dxfId="1590" priority="1694">
      <formula>AND(IF($Q9=3,1,IF($Q9=4,1,0)),IF($F9&lt;=85,1,0))</formula>
    </cfRule>
  </conditionalFormatting>
  <conditionalFormatting sqref="AV10">
    <cfRule type="expression" dxfId="1589" priority="1689">
      <formula>AV10="X"</formula>
    </cfRule>
    <cfRule type="expression" dxfId="1588" priority="1690">
      <formula>AV10="후보"</formula>
    </cfRule>
  </conditionalFormatting>
  <conditionalFormatting sqref="Z10">
    <cfRule type="colorScale" priority="1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587" priority="1686" operator="greaterThan">
      <formula>0.9</formula>
    </cfRule>
    <cfRule type="cellIs" dxfId="1586" priority="1687" operator="greaterThan">
      <formula>0.85</formula>
    </cfRule>
  </conditionalFormatting>
  <conditionalFormatting sqref="N10">
    <cfRule type="cellIs" dxfId="1585" priority="1684" operator="greaterThan">
      <formula>0.9</formula>
    </cfRule>
    <cfRule type="cellIs" dxfId="1584" priority="1685" operator="greaterThan">
      <formula>0.85</formula>
    </cfRule>
  </conditionalFormatting>
  <conditionalFormatting sqref="E10">
    <cfRule type="expression" dxfId="1583" priority="1680">
      <formula>AND(IF(OR($Q10=1,$Q10=2),1,0),IF($X10&lt;=20,1,0))</formula>
    </cfRule>
    <cfRule type="expression" dxfId="1582" priority="1681">
      <formula>AND(IF($Q10=2,1,0),IF($X10&lt;30,1,0))</formula>
    </cfRule>
    <cfRule type="expression" dxfId="1581" priority="1682">
      <formula>AND(IF($Q10=3,1,0),IF($X10&lt;30,1,0))</formula>
    </cfRule>
    <cfRule type="expression" dxfId="1580" priority="1683">
      <formula>AND(IF($Q10=3,1,IF($Q10=4,1,0)),IF($F10&lt;=85,1,0))</formula>
    </cfRule>
  </conditionalFormatting>
  <conditionalFormatting sqref="X10">
    <cfRule type="expression" dxfId="1579" priority="1676">
      <formula>AND(IF(OR($Q10=1,$Q10=2),1,0),IF($X10&lt;=20,1,0))</formula>
    </cfRule>
    <cfRule type="expression" dxfId="1578" priority="1677">
      <formula>AND(IF($Q10=2,1,0),IF($X10&lt;30,1,0))</formula>
    </cfRule>
    <cfRule type="expression" dxfId="1577" priority="1678">
      <formula>AND(IF($Q10=3,1,0),IF($X10&lt;30,1,0))</formula>
    </cfRule>
    <cfRule type="expression" dxfId="1576" priority="1679">
      <formula>AND(IF($Q10=3,1,IF($Q10=4,1,0)),IF($F10&lt;=85,1,0))</formula>
    </cfRule>
  </conditionalFormatting>
  <conditionalFormatting sqref="AI10">
    <cfRule type="expression" dxfId="1575" priority="1672">
      <formula>AND(IF(OR($Q10=1,$Q10=2),1,0),IF($X10&lt;=20,1,0))</formula>
    </cfRule>
    <cfRule type="expression" dxfId="1574" priority="1673">
      <formula>AND(IF($Q10=2,1,0),IF($X10&lt;30,1,0))</formula>
    </cfRule>
    <cfRule type="expression" dxfId="1573" priority="1674">
      <formula>AND(IF($Q10=3,1,0),IF($X10&lt;30,1,0))</formula>
    </cfRule>
    <cfRule type="expression" dxfId="1572" priority="1675">
      <formula>AND(IF($Q10=3,1,IF($Q10=4,1,0)),IF($F10&lt;=85,1,0))</formula>
    </cfRule>
  </conditionalFormatting>
  <conditionalFormatting sqref="AV11">
    <cfRule type="expression" dxfId="1571" priority="1670">
      <formula>AV11="X"</formula>
    </cfRule>
    <cfRule type="expression" dxfId="1570" priority="1671">
      <formula>AV11="후보"</formula>
    </cfRule>
  </conditionalFormatting>
  <conditionalFormatting sqref="Z11">
    <cfRule type="colorScale" priority="1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569" priority="1667" operator="greaterThan">
      <formula>0.9</formula>
    </cfRule>
    <cfRule type="cellIs" dxfId="1568" priority="1668" operator="greaterThan">
      <formula>0.85</formula>
    </cfRule>
  </conditionalFormatting>
  <conditionalFormatting sqref="N11">
    <cfRule type="cellIs" dxfId="1567" priority="1665" operator="greaterThan">
      <formula>0.9</formula>
    </cfRule>
    <cfRule type="cellIs" dxfId="1566" priority="1666" operator="greaterThan">
      <formula>0.85</formula>
    </cfRule>
  </conditionalFormatting>
  <conditionalFormatting sqref="E11">
    <cfRule type="expression" dxfId="1565" priority="1661">
      <formula>AND(IF(OR($Q11=1,$Q11=2),1,0),IF($X11&lt;=20,1,0))</formula>
    </cfRule>
    <cfRule type="expression" dxfId="1564" priority="1662">
      <formula>AND(IF($Q11=2,1,0),IF($X11&lt;30,1,0))</formula>
    </cfRule>
    <cfRule type="expression" dxfId="1563" priority="1663">
      <formula>AND(IF($Q11=3,1,0),IF($X11&lt;30,1,0))</formula>
    </cfRule>
    <cfRule type="expression" dxfId="1562" priority="1664">
      <formula>AND(IF($Q11=3,1,IF($Q11=4,1,0)),IF($F11&lt;=85,1,0))</formula>
    </cfRule>
  </conditionalFormatting>
  <conditionalFormatting sqref="X11">
    <cfRule type="expression" dxfId="1561" priority="1657">
      <formula>AND(IF(OR($Q11=1,$Q11=2),1,0),IF($X11&lt;=20,1,0))</formula>
    </cfRule>
    <cfRule type="expression" dxfId="1560" priority="1658">
      <formula>AND(IF($Q11=2,1,0),IF($X11&lt;30,1,0))</formula>
    </cfRule>
    <cfRule type="expression" dxfId="1559" priority="1659">
      <formula>AND(IF($Q11=3,1,0),IF($X11&lt;30,1,0))</formula>
    </cfRule>
    <cfRule type="expression" dxfId="1558" priority="1660">
      <formula>AND(IF($Q11=3,1,IF($Q11=4,1,0)),IF($F11&lt;=85,1,0))</formula>
    </cfRule>
  </conditionalFormatting>
  <conditionalFormatting sqref="AI11">
    <cfRule type="expression" dxfId="1557" priority="1653">
      <formula>AND(IF(OR($Q11=1,$Q11=2),1,0),IF($X11&lt;=20,1,0))</formula>
    </cfRule>
    <cfRule type="expression" dxfId="1556" priority="1654">
      <formula>AND(IF($Q11=2,1,0),IF($X11&lt;30,1,0))</formula>
    </cfRule>
    <cfRule type="expression" dxfId="1555" priority="1655">
      <formula>AND(IF($Q11=3,1,0),IF($X11&lt;30,1,0))</formula>
    </cfRule>
    <cfRule type="expression" dxfId="1554" priority="1656">
      <formula>AND(IF($Q11=3,1,IF($Q11=4,1,0)),IF($F11&lt;=85,1,0))</formula>
    </cfRule>
  </conditionalFormatting>
  <conditionalFormatting sqref="AV12">
    <cfRule type="expression" dxfId="1553" priority="1651">
      <formula>AV12="X"</formula>
    </cfRule>
    <cfRule type="expression" dxfId="1552" priority="1652">
      <formula>AV12="후보"</formula>
    </cfRule>
  </conditionalFormatting>
  <conditionalFormatting sqref="Z12">
    <cfRule type="colorScale" priority="1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551" priority="1648" operator="greaterThan">
      <formula>0.9</formula>
    </cfRule>
    <cfRule type="cellIs" dxfId="1550" priority="1649" operator="greaterThan">
      <formula>0.85</formula>
    </cfRule>
  </conditionalFormatting>
  <conditionalFormatting sqref="N12">
    <cfRule type="cellIs" dxfId="1549" priority="1646" operator="greaterThan">
      <formula>0.9</formula>
    </cfRule>
    <cfRule type="cellIs" dxfId="1548" priority="1647" operator="greaterThan">
      <formula>0.85</formula>
    </cfRule>
  </conditionalFormatting>
  <conditionalFormatting sqref="E12">
    <cfRule type="expression" dxfId="1547" priority="1642">
      <formula>AND(IF(OR($Q12=1,$Q12=2),1,0),IF($X12&lt;=20,1,0))</formula>
    </cfRule>
    <cfRule type="expression" dxfId="1546" priority="1643">
      <formula>AND(IF($Q12=2,1,0),IF($X12&lt;30,1,0))</formula>
    </cfRule>
    <cfRule type="expression" dxfId="1545" priority="1644">
      <formula>AND(IF($Q12=3,1,0),IF($X12&lt;30,1,0))</formula>
    </cfRule>
    <cfRule type="expression" dxfId="1544" priority="1645">
      <formula>AND(IF($Q12=3,1,IF($Q12=4,1,0)),IF($F12&lt;=85,1,0))</formula>
    </cfRule>
  </conditionalFormatting>
  <conditionalFormatting sqref="X12">
    <cfRule type="expression" dxfId="1543" priority="1638">
      <formula>AND(IF(OR($Q12=1,$Q12=2),1,0),IF($X12&lt;=20,1,0))</formula>
    </cfRule>
    <cfRule type="expression" dxfId="1542" priority="1639">
      <formula>AND(IF($Q12=2,1,0),IF($X12&lt;30,1,0))</formula>
    </cfRule>
    <cfRule type="expression" dxfId="1541" priority="1640">
      <formula>AND(IF($Q12=3,1,0),IF($X12&lt;30,1,0))</formula>
    </cfRule>
    <cfRule type="expression" dxfId="1540" priority="1641">
      <formula>AND(IF($Q12=3,1,IF($Q12=4,1,0)),IF($F12&lt;=85,1,0))</formula>
    </cfRule>
  </conditionalFormatting>
  <conditionalFormatting sqref="AI12">
    <cfRule type="expression" dxfId="1539" priority="1634">
      <formula>AND(IF(OR($Q12=1,$Q12=2),1,0),IF($X12&lt;=20,1,0))</formula>
    </cfRule>
    <cfRule type="expression" dxfId="1538" priority="1635">
      <formula>AND(IF($Q12=2,1,0),IF($X12&lt;30,1,0))</formula>
    </cfRule>
    <cfRule type="expression" dxfId="1537" priority="1636">
      <formula>AND(IF($Q12=3,1,0),IF($X12&lt;30,1,0))</formula>
    </cfRule>
    <cfRule type="expression" dxfId="1536" priority="1637">
      <formula>AND(IF($Q12=3,1,IF($Q12=4,1,0)),IF($F12&lt;=85,1,0))</formula>
    </cfRule>
  </conditionalFormatting>
  <conditionalFormatting sqref="AV13">
    <cfRule type="expression" dxfId="1535" priority="1632">
      <formula>AV13="X"</formula>
    </cfRule>
    <cfRule type="expression" dxfId="1534" priority="1633">
      <formula>AV13="후보"</formula>
    </cfRule>
  </conditionalFormatting>
  <conditionalFormatting sqref="Z13">
    <cfRule type="colorScale" priority="1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533" priority="1629" operator="greaterThan">
      <formula>0.9</formula>
    </cfRule>
    <cfRule type="cellIs" dxfId="1532" priority="1630" operator="greaterThan">
      <formula>0.85</formula>
    </cfRule>
  </conditionalFormatting>
  <conditionalFormatting sqref="N13">
    <cfRule type="cellIs" dxfId="1531" priority="1627" operator="greaterThan">
      <formula>0.9</formula>
    </cfRule>
    <cfRule type="cellIs" dxfId="1530" priority="1628" operator="greaterThan">
      <formula>0.85</formula>
    </cfRule>
  </conditionalFormatting>
  <conditionalFormatting sqref="E13">
    <cfRule type="expression" dxfId="1529" priority="1623">
      <formula>AND(IF(OR($Q13=1,$Q13=2),1,0),IF($X13&lt;=20,1,0))</formula>
    </cfRule>
    <cfRule type="expression" dxfId="1528" priority="1624">
      <formula>AND(IF($Q13=2,1,0),IF($X13&lt;30,1,0))</formula>
    </cfRule>
    <cfRule type="expression" dxfId="1527" priority="1625">
      <formula>AND(IF($Q13=3,1,0),IF($X13&lt;30,1,0))</formula>
    </cfRule>
    <cfRule type="expression" dxfId="1526" priority="1626">
      <formula>AND(IF($Q13=3,1,IF($Q13=4,1,0)),IF($F13&lt;=85,1,0))</formula>
    </cfRule>
  </conditionalFormatting>
  <conditionalFormatting sqref="X13">
    <cfRule type="expression" dxfId="1525" priority="1619">
      <formula>AND(IF(OR($Q13=1,$Q13=2),1,0),IF($X13&lt;=20,1,0))</formula>
    </cfRule>
    <cfRule type="expression" dxfId="1524" priority="1620">
      <formula>AND(IF($Q13=2,1,0),IF($X13&lt;30,1,0))</formula>
    </cfRule>
    <cfRule type="expression" dxfId="1523" priority="1621">
      <formula>AND(IF($Q13=3,1,0),IF($X13&lt;30,1,0))</formula>
    </cfRule>
    <cfRule type="expression" dxfId="1522" priority="1622">
      <formula>AND(IF($Q13=3,1,IF($Q13=4,1,0)),IF($F13&lt;=85,1,0))</formula>
    </cfRule>
  </conditionalFormatting>
  <conditionalFormatting sqref="AI13">
    <cfRule type="expression" dxfId="1521" priority="1615">
      <formula>AND(IF(OR($Q13=1,$Q13=2),1,0),IF($X13&lt;=20,1,0))</formula>
    </cfRule>
    <cfRule type="expression" dxfId="1520" priority="1616">
      <formula>AND(IF($Q13=2,1,0),IF($X13&lt;30,1,0))</formula>
    </cfRule>
    <cfRule type="expression" dxfId="1519" priority="1617">
      <formula>AND(IF($Q13=3,1,0),IF($X13&lt;30,1,0))</formula>
    </cfRule>
    <cfRule type="expression" dxfId="1518" priority="1618">
      <formula>AND(IF($Q13=3,1,IF($Q13=4,1,0)),IF($F13&lt;=85,1,0))</formula>
    </cfRule>
  </conditionalFormatting>
  <conditionalFormatting sqref="AV14">
    <cfRule type="expression" dxfId="1517" priority="1613">
      <formula>AV14="X"</formula>
    </cfRule>
    <cfRule type="expression" dxfId="1516" priority="1614">
      <formula>AV14="후보"</formula>
    </cfRule>
  </conditionalFormatting>
  <conditionalFormatting sqref="Z14">
    <cfRule type="colorScale" priority="1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515" priority="1610" operator="greaterThan">
      <formula>0.9</formula>
    </cfRule>
    <cfRule type="cellIs" dxfId="1514" priority="1611" operator="greaterThan">
      <formula>0.85</formula>
    </cfRule>
  </conditionalFormatting>
  <conditionalFormatting sqref="N14">
    <cfRule type="cellIs" dxfId="1513" priority="1608" operator="greaterThan">
      <formula>0.9</formula>
    </cfRule>
    <cfRule type="cellIs" dxfId="1512" priority="1609" operator="greaterThan">
      <formula>0.85</formula>
    </cfRule>
  </conditionalFormatting>
  <conditionalFormatting sqref="E14">
    <cfRule type="expression" dxfId="1511" priority="1604">
      <formula>AND(IF(OR($Q14=1,$Q14=2),1,0),IF($X14&lt;=20,1,0))</formula>
    </cfRule>
    <cfRule type="expression" dxfId="1510" priority="1605">
      <formula>AND(IF($Q14=2,1,0),IF($X14&lt;30,1,0))</formula>
    </cfRule>
    <cfRule type="expression" dxfId="1509" priority="1606">
      <formula>AND(IF($Q14=3,1,0),IF($X14&lt;30,1,0))</formula>
    </cfRule>
    <cfRule type="expression" dxfId="1508" priority="1607">
      <formula>AND(IF($Q14=3,1,IF($Q14=4,1,0)),IF($F14&lt;=85,1,0))</formula>
    </cfRule>
  </conditionalFormatting>
  <conditionalFormatting sqref="X14">
    <cfRule type="expression" dxfId="1507" priority="1600">
      <formula>AND(IF(OR($Q14=1,$Q14=2),1,0),IF($X14&lt;=20,1,0))</formula>
    </cfRule>
    <cfRule type="expression" dxfId="1506" priority="1601">
      <formula>AND(IF($Q14=2,1,0),IF($X14&lt;30,1,0))</formula>
    </cfRule>
    <cfRule type="expression" dxfId="1505" priority="1602">
      <formula>AND(IF($Q14=3,1,0),IF($X14&lt;30,1,0))</formula>
    </cfRule>
    <cfRule type="expression" dxfId="1504" priority="1603">
      <formula>AND(IF($Q14=3,1,IF($Q14=4,1,0)),IF($F14&lt;=85,1,0))</formula>
    </cfRule>
  </conditionalFormatting>
  <conditionalFormatting sqref="AI14">
    <cfRule type="expression" dxfId="1503" priority="1596">
      <formula>AND(IF(OR($Q14=1,$Q14=2),1,0),IF($X14&lt;=20,1,0))</formula>
    </cfRule>
    <cfRule type="expression" dxfId="1502" priority="1597">
      <formula>AND(IF($Q14=2,1,0),IF($X14&lt;30,1,0))</formula>
    </cfRule>
    <cfRule type="expression" dxfId="1501" priority="1598">
      <formula>AND(IF($Q14=3,1,0),IF($X14&lt;30,1,0))</formula>
    </cfRule>
    <cfRule type="expression" dxfId="1500" priority="1599">
      <formula>AND(IF($Q14=3,1,IF($Q14=4,1,0)),IF($F14&lt;=85,1,0))</formula>
    </cfRule>
  </conditionalFormatting>
  <conditionalFormatting sqref="AV15">
    <cfRule type="expression" dxfId="1499" priority="1594">
      <formula>AV15="X"</formula>
    </cfRule>
    <cfRule type="expression" dxfId="1498" priority="1595">
      <formula>AV15="후보"</formula>
    </cfRule>
  </conditionalFormatting>
  <conditionalFormatting sqref="Z15">
    <cfRule type="colorScale" priority="1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497" priority="1591" operator="greaterThan">
      <formula>0.9</formula>
    </cfRule>
    <cfRule type="cellIs" dxfId="1496" priority="1592" operator="greaterThan">
      <formula>0.85</formula>
    </cfRule>
  </conditionalFormatting>
  <conditionalFormatting sqref="AV16">
    <cfRule type="expression" dxfId="1495" priority="1589">
      <formula>AV16="X"</formula>
    </cfRule>
    <cfRule type="expression" dxfId="1494" priority="1590">
      <formula>AV16="후보"</formula>
    </cfRule>
  </conditionalFormatting>
  <conditionalFormatting sqref="Z16">
    <cfRule type="colorScale" priority="1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493" priority="1586" operator="greaterThan">
      <formula>0.9</formula>
    </cfRule>
    <cfRule type="cellIs" dxfId="1492" priority="1587" operator="greaterThan">
      <formula>0.85</formula>
    </cfRule>
  </conditionalFormatting>
  <conditionalFormatting sqref="N16">
    <cfRule type="cellIs" dxfId="1491" priority="1584" operator="greaterThan">
      <formula>0.9</formula>
    </cfRule>
    <cfRule type="cellIs" dxfId="1490" priority="1585" operator="greaterThan">
      <formula>0.85</formula>
    </cfRule>
  </conditionalFormatting>
  <conditionalFormatting sqref="E16">
    <cfRule type="expression" dxfId="1489" priority="1580">
      <formula>AND(IF(OR($Q16=1,$Q16=2),1,0),IF($X16&lt;=20,1,0))</formula>
    </cfRule>
    <cfRule type="expression" dxfId="1488" priority="1581">
      <formula>AND(IF($Q16=2,1,0),IF($X16&lt;30,1,0))</formula>
    </cfRule>
    <cfRule type="expression" dxfId="1487" priority="1582">
      <formula>AND(IF($Q16=3,1,0),IF($X16&lt;30,1,0))</formula>
    </cfRule>
    <cfRule type="expression" dxfId="1486" priority="1583">
      <formula>AND(IF($Q16=3,1,IF($Q16=4,1,0)),IF($F16&lt;=85,1,0))</formula>
    </cfRule>
  </conditionalFormatting>
  <conditionalFormatting sqref="X16">
    <cfRule type="expression" dxfId="1485" priority="1576">
      <formula>AND(IF(OR($Q16=1,$Q16=2),1,0),IF($X16&lt;=20,1,0))</formula>
    </cfRule>
    <cfRule type="expression" dxfId="1484" priority="1577">
      <formula>AND(IF($Q16=2,1,0),IF($X16&lt;30,1,0))</formula>
    </cfRule>
    <cfRule type="expression" dxfId="1483" priority="1578">
      <formula>AND(IF($Q16=3,1,0),IF($X16&lt;30,1,0))</formula>
    </cfRule>
    <cfRule type="expression" dxfId="1482" priority="1579">
      <formula>AND(IF($Q16=3,1,IF($Q16=4,1,0)),IF($F16&lt;=85,1,0))</formula>
    </cfRule>
  </conditionalFormatting>
  <conditionalFormatting sqref="AI16">
    <cfRule type="expression" dxfId="1481" priority="1572">
      <formula>AND(IF(OR($Q16=1,$Q16=2),1,0),IF($X16&lt;=20,1,0))</formula>
    </cfRule>
    <cfRule type="expression" dxfId="1480" priority="1573">
      <formula>AND(IF($Q16=2,1,0),IF($X16&lt;30,1,0))</formula>
    </cfRule>
    <cfRule type="expression" dxfId="1479" priority="1574">
      <formula>AND(IF($Q16=3,1,0),IF($X16&lt;30,1,0))</formula>
    </cfRule>
    <cfRule type="expression" dxfId="1478" priority="1575">
      <formula>AND(IF($Q16=3,1,IF($Q16=4,1,0)),IF($F16&lt;=85,1,0))</formula>
    </cfRule>
  </conditionalFormatting>
  <conditionalFormatting sqref="AV17">
    <cfRule type="expression" dxfId="1477" priority="1570">
      <formula>AV17="X"</formula>
    </cfRule>
    <cfRule type="expression" dxfId="1476" priority="1571">
      <formula>AV17="후보"</formula>
    </cfRule>
  </conditionalFormatting>
  <conditionalFormatting sqref="Z17">
    <cfRule type="colorScale" priority="1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475" priority="1567" operator="greaterThan">
      <formula>0.9</formula>
    </cfRule>
    <cfRule type="cellIs" dxfId="1474" priority="1568" operator="greaterThan">
      <formula>0.85</formula>
    </cfRule>
  </conditionalFormatting>
  <conditionalFormatting sqref="N17">
    <cfRule type="cellIs" dxfId="1473" priority="1565" operator="greaterThan">
      <formula>0.9</formula>
    </cfRule>
    <cfRule type="cellIs" dxfId="1472" priority="1566" operator="greaterThan">
      <formula>0.85</formula>
    </cfRule>
  </conditionalFormatting>
  <conditionalFormatting sqref="E17">
    <cfRule type="expression" dxfId="1471" priority="1561">
      <formula>AND(IF(OR($Q17=1,$Q17=2),1,0),IF($X17&lt;=20,1,0))</formula>
    </cfRule>
    <cfRule type="expression" dxfId="1470" priority="1562">
      <formula>AND(IF($Q17=2,1,0),IF($X17&lt;30,1,0))</formula>
    </cfRule>
    <cfRule type="expression" dxfId="1469" priority="1563">
      <formula>AND(IF($Q17=3,1,0),IF($X17&lt;30,1,0))</formula>
    </cfRule>
    <cfRule type="expression" dxfId="1468" priority="1564">
      <formula>AND(IF($Q17=3,1,IF($Q17=4,1,0)),IF($F17&lt;=85,1,0))</formula>
    </cfRule>
  </conditionalFormatting>
  <conditionalFormatting sqref="X17">
    <cfRule type="expression" dxfId="1467" priority="1557">
      <formula>AND(IF(OR($Q17=1,$Q17=2),1,0),IF($X17&lt;=20,1,0))</formula>
    </cfRule>
    <cfRule type="expression" dxfId="1466" priority="1558">
      <formula>AND(IF($Q17=2,1,0),IF($X17&lt;30,1,0))</formula>
    </cfRule>
    <cfRule type="expression" dxfId="1465" priority="1559">
      <formula>AND(IF($Q17=3,1,0),IF($X17&lt;30,1,0))</formula>
    </cfRule>
    <cfRule type="expression" dxfId="1464" priority="1560">
      <formula>AND(IF($Q17=3,1,IF($Q17=4,1,0)),IF($F17&lt;=85,1,0))</formula>
    </cfRule>
  </conditionalFormatting>
  <conditionalFormatting sqref="AI17">
    <cfRule type="expression" dxfId="1463" priority="1553">
      <formula>AND(IF(OR($Q17=1,$Q17=2),1,0),IF($X17&lt;=20,1,0))</formula>
    </cfRule>
    <cfRule type="expression" dxfId="1462" priority="1554">
      <formula>AND(IF($Q17=2,1,0),IF($X17&lt;30,1,0))</formula>
    </cfRule>
    <cfRule type="expression" dxfId="1461" priority="1555">
      <formula>AND(IF($Q17=3,1,0),IF($X17&lt;30,1,0))</formula>
    </cfRule>
    <cfRule type="expression" dxfId="1460" priority="1556">
      <formula>AND(IF($Q17=3,1,IF($Q17=4,1,0)),IF($F17&lt;=85,1,0))</formula>
    </cfRule>
  </conditionalFormatting>
  <conditionalFormatting sqref="AV18">
    <cfRule type="expression" dxfId="1459" priority="1551">
      <formula>AV18="X"</formula>
    </cfRule>
    <cfRule type="expression" dxfId="1458" priority="1552">
      <formula>AV18="후보"</formula>
    </cfRule>
  </conditionalFormatting>
  <conditionalFormatting sqref="Z18">
    <cfRule type="colorScale" priority="1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1457" priority="1548" operator="greaterThan">
      <formula>0.9</formula>
    </cfRule>
    <cfRule type="cellIs" dxfId="1456" priority="1549" operator="greaterThan">
      <formula>0.85</formula>
    </cfRule>
  </conditionalFormatting>
  <conditionalFormatting sqref="AV19">
    <cfRule type="expression" dxfId="1455" priority="1546">
      <formula>AV19="X"</formula>
    </cfRule>
    <cfRule type="expression" dxfId="1454" priority="1547">
      <formula>AV19="후보"</formula>
    </cfRule>
  </conditionalFormatting>
  <conditionalFormatting sqref="Z19">
    <cfRule type="colorScale" priority="1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453" priority="1543" operator="greaterThan">
      <formula>0.9</formula>
    </cfRule>
    <cfRule type="cellIs" dxfId="1452" priority="1544" operator="greaterThan">
      <formula>0.85</formula>
    </cfRule>
  </conditionalFormatting>
  <conditionalFormatting sqref="N19">
    <cfRule type="cellIs" dxfId="1451" priority="1541" operator="greaterThan">
      <formula>0.9</formula>
    </cfRule>
    <cfRule type="cellIs" dxfId="1450" priority="1542" operator="greaterThan">
      <formula>0.85</formula>
    </cfRule>
  </conditionalFormatting>
  <conditionalFormatting sqref="E19">
    <cfRule type="expression" dxfId="1449" priority="1537">
      <formula>AND(IF(OR($Q19=1,$Q19=2),1,0),IF($X19&lt;=20,1,0))</formula>
    </cfRule>
    <cfRule type="expression" dxfId="1448" priority="1538">
      <formula>AND(IF($Q19=2,1,0),IF($X19&lt;30,1,0))</formula>
    </cfRule>
    <cfRule type="expression" dxfId="1447" priority="1539">
      <formula>AND(IF($Q19=3,1,0),IF($X19&lt;30,1,0))</formula>
    </cfRule>
    <cfRule type="expression" dxfId="1446" priority="1540">
      <formula>AND(IF($Q19=3,1,IF($Q19=4,1,0)),IF($F19&lt;=85,1,0))</formula>
    </cfRule>
  </conditionalFormatting>
  <conditionalFormatting sqref="X19">
    <cfRule type="expression" dxfId="1445" priority="1533">
      <formula>AND(IF(OR($Q19=1,$Q19=2),1,0),IF($X19&lt;=20,1,0))</formula>
    </cfRule>
    <cfRule type="expression" dxfId="1444" priority="1534">
      <formula>AND(IF($Q19=2,1,0),IF($X19&lt;30,1,0))</formula>
    </cfRule>
    <cfRule type="expression" dxfId="1443" priority="1535">
      <formula>AND(IF($Q19=3,1,0),IF($X19&lt;30,1,0))</formula>
    </cfRule>
    <cfRule type="expression" dxfId="1442" priority="1536">
      <formula>AND(IF($Q19=3,1,IF($Q19=4,1,0)),IF($F19&lt;=85,1,0))</formula>
    </cfRule>
  </conditionalFormatting>
  <conditionalFormatting sqref="AI19">
    <cfRule type="expression" dxfId="1441" priority="1529">
      <formula>AND(IF(OR($Q19=1,$Q19=2),1,0),IF($X19&lt;=20,1,0))</formula>
    </cfRule>
    <cfRule type="expression" dxfId="1440" priority="1530">
      <formula>AND(IF($Q19=2,1,0),IF($X19&lt;30,1,0))</formula>
    </cfRule>
    <cfRule type="expression" dxfId="1439" priority="1531">
      <formula>AND(IF($Q19=3,1,0),IF($X19&lt;30,1,0))</formula>
    </cfRule>
    <cfRule type="expression" dxfId="1438" priority="1532">
      <formula>AND(IF($Q19=3,1,IF($Q19=4,1,0)),IF($F19&lt;=85,1,0))</formula>
    </cfRule>
  </conditionalFormatting>
  <conditionalFormatting sqref="AV20">
    <cfRule type="expression" dxfId="1437" priority="1527">
      <formula>AV20="X"</formula>
    </cfRule>
    <cfRule type="expression" dxfId="1436" priority="1528">
      <formula>AV20="후보"</formula>
    </cfRule>
  </conditionalFormatting>
  <conditionalFormatting sqref="Z20">
    <cfRule type="colorScale" priority="1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435" priority="1524" operator="greaterThan">
      <formula>0.9</formula>
    </cfRule>
    <cfRule type="cellIs" dxfId="1434" priority="1525" operator="greaterThan">
      <formula>0.85</formula>
    </cfRule>
  </conditionalFormatting>
  <conditionalFormatting sqref="N20">
    <cfRule type="cellIs" dxfId="1433" priority="1522" operator="greaterThan">
      <formula>0.9</formula>
    </cfRule>
    <cfRule type="cellIs" dxfId="1432" priority="1523" operator="greaterThan">
      <formula>0.85</formula>
    </cfRule>
  </conditionalFormatting>
  <conditionalFormatting sqref="E20">
    <cfRule type="expression" dxfId="1431" priority="1518">
      <formula>AND(IF(OR($Q20=1,$Q20=2),1,0),IF($X20&lt;=20,1,0))</formula>
    </cfRule>
    <cfRule type="expression" dxfId="1430" priority="1519">
      <formula>AND(IF($Q20=2,1,0),IF($X20&lt;30,1,0))</formula>
    </cfRule>
    <cfRule type="expression" dxfId="1429" priority="1520">
      <formula>AND(IF($Q20=3,1,0),IF($X20&lt;30,1,0))</formula>
    </cfRule>
    <cfRule type="expression" dxfId="1428" priority="1521">
      <formula>AND(IF($Q20=3,1,IF($Q20=4,1,0)),IF($F20&lt;=85,1,0))</formula>
    </cfRule>
  </conditionalFormatting>
  <conditionalFormatting sqref="X20">
    <cfRule type="expression" dxfId="1427" priority="1514">
      <formula>AND(IF(OR($Q20=1,$Q20=2),1,0),IF($X20&lt;=20,1,0))</formula>
    </cfRule>
    <cfRule type="expression" dxfId="1426" priority="1515">
      <formula>AND(IF($Q20=2,1,0),IF($X20&lt;30,1,0))</formula>
    </cfRule>
    <cfRule type="expression" dxfId="1425" priority="1516">
      <formula>AND(IF($Q20=3,1,0),IF($X20&lt;30,1,0))</formula>
    </cfRule>
    <cfRule type="expression" dxfId="1424" priority="1517">
      <formula>AND(IF($Q20=3,1,IF($Q20=4,1,0)),IF($F20&lt;=85,1,0))</formula>
    </cfRule>
  </conditionalFormatting>
  <conditionalFormatting sqref="AI20">
    <cfRule type="expression" dxfId="1423" priority="1510">
      <formula>AND(IF(OR($Q20=1,$Q20=2),1,0),IF($X20&lt;=20,1,0))</formula>
    </cfRule>
    <cfRule type="expression" dxfId="1422" priority="1511">
      <formula>AND(IF($Q20=2,1,0),IF($X20&lt;30,1,0))</formula>
    </cfRule>
    <cfRule type="expression" dxfId="1421" priority="1512">
      <formula>AND(IF($Q20=3,1,0),IF($X20&lt;30,1,0))</formula>
    </cfRule>
    <cfRule type="expression" dxfId="1420" priority="1513">
      <formula>AND(IF($Q20=3,1,IF($Q20=4,1,0)),IF($F20&lt;=85,1,0))</formula>
    </cfRule>
  </conditionalFormatting>
  <conditionalFormatting sqref="AV21">
    <cfRule type="expression" dxfId="1419" priority="1508">
      <formula>AV21="X"</formula>
    </cfRule>
    <cfRule type="expression" dxfId="1418" priority="1509">
      <formula>AV21="후보"</formula>
    </cfRule>
  </conditionalFormatting>
  <conditionalFormatting sqref="Z21">
    <cfRule type="colorScale" priority="1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417" priority="1505" operator="greaterThan">
      <formula>0.9</formula>
    </cfRule>
    <cfRule type="cellIs" dxfId="1416" priority="1506" operator="greaterThan">
      <formula>0.85</formula>
    </cfRule>
  </conditionalFormatting>
  <conditionalFormatting sqref="N21">
    <cfRule type="cellIs" dxfId="1415" priority="1503" operator="greaterThan">
      <formula>0.9</formula>
    </cfRule>
    <cfRule type="cellIs" dxfId="1414" priority="1504" operator="greaterThan">
      <formula>0.85</formula>
    </cfRule>
  </conditionalFormatting>
  <conditionalFormatting sqref="E21">
    <cfRule type="expression" dxfId="1413" priority="1499">
      <formula>AND(IF(OR($Q21=1,$Q21=2),1,0),IF($X21&lt;=20,1,0))</formula>
    </cfRule>
    <cfRule type="expression" dxfId="1412" priority="1500">
      <formula>AND(IF($Q21=2,1,0),IF($X21&lt;30,1,0))</formula>
    </cfRule>
    <cfRule type="expression" dxfId="1411" priority="1501">
      <formula>AND(IF($Q21=3,1,0),IF($X21&lt;30,1,0))</formula>
    </cfRule>
    <cfRule type="expression" dxfId="1410" priority="1502">
      <formula>AND(IF($Q21=3,1,IF($Q21=4,1,0)),IF($F21&lt;=85,1,0))</formula>
    </cfRule>
  </conditionalFormatting>
  <conditionalFormatting sqref="X21">
    <cfRule type="expression" dxfId="1409" priority="1495">
      <formula>AND(IF(OR($Q21=1,$Q21=2),1,0),IF($X21&lt;=20,1,0))</formula>
    </cfRule>
    <cfRule type="expression" dxfId="1408" priority="1496">
      <formula>AND(IF($Q21=2,1,0),IF($X21&lt;30,1,0))</formula>
    </cfRule>
    <cfRule type="expression" dxfId="1407" priority="1497">
      <formula>AND(IF($Q21=3,1,0),IF($X21&lt;30,1,0))</formula>
    </cfRule>
    <cfRule type="expression" dxfId="1406" priority="1498">
      <formula>AND(IF($Q21=3,1,IF($Q21=4,1,0)),IF($F21&lt;=85,1,0))</formula>
    </cfRule>
  </conditionalFormatting>
  <conditionalFormatting sqref="AI21">
    <cfRule type="expression" dxfId="1405" priority="1491">
      <formula>AND(IF(OR($Q21=1,$Q21=2),1,0),IF($X21&lt;=20,1,0))</formula>
    </cfRule>
    <cfRule type="expression" dxfId="1404" priority="1492">
      <formula>AND(IF($Q21=2,1,0),IF($X21&lt;30,1,0))</formula>
    </cfRule>
    <cfRule type="expression" dxfId="1403" priority="1493">
      <formula>AND(IF($Q21=3,1,0),IF($X21&lt;30,1,0))</formula>
    </cfRule>
    <cfRule type="expression" dxfId="1402" priority="1494">
      <formula>AND(IF($Q21=3,1,IF($Q21=4,1,0)),IF($F21&lt;=85,1,0))</formula>
    </cfRule>
  </conditionalFormatting>
  <conditionalFormatting sqref="AV22">
    <cfRule type="expression" dxfId="1401" priority="1489">
      <formula>AV22="X"</formula>
    </cfRule>
    <cfRule type="expression" dxfId="1400" priority="1490">
      <formula>AV22="후보"</formula>
    </cfRule>
  </conditionalFormatting>
  <conditionalFormatting sqref="Z22">
    <cfRule type="colorScale" priority="1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1399" priority="1486" operator="greaterThan">
      <formula>0.9</formula>
    </cfRule>
    <cfRule type="cellIs" dxfId="1398" priority="1487" operator="greaterThan">
      <formula>0.85</formula>
    </cfRule>
  </conditionalFormatting>
  <conditionalFormatting sqref="AV23">
    <cfRule type="expression" dxfId="1397" priority="1484">
      <formula>AV23="X"</formula>
    </cfRule>
    <cfRule type="expression" dxfId="1396" priority="1485">
      <formula>AV23="후보"</formula>
    </cfRule>
  </conditionalFormatting>
  <conditionalFormatting sqref="Z23">
    <cfRule type="colorScale" priority="1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395" priority="1481" operator="greaterThan">
      <formula>0.9</formula>
    </cfRule>
    <cfRule type="cellIs" dxfId="1394" priority="1482" operator="greaterThan">
      <formula>0.85</formula>
    </cfRule>
  </conditionalFormatting>
  <conditionalFormatting sqref="N23">
    <cfRule type="cellIs" dxfId="1393" priority="1479" operator="greaterThan">
      <formula>0.9</formula>
    </cfRule>
    <cfRule type="cellIs" dxfId="1392" priority="1480" operator="greaterThan">
      <formula>0.85</formula>
    </cfRule>
  </conditionalFormatting>
  <conditionalFormatting sqref="E23">
    <cfRule type="expression" dxfId="1391" priority="1475">
      <formula>AND(IF(OR($Q23=1,$Q23=2),1,0),IF($X23&lt;=20,1,0))</formula>
    </cfRule>
    <cfRule type="expression" dxfId="1390" priority="1476">
      <formula>AND(IF($Q23=2,1,0),IF($X23&lt;30,1,0))</formula>
    </cfRule>
    <cfRule type="expression" dxfId="1389" priority="1477">
      <formula>AND(IF($Q23=3,1,0),IF($X23&lt;30,1,0))</formula>
    </cfRule>
    <cfRule type="expression" dxfId="1388" priority="1478">
      <formula>AND(IF($Q23=3,1,IF($Q23=4,1,0)),IF($F23&lt;=85,1,0))</formula>
    </cfRule>
  </conditionalFormatting>
  <conditionalFormatting sqref="X23">
    <cfRule type="expression" dxfId="1387" priority="1471">
      <formula>AND(IF(OR($Q23=1,$Q23=2),1,0),IF($X23&lt;=20,1,0))</formula>
    </cfRule>
    <cfRule type="expression" dxfId="1386" priority="1472">
      <formula>AND(IF($Q23=2,1,0),IF($X23&lt;30,1,0))</formula>
    </cfRule>
    <cfRule type="expression" dxfId="1385" priority="1473">
      <formula>AND(IF($Q23=3,1,0),IF($X23&lt;30,1,0))</formula>
    </cfRule>
    <cfRule type="expression" dxfId="1384" priority="1474">
      <formula>AND(IF($Q23=3,1,IF($Q23=4,1,0)),IF($F23&lt;=85,1,0))</formula>
    </cfRule>
  </conditionalFormatting>
  <conditionalFormatting sqref="AI23">
    <cfRule type="expression" dxfId="1383" priority="1467">
      <formula>AND(IF(OR($Q23=1,$Q23=2),1,0),IF($X23&lt;=20,1,0))</formula>
    </cfRule>
    <cfRule type="expression" dxfId="1382" priority="1468">
      <formula>AND(IF($Q23=2,1,0),IF($X23&lt;30,1,0))</formula>
    </cfRule>
    <cfRule type="expression" dxfId="1381" priority="1469">
      <formula>AND(IF($Q23=3,1,0),IF($X23&lt;30,1,0))</formula>
    </cfRule>
    <cfRule type="expression" dxfId="1380" priority="1470">
      <formula>AND(IF($Q23=3,1,IF($Q23=4,1,0)),IF($F23&lt;=85,1,0))</formula>
    </cfRule>
  </conditionalFormatting>
  <conditionalFormatting sqref="AV24">
    <cfRule type="expression" dxfId="1379" priority="1465">
      <formula>AV24="X"</formula>
    </cfRule>
    <cfRule type="expression" dxfId="1378" priority="1466">
      <formula>AV24="후보"</formula>
    </cfRule>
  </conditionalFormatting>
  <conditionalFormatting sqref="Z24">
    <cfRule type="colorScale" priority="14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377" priority="1462" operator="greaterThan">
      <formula>0.9</formula>
    </cfRule>
    <cfRule type="cellIs" dxfId="1376" priority="1463" operator="greaterThan">
      <formula>0.85</formula>
    </cfRule>
  </conditionalFormatting>
  <conditionalFormatting sqref="N24">
    <cfRule type="cellIs" dxfId="1375" priority="1460" operator="greaterThan">
      <formula>0.9</formula>
    </cfRule>
    <cfRule type="cellIs" dxfId="1374" priority="1461" operator="greaterThan">
      <formula>0.85</formula>
    </cfRule>
  </conditionalFormatting>
  <conditionalFormatting sqref="E24">
    <cfRule type="expression" dxfId="1373" priority="1456">
      <formula>AND(IF(OR($Q24=1,$Q24=2),1,0),IF($X24&lt;=20,1,0))</formula>
    </cfRule>
    <cfRule type="expression" dxfId="1372" priority="1457">
      <formula>AND(IF($Q24=2,1,0),IF($X24&lt;30,1,0))</formula>
    </cfRule>
    <cfRule type="expression" dxfId="1371" priority="1458">
      <formula>AND(IF($Q24=3,1,0),IF($X24&lt;30,1,0))</formula>
    </cfRule>
    <cfRule type="expression" dxfId="1370" priority="1459">
      <formula>AND(IF($Q24=3,1,IF($Q24=4,1,0)),IF($F24&lt;=85,1,0))</formula>
    </cfRule>
  </conditionalFormatting>
  <conditionalFormatting sqref="X24">
    <cfRule type="expression" dxfId="1369" priority="1452">
      <formula>AND(IF(OR($Q24=1,$Q24=2),1,0),IF($X24&lt;=20,1,0))</formula>
    </cfRule>
    <cfRule type="expression" dxfId="1368" priority="1453">
      <formula>AND(IF($Q24=2,1,0),IF($X24&lt;30,1,0))</formula>
    </cfRule>
    <cfRule type="expression" dxfId="1367" priority="1454">
      <formula>AND(IF($Q24=3,1,0),IF($X24&lt;30,1,0))</formula>
    </cfRule>
    <cfRule type="expression" dxfId="1366" priority="1455">
      <formula>AND(IF($Q24=3,1,IF($Q24=4,1,0)),IF($F24&lt;=85,1,0))</formula>
    </cfRule>
  </conditionalFormatting>
  <conditionalFormatting sqref="AI24">
    <cfRule type="expression" dxfId="1365" priority="1448">
      <formula>AND(IF(OR($Q24=1,$Q24=2),1,0),IF($X24&lt;=20,1,0))</formula>
    </cfRule>
    <cfRule type="expression" dxfId="1364" priority="1449">
      <formula>AND(IF($Q24=2,1,0),IF($X24&lt;30,1,0))</formula>
    </cfRule>
    <cfRule type="expression" dxfId="1363" priority="1450">
      <formula>AND(IF($Q24=3,1,0),IF($X24&lt;30,1,0))</formula>
    </cfRule>
    <cfRule type="expression" dxfId="1362" priority="1451">
      <formula>AND(IF($Q24=3,1,IF($Q24=4,1,0)),IF($F24&lt;=85,1,0))</formula>
    </cfRule>
  </conditionalFormatting>
  <conditionalFormatting sqref="AV25">
    <cfRule type="expression" dxfId="1361" priority="1446">
      <formula>AV25="X"</formula>
    </cfRule>
    <cfRule type="expression" dxfId="1360" priority="1447">
      <formula>AV25="후보"</formula>
    </cfRule>
  </conditionalFormatting>
  <conditionalFormatting sqref="Z25">
    <cfRule type="colorScale" priority="1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359" priority="1443" operator="greaterThan">
      <formula>0.9</formula>
    </cfRule>
    <cfRule type="cellIs" dxfId="1358" priority="1444" operator="greaterThan">
      <formula>0.85</formula>
    </cfRule>
  </conditionalFormatting>
  <conditionalFormatting sqref="N25">
    <cfRule type="cellIs" dxfId="1357" priority="1441" operator="greaterThan">
      <formula>0.9</formula>
    </cfRule>
    <cfRule type="cellIs" dxfId="1356" priority="1442" operator="greaterThan">
      <formula>0.85</formula>
    </cfRule>
  </conditionalFormatting>
  <conditionalFormatting sqref="E25">
    <cfRule type="expression" dxfId="1355" priority="1437">
      <formula>AND(IF(OR($Q25=1,$Q25=2),1,0),IF($X25&lt;=20,1,0))</formula>
    </cfRule>
    <cfRule type="expression" dxfId="1354" priority="1438">
      <formula>AND(IF($Q25=2,1,0),IF($X25&lt;30,1,0))</formula>
    </cfRule>
    <cfRule type="expression" dxfId="1353" priority="1439">
      <formula>AND(IF($Q25=3,1,0),IF($X25&lt;30,1,0))</formula>
    </cfRule>
    <cfRule type="expression" dxfId="1352" priority="1440">
      <formula>AND(IF($Q25=3,1,IF($Q25=4,1,0)),IF($F25&lt;=85,1,0))</formula>
    </cfRule>
  </conditionalFormatting>
  <conditionalFormatting sqref="X25">
    <cfRule type="expression" dxfId="1351" priority="1433">
      <formula>AND(IF(OR($Q25=1,$Q25=2),1,0),IF($X25&lt;=20,1,0))</formula>
    </cfRule>
    <cfRule type="expression" dxfId="1350" priority="1434">
      <formula>AND(IF($Q25=2,1,0),IF($X25&lt;30,1,0))</formula>
    </cfRule>
    <cfRule type="expression" dxfId="1349" priority="1435">
      <formula>AND(IF($Q25=3,1,0),IF($X25&lt;30,1,0))</formula>
    </cfRule>
    <cfRule type="expression" dxfId="1348" priority="1436">
      <formula>AND(IF($Q25=3,1,IF($Q25=4,1,0)),IF($F25&lt;=85,1,0))</formula>
    </cfRule>
  </conditionalFormatting>
  <conditionalFormatting sqref="AI25">
    <cfRule type="expression" dxfId="1347" priority="1429">
      <formula>AND(IF(OR($Q25=1,$Q25=2),1,0),IF($X25&lt;=20,1,0))</formula>
    </cfRule>
    <cfRule type="expression" dxfId="1346" priority="1430">
      <formula>AND(IF($Q25=2,1,0),IF($X25&lt;30,1,0))</formula>
    </cfRule>
    <cfRule type="expression" dxfId="1345" priority="1431">
      <formula>AND(IF($Q25=3,1,0),IF($X25&lt;30,1,0))</formula>
    </cfRule>
    <cfRule type="expression" dxfId="1344" priority="1432">
      <formula>AND(IF($Q25=3,1,IF($Q25=4,1,0)),IF($F25&lt;=85,1,0))</formula>
    </cfRule>
  </conditionalFormatting>
  <conditionalFormatting sqref="AV26">
    <cfRule type="expression" dxfId="1343" priority="1427">
      <formula>AV26="X"</formula>
    </cfRule>
    <cfRule type="expression" dxfId="1342" priority="1428">
      <formula>AV26="후보"</formula>
    </cfRule>
  </conditionalFormatting>
  <conditionalFormatting sqref="Z26">
    <cfRule type="colorScale" priority="1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1341" priority="1424" operator="greaterThan">
      <formula>0.9</formula>
    </cfRule>
    <cfRule type="cellIs" dxfId="1340" priority="1425" operator="greaterThan">
      <formula>0.85</formula>
    </cfRule>
  </conditionalFormatting>
  <conditionalFormatting sqref="AV27">
    <cfRule type="expression" dxfId="1339" priority="1422">
      <formula>AV27="X"</formula>
    </cfRule>
    <cfRule type="expression" dxfId="1338" priority="1423">
      <formula>AV27="후보"</formula>
    </cfRule>
  </conditionalFormatting>
  <conditionalFormatting sqref="Z27">
    <cfRule type="colorScale" priority="14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337" priority="1419" operator="greaterThan">
      <formula>0.9</formula>
    </cfRule>
    <cfRule type="cellIs" dxfId="1336" priority="1420" operator="greaterThan">
      <formula>0.85</formula>
    </cfRule>
  </conditionalFormatting>
  <conditionalFormatting sqref="N27">
    <cfRule type="cellIs" dxfId="1335" priority="1417" operator="greaterThan">
      <formula>0.9</formula>
    </cfRule>
    <cfRule type="cellIs" dxfId="1334" priority="1418" operator="greaterThan">
      <formula>0.85</formula>
    </cfRule>
  </conditionalFormatting>
  <conditionalFormatting sqref="E27">
    <cfRule type="expression" dxfId="1333" priority="1413">
      <formula>AND(IF(OR($Q27=1,$Q27=2),1,0),IF($X27&lt;=20,1,0))</formula>
    </cfRule>
    <cfRule type="expression" dxfId="1332" priority="1414">
      <formula>AND(IF($Q27=2,1,0),IF($X27&lt;30,1,0))</formula>
    </cfRule>
    <cfRule type="expression" dxfId="1331" priority="1415">
      <formula>AND(IF($Q27=3,1,0),IF($X27&lt;30,1,0))</formula>
    </cfRule>
    <cfRule type="expression" dxfId="1330" priority="1416">
      <formula>AND(IF($Q27=3,1,IF($Q27=4,1,0)),IF($F27&lt;=85,1,0))</formula>
    </cfRule>
  </conditionalFormatting>
  <conditionalFormatting sqref="X27">
    <cfRule type="expression" dxfId="1329" priority="1409">
      <formula>AND(IF(OR($Q27=1,$Q27=2),1,0),IF($X27&lt;=20,1,0))</formula>
    </cfRule>
    <cfRule type="expression" dxfId="1328" priority="1410">
      <formula>AND(IF($Q27=2,1,0),IF($X27&lt;30,1,0))</formula>
    </cfRule>
    <cfRule type="expression" dxfId="1327" priority="1411">
      <formula>AND(IF($Q27=3,1,0),IF($X27&lt;30,1,0))</formula>
    </cfRule>
    <cfRule type="expression" dxfId="1326" priority="1412">
      <formula>AND(IF($Q27=3,1,IF($Q27=4,1,0)),IF($F27&lt;=85,1,0))</formula>
    </cfRule>
  </conditionalFormatting>
  <conditionalFormatting sqref="AI27">
    <cfRule type="expression" dxfId="1325" priority="1405">
      <formula>AND(IF(OR($Q27=1,$Q27=2),1,0),IF($X27&lt;=20,1,0))</formula>
    </cfRule>
    <cfRule type="expression" dxfId="1324" priority="1406">
      <formula>AND(IF($Q27=2,1,0),IF($X27&lt;30,1,0))</formula>
    </cfRule>
    <cfRule type="expression" dxfId="1323" priority="1407">
      <formula>AND(IF($Q27=3,1,0),IF($X27&lt;30,1,0))</formula>
    </cfRule>
    <cfRule type="expression" dxfId="1322" priority="1408">
      <formula>AND(IF($Q27=3,1,IF($Q27=4,1,0)),IF($F27&lt;=85,1,0))</formula>
    </cfRule>
  </conditionalFormatting>
  <conditionalFormatting sqref="AV28">
    <cfRule type="expression" dxfId="1321" priority="1403">
      <formula>AV28="X"</formula>
    </cfRule>
    <cfRule type="expression" dxfId="1320" priority="1404">
      <formula>AV28="후보"</formula>
    </cfRule>
  </conditionalFormatting>
  <conditionalFormatting sqref="Z28">
    <cfRule type="colorScale" priority="14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319" priority="1400" operator="greaterThan">
      <formula>0.9</formula>
    </cfRule>
    <cfRule type="cellIs" dxfId="1318" priority="1401" operator="greaterThan">
      <formula>0.85</formula>
    </cfRule>
  </conditionalFormatting>
  <conditionalFormatting sqref="N28">
    <cfRule type="cellIs" dxfId="1317" priority="1398" operator="greaterThan">
      <formula>0.9</formula>
    </cfRule>
    <cfRule type="cellIs" dxfId="1316" priority="1399" operator="greaterThan">
      <formula>0.85</formula>
    </cfRule>
  </conditionalFormatting>
  <conditionalFormatting sqref="E28">
    <cfRule type="expression" dxfId="1315" priority="1394">
      <formula>AND(IF(OR($Q28=1,$Q28=2),1,0),IF($X28&lt;=20,1,0))</formula>
    </cfRule>
    <cfRule type="expression" dxfId="1314" priority="1395">
      <formula>AND(IF($Q28=2,1,0),IF($X28&lt;30,1,0))</formula>
    </cfRule>
    <cfRule type="expression" dxfId="1313" priority="1396">
      <formula>AND(IF($Q28=3,1,0),IF($X28&lt;30,1,0))</formula>
    </cfRule>
    <cfRule type="expression" dxfId="1312" priority="1397">
      <formula>AND(IF($Q28=3,1,IF($Q28=4,1,0)),IF($F28&lt;=85,1,0))</formula>
    </cfRule>
  </conditionalFormatting>
  <conditionalFormatting sqref="X28">
    <cfRule type="expression" dxfId="1311" priority="1390">
      <formula>AND(IF(OR($Q28=1,$Q28=2),1,0),IF($X28&lt;=20,1,0))</formula>
    </cfRule>
    <cfRule type="expression" dxfId="1310" priority="1391">
      <formula>AND(IF($Q28=2,1,0),IF($X28&lt;30,1,0))</formula>
    </cfRule>
    <cfRule type="expression" dxfId="1309" priority="1392">
      <formula>AND(IF($Q28=3,1,0),IF($X28&lt;30,1,0))</formula>
    </cfRule>
    <cfRule type="expression" dxfId="1308" priority="1393">
      <formula>AND(IF($Q28=3,1,IF($Q28=4,1,0)),IF($F28&lt;=85,1,0))</formula>
    </cfRule>
  </conditionalFormatting>
  <conditionalFormatting sqref="AI28">
    <cfRule type="expression" dxfId="1307" priority="1386">
      <formula>AND(IF(OR($Q28=1,$Q28=2),1,0),IF($X28&lt;=20,1,0))</formula>
    </cfRule>
    <cfRule type="expression" dxfId="1306" priority="1387">
      <formula>AND(IF($Q28=2,1,0),IF($X28&lt;30,1,0))</formula>
    </cfRule>
    <cfRule type="expression" dxfId="1305" priority="1388">
      <formula>AND(IF($Q28=3,1,0),IF($X28&lt;30,1,0))</formula>
    </cfRule>
    <cfRule type="expression" dxfId="1304" priority="1389">
      <formula>AND(IF($Q28=3,1,IF($Q28=4,1,0)),IF($F28&lt;=85,1,0))</formula>
    </cfRule>
  </conditionalFormatting>
  <conditionalFormatting sqref="AV29">
    <cfRule type="expression" dxfId="1303" priority="1384">
      <formula>AV29="X"</formula>
    </cfRule>
    <cfRule type="expression" dxfId="1302" priority="1385">
      <formula>AV29="후보"</formula>
    </cfRule>
  </conditionalFormatting>
  <conditionalFormatting sqref="Z29">
    <cfRule type="colorScale" priority="13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301" priority="1381" operator="greaterThan">
      <formula>0.9</formula>
    </cfRule>
    <cfRule type="cellIs" dxfId="1300" priority="1382" operator="greaterThan">
      <formula>0.85</formula>
    </cfRule>
  </conditionalFormatting>
  <conditionalFormatting sqref="AV30">
    <cfRule type="expression" dxfId="1299" priority="1379">
      <formula>AV30="X"</formula>
    </cfRule>
    <cfRule type="expression" dxfId="1298" priority="1380">
      <formula>AV30="후보"</formula>
    </cfRule>
  </conditionalFormatting>
  <conditionalFormatting sqref="Z30">
    <cfRule type="colorScale" priority="1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297" priority="1376" operator="greaterThan">
      <formula>0.9</formula>
    </cfRule>
    <cfRule type="cellIs" dxfId="1296" priority="1377" operator="greaterThan">
      <formula>0.85</formula>
    </cfRule>
  </conditionalFormatting>
  <conditionalFormatting sqref="N30">
    <cfRule type="cellIs" dxfId="1295" priority="1374" operator="greaterThan">
      <formula>0.9</formula>
    </cfRule>
    <cfRule type="cellIs" dxfId="1294" priority="1375" operator="greaterThan">
      <formula>0.85</formula>
    </cfRule>
  </conditionalFormatting>
  <conditionalFormatting sqref="E30">
    <cfRule type="expression" dxfId="1293" priority="1370">
      <formula>AND(IF(OR($Q30=1,$Q30=2),1,0),IF($X30&lt;=20,1,0))</formula>
    </cfRule>
    <cfRule type="expression" dxfId="1292" priority="1371">
      <formula>AND(IF($Q30=2,1,0),IF($X30&lt;30,1,0))</formula>
    </cfRule>
    <cfRule type="expression" dxfId="1291" priority="1372">
      <formula>AND(IF($Q30=3,1,0),IF($X30&lt;30,1,0))</formula>
    </cfRule>
    <cfRule type="expression" dxfId="1290" priority="1373">
      <formula>AND(IF($Q30=3,1,IF($Q30=4,1,0)),IF($F30&lt;=85,1,0))</formula>
    </cfRule>
  </conditionalFormatting>
  <conditionalFormatting sqref="X30">
    <cfRule type="expression" dxfId="1289" priority="1366">
      <formula>AND(IF(OR($Q30=1,$Q30=2),1,0),IF($X30&lt;=20,1,0))</formula>
    </cfRule>
    <cfRule type="expression" dxfId="1288" priority="1367">
      <formula>AND(IF($Q30=2,1,0),IF($X30&lt;30,1,0))</formula>
    </cfRule>
    <cfRule type="expression" dxfId="1287" priority="1368">
      <formula>AND(IF($Q30=3,1,0),IF($X30&lt;30,1,0))</formula>
    </cfRule>
    <cfRule type="expression" dxfId="1286" priority="1369">
      <formula>AND(IF($Q30=3,1,IF($Q30=4,1,0)),IF($F30&lt;=85,1,0))</formula>
    </cfRule>
  </conditionalFormatting>
  <conditionalFormatting sqref="AI30">
    <cfRule type="expression" dxfId="1285" priority="1362">
      <formula>AND(IF(OR($Q30=1,$Q30=2),1,0),IF($X30&lt;=20,1,0))</formula>
    </cfRule>
    <cfRule type="expression" dxfId="1284" priority="1363">
      <formula>AND(IF($Q30=2,1,0),IF($X30&lt;30,1,0))</formula>
    </cfRule>
    <cfRule type="expression" dxfId="1283" priority="1364">
      <formula>AND(IF($Q30=3,1,0),IF($X30&lt;30,1,0))</formula>
    </cfRule>
    <cfRule type="expression" dxfId="1282" priority="1365">
      <formula>AND(IF($Q30=3,1,IF($Q30=4,1,0)),IF($F30&lt;=85,1,0))</formula>
    </cfRule>
  </conditionalFormatting>
  <conditionalFormatting sqref="AV31">
    <cfRule type="expression" dxfId="1281" priority="1360">
      <formula>AV31="X"</formula>
    </cfRule>
    <cfRule type="expression" dxfId="1280" priority="1361">
      <formula>AV31="후보"</formula>
    </cfRule>
  </conditionalFormatting>
  <conditionalFormatting sqref="Z31">
    <cfRule type="colorScale" priority="1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279" priority="1357" operator="greaterThan">
      <formula>0.9</formula>
    </cfRule>
    <cfRule type="cellIs" dxfId="1278" priority="1358" operator="greaterThan">
      <formula>0.85</formula>
    </cfRule>
  </conditionalFormatting>
  <conditionalFormatting sqref="N31">
    <cfRule type="cellIs" dxfId="1277" priority="1355" operator="greaterThan">
      <formula>0.9</formula>
    </cfRule>
    <cfRule type="cellIs" dxfId="1276" priority="1356" operator="greaterThan">
      <formula>0.85</formula>
    </cfRule>
  </conditionalFormatting>
  <conditionalFormatting sqref="E31">
    <cfRule type="expression" dxfId="1275" priority="1351">
      <formula>AND(IF(OR($Q31=1,$Q31=2),1,0),IF($X31&lt;=20,1,0))</formula>
    </cfRule>
    <cfRule type="expression" dxfId="1274" priority="1352">
      <formula>AND(IF($Q31=2,1,0),IF($X31&lt;30,1,0))</formula>
    </cfRule>
    <cfRule type="expression" dxfId="1273" priority="1353">
      <formula>AND(IF($Q31=3,1,0),IF($X31&lt;30,1,0))</formula>
    </cfRule>
    <cfRule type="expression" dxfId="1272" priority="1354">
      <formula>AND(IF($Q31=3,1,IF($Q31=4,1,0)),IF($F31&lt;=85,1,0))</formula>
    </cfRule>
  </conditionalFormatting>
  <conditionalFormatting sqref="X31">
    <cfRule type="expression" dxfId="1271" priority="1347">
      <formula>AND(IF(OR($Q31=1,$Q31=2),1,0),IF($X31&lt;=20,1,0))</formula>
    </cfRule>
    <cfRule type="expression" dxfId="1270" priority="1348">
      <formula>AND(IF($Q31=2,1,0),IF($X31&lt;30,1,0))</formula>
    </cfRule>
    <cfRule type="expression" dxfId="1269" priority="1349">
      <formula>AND(IF($Q31=3,1,0),IF($X31&lt;30,1,0))</formula>
    </cfRule>
    <cfRule type="expression" dxfId="1268" priority="1350">
      <formula>AND(IF($Q31=3,1,IF($Q31=4,1,0)),IF($F31&lt;=85,1,0))</formula>
    </cfRule>
  </conditionalFormatting>
  <conditionalFormatting sqref="AI31">
    <cfRule type="expression" dxfId="1267" priority="1343">
      <formula>AND(IF(OR($Q31=1,$Q31=2),1,0),IF($X31&lt;=20,1,0))</formula>
    </cfRule>
    <cfRule type="expression" dxfId="1266" priority="1344">
      <formula>AND(IF($Q31=2,1,0),IF($X31&lt;30,1,0))</formula>
    </cfRule>
    <cfRule type="expression" dxfId="1265" priority="1345">
      <formula>AND(IF($Q31=3,1,0),IF($X31&lt;30,1,0))</formula>
    </cfRule>
    <cfRule type="expression" dxfId="1264" priority="1346">
      <formula>AND(IF($Q31=3,1,IF($Q31=4,1,0)),IF($F31&lt;=85,1,0))</formula>
    </cfRule>
  </conditionalFormatting>
  <conditionalFormatting sqref="AV32">
    <cfRule type="expression" dxfId="1263" priority="1341">
      <formula>AV32="X"</formula>
    </cfRule>
    <cfRule type="expression" dxfId="1262" priority="1342">
      <formula>AV32="후보"</formula>
    </cfRule>
  </conditionalFormatting>
  <conditionalFormatting sqref="Z32">
    <cfRule type="colorScale" priority="1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261" priority="1338" operator="greaterThan">
      <formula>0.9</formula>
    </cfRule>
    <cfRule type="cellIs" dxfId="1260" priority="1339" operator="greaterThan">
      <formula>0.85</formula>
    </cfRule>
  </conditionalFormatting>
  <conditionalFormatting sqref="N32">
    <cfRule type="cellIs" dxfId="1259" priority="1336" operator="greaterThan">
      <formula>0.9</formula>
    </cfRule>
    <cfRule type="cellIs" dxfId="1258" priority="1337" operator="greaterThan">
      <formula>0.85</formula>
    </cfRule>
  </conditionalFormatting>
  <conditionalFormatting sqref="E32">
    <cfRule type="expression" dxfId="1257" priority="1332">
      <formula>AND(IF(OR($Q32=1,$Q32=2),1,0),IF($X32&lt;=20,1,0))</formula>
    </cfRule>
    <cfRule type="expression" dxfId="1256" priority="1333">
      <formula>AND(IF($Q32=2,1,0),IF($X32&lt;30,1,0))</formula>
    </cfRule>
    <cfRule type="expression" dxfId="1255" priority="1334">
      <formula>AND(IF($Q32=3,1,0),IF($X32&lt;30,1,0))</formula>
    </cfRule>
    <cfRule type="expression" dxfId="1254" priority="1335">
      <formula>AND(IF($Q32=3,1,IF($Q32=4,1,0)),IF($F32&lt;=85,1,0))</formula>
    </cfRule>
  </conditionalFormatting>
  <conditionalFormatting sqref="X32">
    <cfRule type="expression" dxfId="1253" priority="1328">
      <formula>AND(IF(OR($Q32=1,$Q32=2),1,0),IF($X32&lt;=20,1,0))</formula>
    </cfRule>
    <cfRule type="expression" dxfId="1252" priority="1329">
      <formula>AND(IF($Q32=2,1,0),IF($X32&lt;30,1,0))</formula>
    </cfRule>
    <cfRule type="expression" dxfId="1251" priority="1330">
      <formula>AND(IF($Q32=3,1,0),IF($X32&lt;30,1,0))</formula>
    </cfRule>
    <cfRule type="expression" dxfId="1250" priority="1331">
      <formula>AND(IF($Q32=3,1,IF($Q32=4,1,0)),IF($F32&lt;=85,1,0))</formula>
    </cfRule>
  </conditionalFormatting>
  <conditionalFormatting sqref="AI32">
    <cfRule type="expression" dxfId="1249" priority="1324">
      <formula>AND(IF(OR($Q32=1,$Q32=2),1,0),IF($X32&lt;=20,1,0))</formula>
    </cfRule>
    <cfRule type="expression" dxfId="1248" priority="1325">
      <formula>AND(IF($Q32=2,1,0),IF($X32&lt;30,1,0))</formula>
    </cfRule>
    <cfRule type="expression" dxfId="1247" priority="1326">
      <formula>AND(IF($Q32=3,1,0),IF($X32&lt;30,1,0))</formula>
    </cfRule>
    <cfRule type="expression" dxfId="1246" priority="1327">
      <formula>AND(IF($Q32=3,1,IF($Q32=4,1,0)),IF($F32&lt;=85,1,0))</formula>
    </cfRule>
  </conditionalFormatting>
  <conditionalFormatting sqref="AV33">
    <cfRule type="expression" dxfId="1245" priority="1322">
      <formula>AV33="X"</formula>
    </cfRule>
    <cfRule type="expression" dxfId="1244" priority="1323">
      <formula>AV33="후보"</formula>
    </cfRule>
  </conditionalFormatting>
  <conditionalFormatting sqref="Z33">
    <cfRule type="colorScale" priority="1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243" priority="1319" operator="greaterThan">
      <formula>0.9</formula>
    </cfRule>
    <cfRule type="cellIs" dxfId="1242" priority="1320" operator="greaterThan">
      <formula>0.85</formula>
    </cfRule>
  </conditionalFormatting>
  <conditionalFormatting sqref="N33">
    <cfRule type="cellIs" dxfId="1241" priority="1317" operator="greaterThan">
      <formula>0.9</formula>
    </cfRule>
    <cfRule type="cellIs" dxfId="1240" priority="1318" operator="greaterThan">
      <formula>0.85</formula>
    </cfRule>
  </conditionalFormatting>
  <conditionalFormatting sqref="E33">
    <cfRule type="expression" dxfId="1239" priority="1313">
      <formula>AND(IF(OR($Q33=1,$Q33=2),1,0),IF($X33&lt;=20,1,0))</formula>
    </cfRule>
    <cfRule type="expression" dxfId="1238" priority="1314">
      <formula>AND(IF($Q33=2,1,0),IF($X33&lt;30,1,0))</formula>
    </cfRule>
    <cfRule type="expression" dxfId="1237" priority="1315">
      <formula>AND(IF($Q33=3,1,0),IF($X33&lt;30,1,0))</formula>
    </cfRule>
    <cfRule type="expression" dxfId="1236" priority="1316">
      <formula>AND(IF($Q33=3,1,IF($Q33=4,1,0)),IF($F33&lt;=85,1,0))</formula>
    </cfRule>
  </conditionalFormatting>
  <conditionalFormatting sqref="X33">
    <cfRule type="expression" dxfId="1235" priority="1309">
      <formula>AND(IF(OR($Q33=1,$Q33=2),1,0),IF($X33&lt;=20,1,0))</formula>
    </cfRule>
    <cfRule type="expression" dxfId="1234" priority="1310">
      <formula>AND(IF($Q33=2,1,0),IF($X33&lt;30,1,0))</formula>
    </cfRule>
    <cfRule type="expression" dxfId="1233" priority="1311">
      <formula>AND(IF($Q33=3,1,0),IF($X33&lt;30,1,0))</formula>
    </cfRule>
    <cfRule type="expression" dxfId="1232" priority="1312">
      <formula>AND(IF($Q33=3,1,IF($Q33=4,1,0)),IF($F33&lt;=85,1,0))</formula>
    </cfRule>
  </conditionalFormatting>
  <conditionalFormatting sqref="AI33">
    <cfRule type="expression" dxfId="1231" priority="1305">
      <formula>AND(IF(OR($Q33=1,$Q33=2),1,0),IF($X33&lt;=20,1,0))</formula>
    </cfRule>
    <cfRule type="expression" dxfId="1230" priority="1306">
      <formula>AND(IF($Q33=2,1,0),IF($X33&lt;30,1,0))</formula>
    </cfRule>
    <cfRule type="expression" dxfId="1229" priority="1307">
      <formula>AND(IF($Q33=3,1,0),IF($X33&lt;30,1,0))</formula>
    </cfRule>
    <cfRule type="expression" dxfId="1228" priority="1308">
      <formula>AND(IF($Q33=3,1,IF($Q33=4,1,0)),IF($F33&lt;=85,1,0))</formula>
    </cfRule>
  </conditionalFormatting>
  <conditionalFormatting sqref="AV34">
    <cfRule type="expression" dxfId="1227" priority="1303">
      <formula>AV34="X"</formula>
    </cfRule>
    <cfRule type="expression" dxfId="1226" priority="1304">
      <formula>AV34="후보"</formula>
    </cfRule>
  </conditionalFormatting>
  <conditionalFormatting sqref="Z34">
    <cfRule type="colorScale" priority="1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225" priority="1300" operator="greaterThan">
      <formula>0.9</formula>
    </cfRule>
    <cfRule type="cellIs" dxfId="1224" priority="1301" operator="greaterThan">
      <formula>0.85</formula>
    </cfRule>
  </conditionalFormatting>
  <conditionalFormatting sqref="N34">
    <cfRule type="cellIs" dxfId="1223" priority="1298" operator="greaterThan">
      <formula>0.9</formula>
    </cfRule>
    <cfRule type="cellIs" dxfId="1222" priority="1299" operator="greaterThan">
      <formula>0.85</formula>
    </cfRule>
  </conditionalFormatting>
  <conditionalFormatting sqref="E34">
    <cfRule type="expression" dxfId="1221" priority="1294">
      <formula>AND(IF(OR($Q34=1,$Q34=2),1,0),IF($X34&lt;=20,1,0))</formula>
    </cfRule>
    <cfRule type="expression" dxfId="1220" priority="1295">
      <formula>AND(IF($Q34=2,1,0),IF($X34&lt;30,1,0))</formula>
    </cfRule>
    <cfRule type="expression" dxfId="1219" priority="1296">
      <formula>AND(IF($Q34=3,1,0),IF($X34&lt;30,1,0))</formula>
    </cfRule>
    <cfRule type="expression" dxfId="1218" priority="1297">
      <formula>AND(IF($Q34=3,1,IF($Q34=4,1,0)),IF($F34&lt;=85,1,0))</formula>
    </cfRule>
  </conditionalFormatting>
  <conditionalFormatting sqref="X34">
    <cfRule type="expression" dxfId="1217" priority="1290">
      <formula>AND(IF(OR($Q34=1,$Q34=2),1,0),IF($X34&lt;=20,1,0))</formula>
    </cfRule>
    <cfRule type="expression" dxfId="1216" priority="1291">
      <formula>AND(IF($Q34=2,1,0),IF($X34&lt;30,1,0))</formula>
    </cfRule>
    <cfRule type="expression" dxfId="1215" priority="1292">
      <formula>AND(IF($Q34=3,1,0),IF($X34&lt;30,1,0))</formula>
    </cfRule>
    <cfRule type="expression" dxfId="1214" priority="1293">
      <formula>AND(IF($Q34=3,1,IF($Q34=4,1,0)),IF($F34&lt;=85,1,0))</formula>
    </cfRule>
  </conditionalFormatting>
  <conditionalFormatting sqref="AI34">
    <cfRule type="expression" dxfId="1213" priority="1286">
      <formula>AND(IF(OR($Q34=1,$Q34=2),1,0),IF($X34&lt;=20,1,0))</formula>
    </cfRule>
    <cfRule type="expression" dxfId="1212" priority="1287">
      <formula>AND(IF($Q34=2,1,0),IF($X34&lt;30,1,0))</formula>
    </cfRule>
    <cfRule type="expression" dxfId="1211" priority="1288">
      <formula>AND(IF($Q34=3,1,0),IF($X34&lt;30,1,0))</formula>
    </cfRule>
    <cfRule type="expression" dxfId="1210" priority="1289">
      <formula>AND(IF($Q34=3,1,IF($Q34=4,1,0)),IF($F34&lt;=85,1,0))</formula>
    </cfRule>
  </conditionalFormatting>
  <conditionalFormatting sqref="AV35">
    <cfRule type="expression" dxfId="1209" priority="1284">
      <formula>AV35="X"</formula>
    </cfRule>
    <cfRule type="expression" dxfId="1208" priority="1285">
      <formula>AV35="후보"</formula>
    </cfRule>
  </conditionalFormatting>
  <conditionalFormatting sqref="Z35">
    <cfRule type="colorScale" priority="1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207" priority="1281" operator="greaterThan">
      <formula>0.9</formula>
    </cfRule>
    <cfRule type="cellIs" dxfId="1206" priority="1282" operator="greaterThan">
      <formula>0.85</formula>
    </cfRule>
  </conditionalFormatting>
  <conditionalFormatting sqref="N35">
    <cfRule type="cellIs" dxfId="1205" priority="1279" operator="greaterThan">
      <formula>0.9</formula>
    </cfRule>
    <cfRule type="cellIs" dxfId="1204" priority="1280" operator="greaterThan">
      <formula>0.85</formula>
    </cfRule>
  </conditionalFormatting>
  <conditionalFormatting sqref="E35">
    <cfRule type="expression" dxfId="1203" priority="1275">
      <formula>AND(IF(OR($Q35=1,$Q35=2),1,0),IF($X35&lt;=20,1,0))</formula>
    </cfRule>
    <cfRule type="expression" dxfId="1202" priority="1276">
      <formula>AND(IF($Q35=2,1,0),IF($X35&lt;30,1,0))</formula>
    </cfRule>
    <cfRule type="expression" dxfId="1201" priority="1277">
      <formula>AND(IF($Q35=3,1,0),IF($X35&lt;30,1,0))</formula>
    </cfRule>
    <cfRule type="expression" dxfId="1200" priority="1278">
      <formula>AND(IF($Q35=3,1,IF($Q35=4,1,0)),IF($F35&lt;=85,1,0))</formula>
    </cfRule>
  </conditionalFormatting>
  <conditionalFormatting sqref="X35">
    <cfRule type="expression" dxfId="1199" priority="1271">
      <formula>AND(IF(OR($Q35=1,$Q35=2),1,0),IF($X35&lt;=20,1,0))</formula>
    </cfRule>
    <cfRule type="expression" dxfId="1198" priority="1272">
      <formula>AND(IF($Q35=2,1,0),IF($X35&lt;30,1,0))</formula>
    </cfRule>
    <cfRule type="expression" dxfId="1197" priority="1273">
      <formula>AND(IF($Q35=3,1,0),IF($X35&lt;30,1,0))</formula>
    </cfRule>
    <cfRule type="expression" dxfId="1196" priority="1274">
      <formula>AND(IF($Q35=3,1,IF($Q35=4,1,0)),IF($F35&lt;=85,1,0))</formula>
    </cfRule>
  </conditionalFormatting>
  <conditionalFormatting sqref="AI35">
    <cfRule type="expression" dxfId="1195" priority="1267">
      <formula>AND(IF(OR($Q35=1,$Q35=2),1,0),IF($X35&lt;=20,1,0))</formula>
    </cfRule>
    <cfRule type="expression" dxfId="1194" priority="1268">
      <formula>AND(IF($Q35=2,1,0),IF($X35&lt;30,1,0))</formula>
    </cfRule>
    <cfRule type="expression" dxfId="1193" priority="1269">
      <formula>AND(IF($Q35=3,1,0),IF($X35&lt;30,1,0))</formula>
    </cfRule>
    <cfRule type="expression" dxfId="1192" priority="1270">
      <formula>AND(IF($Q35=3,1,IF($Q35=4,1,0)),IF($F35&lt;=85,1,0))</formula>
    </cfRule>
  </conditionalFormatting>
  <conditionalFormatting sqref="AV36">
    <cfRule type="expression" dxfId="1191" priority="1265">
      <formula>AV36="X"</formula>
    </cfRule>
    <cfRule type="expression" dxfId="1190" priority="1266">
      <formula>AV36="후보"</formula>
    </cfRule>
  </conditionalFormatting>
  <conditionalFormatting sqref="Z36">
    <cfRule type="colorScale" priority="1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189" priority="1262" operator="greaterThan">
      <formula>0.9</formula>
    </cfRule>
    <cfRule type="cellIs" dxfId="1188" priority="1263" operator="greaterThan">
      <formula>0.85</formula>
    </cfRule>
  </conditionalFormatting>
  <conditionalFormatting sqref="N36">
    <cfRule type="cellIs" dxfId="1187" priority="1260" operator="greaterThan">
      <formula>0.9</formula>
    </cfRule>
    <cfRule type="cellIs" dxfId="1186" priority="1261" operator="greaterThan">
      <formula>0.85</formula>
    </cfRule>
  </conditionalFormatting>
  <conditionalFormatting sqref="E36">
    <cfRule type="expression" dxfId="1185" priority="1256">
      <formula>AND(IF(OR($Q36=1,$Q36=2),1,0),IF($X36&lt;=20,1,0))</formula>
    </cfRule>
    <cfRule type="expression" dxfId="1184" priority="1257">
      <formula>AND(IF($Q36=2,1,0),IF($X36&lt;30,1,0))</formula>
    </cfRule>
    <cfRule type="expression" dxfId="1183" priority="1258">
      <formula>AND(IF($Q36=3,1,0),IF($X36&lt;30,1,0))</formula>
    </cfRule>
    <cfRule type="expression" dxfId="1182" priority="1259">
      <formula>AND(IF($Q36=3,1,IF($Q36=4,1,0)),IF($F36&lt;=85,1,0))</formula>
    </cfRule>
  </conditionalFormatting>
  <conditionalFormatting sqref="X36">
    <cfRule type="expression" dxfId="1181" priority="1252">
      <formula>AND(IF(OR($Q36=1,$Q36=2),1,0),IF($X36&lt;=20,1,0))</formula>
    </cfRule>
    <cfRule type="expression" dxfId="1180" priority="1253">
      <formula>AND(IF($Q36=2,1,0),IF($X36&lt;30,1,0))</formula>
    </cfRule>
    <cfRule type="expression" dxfId="1179" priority="1254">
      <formula>AND(IF($Q36=3,1,0),IF($X36&lt;30,1,0))</formula>
    </cfRule>
    <cfRule type="expression" dxfId="1178" priority="1255">
      <formula>AND(IF($Q36=3,1,IF($Q36=4,1,0)),IF($F36&lt;=85,1,0))</formula>
    </cfRule>
  </conditionalFormatting>
  <conditionalFormatting sqref="AI36">
    <cfRule type="expression" dxfId="1177" priority="1248">
      <formula>AND(IF(OR($Q36=1,$Q36=2),1,0),IF($X36&lt;=20,1,0))</formula>
    </cfRule>
    <cfRule type="expression" dxfId="1176" priority="1249">
      <formula>AND(IF($Q36=2,1,0),IF($X36&lt;30,1,0))</formula>
    </cfRule>
    <cfRule type="expression" dxfId="1175" priority="1250">
      <formula>AND(IF($Q36=3,1,0),IF($X36&lt;30,1,0))</formula>
    </cfRule>
    <cfRule type="expression" dxfId="1174" priority="1251">
      <formula>AND(IF($Q36=3,1,IF($Q36=4,1,0)),IF($F36&lt;=85,1,0))</formula>
    </cfRule>
  </conditionalFormatting>
  <conditionalFormatting sqref="AV37">
    <cfRule type="expression" dxfId="1173" priority="1246">
      <formula>AV37="X"</formula>
    </cfRule>
    <cfRule type="expression" dxfId="1172" priority="1247">
      <formula>AV37="후보"</formula>
    </cfRule>
  </conditionalFormatting>
  <conditionalFormatting sqref="Z37">
    <cfRule type="colorScale" priority="1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171" priority="1243" operator="greaterThan">
      <formula>0.9</formula>
    </cfRule>
    <cfRule type="cellIs" dxfId="1170" priority="1244" operator="greaterThan">
      <formula>0.85</formula>
    </cfRule>
  </conditionalFormatting>
  <conditionalFormatting sqref="AV38">
    <cfRule type="expression" dxfId="1169" priority="1241">
      <formula>AV38="X"</formula>
    </cfRule>
    <cfRule type="expression" dxfId="1168" priority="1242">
      <formula>AV38="후보"</formula>
    </cfRule>
  </conditionalFormatting>
  <conditionalFormatting sqref="Z38">
    <cfRule type="colorScale" priority="12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167" priority="1238" operator="greaterThan">
      <formula>0.9</formula>
    </cfRule>
    <cfRule type="cellIs" dxfId="1166" priority="1239" operator="greaterThan">
      <formula>0.85</formula>
    </cfRule>
  </conditionalFormatting>
  <conditionalFormatting sqref="N38">
    <cfRule type="cellIs" dxfId="1165" priority="1236" operator="greaterThan">
      <formula>0.9</formula>
    </cfRule>
    <cfRule type="cellIs" dxfId="1164" priority="1237" operator="greaterThan">
      <formula>0.85</formula>
    </cfRule>
  </conditionalFormatting>
  <conditionalFormatting sqref="E38">
    <cfRule type="expression" dxfId="1163" priority="1232">
      <formula>AND(IF(OR($Q38=1,$Q38=2),1,0),IF($X38&lt;=20,1,0))</formula>
    </cfRule>
    <cfRule type="expression" dxfId="1162" priority="1233">
      <formula>AND(IF($Q38=2,1,0),IF($X38&lt;30,1,0))</formula>
    </cfRule>
    <cfRule type="expression" dxfId="1161" priority="1234">
      <formula>AND(IF($Q38=3,1,0),IF($X38&lt;30,1,0))</formula>
    </cfRule>
    <cfRule type="expression" dxfId="1160" priority="1235">
      <formula>AND(IF($Q38=3,1,IF($Q38=4,1,0)),IF($F38&lt;=85,1,0))</formula>
    </cfRule>
  </conditionalFormatting>
  <conditionalFormatting sqref="X38">
    <cfRule type="expression" dxfId="1159" priority="1228">
      <formula>AND(IF(OR($Q38=1,$Q38=2),1,0),IF($X38&lt;=20,1,0))</formula>
    </cfRule>
    <cfRule type="expression" dxfId="1158" priority="1229">
      <formula>AND(IF($Q38=2,1,0),IF($X38&lt;30,1,0))</formula>
    </cfRule>
    <cfRule type="expression" dxfId="1157" priority="1230">
      <formula>AND(IF($Q38=3,1,0),IF($X38&lt;30,1,0))</formula>
    </cfRule>
    <cfRule type="expression" dxfId="1156" priority="1231">
      <formula>AND(IF($Q38=3,1,IF($Q38=4,1,0)),IF($F38&lt;=85,1,0))</formula>
    </cfRule>
  </conditionalFormatting>
  <conditionalFormatting sqref="AI38">
    <cfRule type="expression" dxfId="1155" priority="1224">
      <formula>AND(IF(OR($Q38=1,$Q38=2),1,0),IF($X38&lt;=20,1,0))</formula>
    </cfRule>
    <cfRule type="expression" dxfId="1154" priority="1225">
      <formula>AND(IF($Q38=2,1,0),IF($X38&lt;30,1,0))</formula>
    </cfRule>
    <cfRule type="expression" dxfId="1153" priority="1226">
      <formula>AND(IF($Q38=3,1,0),IF($X38&lt;30,1,0))</formula>
    </cfRule>
    <cfRule type="expression" dxfId="1152" priority="1227">
      <formula>AND(IF($Q38=3,1,IF($Q38=4,1,0)),IF($F38&lt;=85,1,0))</formula>
    </cfRule>
  </conditionalFormatting>
  <conditionalFormatting sqref="AV39">
    <cfRule type="expression" dxfId="1151" priority="1222">
      <formula>AV39="X"</formula>
    </cfRule>
    <cfRule type="expression" dxfId="1150" priority="1223">
      <formula>AV39="후보"</formula>
    </cfRule>
  </conditionalFormatting>
  <conditionalFormatting sqref="Z39">
    <cfRule type="colorScale" priority="12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149" priority="1219" operator="greaterThan">
      <formula>0.9</formula>
    </cfRule>
    <cfRule type="cellIs" dxfId="1148" priority="1220" operator="greaterThan">
      <formula>0.85</formula>
    </cfRule>
  </conditionalFormatting>
  <conditionalFormatting sqref="N39">
    <cfRule type="cellIs" dxfId="1147" priority="1217" operator="greaterThan">
      <formula>0.9</formula>
    </cfRule>
    <cfRule type="cellIs" dxfId="1146" priority="1218" operator="greaterThan">
      <formula>0.85</formula>
    </cfRule>
  </conditionalFormatting>
  <conditionalFormatting sqref="E39">
    <cfRule type="expression" dxfId="1145" priority="1213">
      <formula>AND(IF(OR($Q39=1,$Q39=2),1,0),IF($X39&lt;=20,1,0))</formula>
    </cfRule>
    <cfRule type="expression" dxfId="1144" priority="1214">
      <formula>AND(IF($Q39=2,1,0),IF($X39&lt;30,1,0))</formula>
    </cfRule>
    <cfRule type="expression" dxfId="1143" priority="1215">
      <formula>AND(IF($Q39=3,1,0),IF($X39&lt;30,1,0))</formula>
    </cfRule>
    <cfRule type="expression" dxfId="1142" priority="1216">
      <formula>AND(IF($Q39=3,1,IF($Q39=4,1,0)),IF($F39&lt;=85,1,0))</formula>
    </cfRule>
  </conditionalFormatting>
  <conditionalFormatting sqref="X39">
    <cfRule type="expression" dxfId="1141" priority="1209">
      <formula>AND(IF(OR($Q39=1,$Q39=2),1,0),IF($X39&lt;=20,1,0))</formula>
    </cfRule>
    <cfRule type="expression" dxfId="1140" priority="1210">
      <formula>AND(IF($Q39=2,1,0),IF($X39&lt;30,1,0))</formula>
    </cfRule>
    <cfRule type="expression" dxfId="1139" priority="1211">
      <formula>AND(IF($Q39=3,1,0),IF($X39&lt;30,1,0))</formula>
    </cfRule>
    <cfRule type="expression" dxfId="1138" priority="1212">
      <formula>AND(IF($Q39=3,1,IF($Q39=4,1,0)),IF($F39&lt;=85,1,0))</formula>
    </cfRule>
  </conditionalFormatting>
  <conditionalFormatting sqref="AI39">
    <cfRule type="expression" dxfId="1137" priority="1205">
      <formula>AND(IF(OR($Q39=1,$Q39=2),1,0),IF($X39&lt;=20,1,0))</formula>
    </cfRule>
    <cfRule type="expression" dxfId="1136" priority="1206">
      <formula>AND(IF($Q39=2,1,0),IF($X39&lt;30,1,0))</formula>
    </cfRule>
    <cfRule type="expression" dxfId="1135" priority="1207">
      <formula>AND(IF($Q39=3,1,0),IF($X39&lt;30,1,0))</formula>
    </cfRule>
    <cfRule type="expression" dxfId="1134" priority="1208">
      <formula>AND(IF($Q39=3,1,IF($Q39=4,1,0)),IF($F39&lt;=85,1,0))</formula>
    </cfRule>
  </conditionalFormatting>
  <conditionalFormatting sqref="AV40">
    <cfRule type="expression" dxfId="1133" priority="1203">
      <formula>AV40="X"</formula>
    </cfRule>
    <cfRule type="expression" dxfId="1132" priority="1204">
      <formula>AV40="후보"</formula>
    </cfRule>
  </conditionalFormatting>
  <conditionalFormatting sqref="Z40">
    <cfRule type="colorScale" priority="12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131" priority="1200" operator="greaterThan">
      <formula>0.9</formula>
    </cfRule>
    <cfRule type="cellIs" dxfId="1130" priority="1201" operator="greaterThan">
      <formula>0.85</formula>
    </cfRule>
  </conditionalFormatting>
  <conditionalFormatting sqref="N40">
    <cfRule type="cellIs" dxfId="1129" priority="1198" operator="greaterThan">
      <formula>0.9</formula>
    </cfRule>
    <cfRule type="cellIs" dxfId="1128" priority="1199" operator="greaterThan">
      <formula>0.85</formula>
    </cfRule>
  </conditionalFormatting>
  <conditionalFormatting sqref="E40">
    <cfRule type="expression" dxfId="1127" priority="1194">
      <formula>AND(IF(OR($Q40=1,$Q40=2),1,0),IF($X40&lt;=20,1,0))</formula>
    </cfRule>
    <cfRule type="expression" dxfId="1126" priority="1195">
      <formula>AND(IF($Q40=2,1,0),IF($X40&lt;30,1,0))</formula>
    </cfRule>
    <cfRule type="expression" dxfId="1125" priority="1196">
      <formula>AND(IF($Q40=3,1,0),IF($X40&lt;30,1,0))</formula>
    </cfRule>
    <cfRule type="expression" dxfId="1124" priority="1197">
      <formula>AND(IF($Q40=3,1,IF($Q40=4,1,0)),IF($F40&lt;=85,1,0))</formula>
    </cfRule>
  </conditionalFormatting>
  <conditionalFormatting sqref="X40">
    <cfRule type="expression" dxfId="1123" priority="1190">
      <formula>AND(IF(OR($Q40=1,$Q40=2),1,0),IF($X40&lt;=20,1,0))</formula>
    </cfRule>
    <cfRule type="expression" dxfId="1122" priority="1191">
      <formula>AND(IF($Q40=2,1,0),IF($X40&lt;30,1,0))</formula>
    </cfRule>
    <cfRule type="expression" dxfId="1121" priority="1192">
      <formula>AND(IF($Q40=3,1,0),IF($X40&lt;30,1,0))</formula>
    </cfRule>
    <cfRule type="expression" dxfId="1120" priority="1193">
      <formula>AND(IF($Q40=3,1,IF($Q40=4,1,0)),IF($F40&lt;=85,1,0))</formula>
    </cfRule>
  </conditionalFormatting>
  <conditionalFormatting sqref="AI40">
    <cfRule type="expression" dxfId="1119" priority="1186">
      <formula>AND(IF(OR($Q40=1,$Q40=2),1,0),IF($X40&lt;=20,1,0))</formula>
    </cfRule>
    <cfRule type="expression" dxfId="1118" priority="1187">
      <formula>AND(IF($Q40=2,1,0),IF($X40&lt;30,1,0))</formula>
    </cfRule>
    <cfRule type="expression" dxfId="1117" priority="1188">
      <formula>AND(IF($Q40=3,1,0),IF($X40&lt;30,1,0))</formula>
    </cfRule>
    <cfRule type="expression" dxfId="1116" priority="1189">
      <formula>AND(IF($Q40=3,1,IF($Q40=4,1,0)),IF($F40&lt;=85,1,0))</formula>
    </cfRule>
  </conditionalFormatting>
  <conditionalFormatting sqref="AV41">
    <cfRule type="expression" dxfId="1115" priority="1184">
      <formula>AV41="X"</formula>
    </cfRule>
    <cfRule type="expression" dxfId="1114" priority="1185">
      <formula>AV41="후보"</formula>
    </cfRule>
  </conditionalFormatting>
  <conditionalFormatting sqref="Z41">
    <cfRule type="colorScale" priority="11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1113" priority="1181" operator="greaterThan">
      <formula>0.9</formula>
    </cfRule>
    <cfRule type="cellIs" dxfId="1112" priority="1182" operator="greaterThan">
      <formula>0.85</formula>
    </cfRule>
  </conditionalFormatting>
  <conditionalFormatting sqref="AV42">
    <cfRule type="expression" dxfId="1111" priority="1179">
      <formula>AV42="X"</formula>
    </cfRule>
    <cfRule type="expression" dxfId="1110" priority="1180">
      <formula>AV42="후보"</formula>
    </cfRule>
  </conditionalFormatting>
  <conditionalFormatting sqref="Z42">
    <cfRule type="colorScale" priority="1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109" priority="1176" operator="greaterThan">
      <formula>0.9</formula>
    </cfRule>
    <cfRule type="cellIs" dxfId="1108" priority="1177" operator="greaterThan">
      <formula>0.85</formula>
    </cfRule>
  </conditionalFormatting>
  <conditionalFormatting sqref="N42">
    <cfRule type="cellIs" dxfId="1107" priority="1174" operator="greaterThan">
      <formula>0.9</formula>
    </cfRule>
    <cfRule type="cellIs" dxfId="1106" priority="1175" operator="greaterThan">
      <formula>0.85</formula>
    </cfRule>
  </conditionalFormatting>
  <conditionalFormatting sqref="E42">
    <cfRule type="expression" dxfId="1105" priority="1170">
      <formula>AND(IF(OR($Q42=1,$Q42=2),1,0),IF($X42&lt;=20,1,0))</formula>
    </cfRule>
    <cfRule type="expression" dxfId="1104" priority="1171">
      <formula>AND(IF($Q42=2,1,0),IF($X42&lt;30,1,0))</formula>
    </cfRule>
    <cfRule type="expression" dxfId="1103" priority="1172">
      <formula>AND(IF($Q42=3,1,0),IF($X42&lt;30,1,0))</formula>
    </cfRule>
    <cfRule type="expression" dxfId="1102" priority="1173">
      <formula>AND(IF($Q42=3,1,IF($Q42=4,1,0)),IF($F42&lt;=85,1,0))</formula>
    </cfRule>
  </conditionalFormatting>
  <conditionalFormatting sqref="X42">
    <cfRule type="expression" dxfId="1101" priority="1166">
      <formula>AND(IF(OR($Q42=1,$Q42=2),1,0),IF($X42&lt;=20,1,0))</formula>
    </cfRule>
    <cfRule type="expression" dxfId="1100" priority="1167">
      <formula>AND(IF($Q42=2,1,0),IF($X42&lt;30,1,0))</formula>
    </cfRule>
    <cfRule type="expression" dxfId="1099" priority="1168">
      <formula>AND(IF($Q42=3,1,0),IF($X42&lt;30,1,0))</formula>
    </cfRule>
    <cfRule type="expression" dxfId="1098" priority="1169">
      <formula>AND(IF($Q42=3,1,IF($Q42=4,1,0)),IF($F42&lt;=85,1,0))</formula>
    </cfRule>
  </conditionalFormatting>
  <conditionalFormatting sqref="AI42">
    <cfRule type="expression" dxfId="1097" priority="1162">
      <formula>AND(IF(OR($Q42=1,$Q42=2),1,0),IF($X42&lt;=20,1,0))</formula>
    </cfRule>
    <cfRule type="expression" dxfId="1096" priority="1163">
      <formula>AND(IF($Q42=2,1,0),IF($X42&lt;30,1,0))</formula>
    </cfRule>
    <cfRule type="expression" dxfId="1095" priority="1164">
      <formula>AND(IF($Q42=3,1,0),IF($X42&lt;30,1,0))</formula>
    </cfRule>
    <cfRule type="expression" dxfId="1094" priority="1165">
      <formula>AND(IF($Q42=3,1,IF($Q42=4,1,0)),IF($F42&lt;=85,1,0))</formula>
    </cfRule>
  </conditionalFormatting>
  <conditionalFormatting sqref="AV43">
    <cfRule type="expression" dxfId="1093" priority="1160">
      <formula>AV43="X"</formula>
    </cfRule>
    <cfRule type="expression" dxfId="1092" priority="1161">
      <formula>AV43="후보"</formula>
    </cfRule>
  </conditionalFormatting>
  <conditionalFormatting sqref="Z43">
    <cfRule type="colorScale" priority="1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091" priority="1157" operator="greaterThan">
      <formula>0.9</formula>
    </cfRule>
    <cfRule type="cellIs" dxfId="1090" priority="1158" operator="greaterThan">
      <formula>0.85</formula>
    </cfRule>
  </conditionalFormatting>
  <conditionalFormatting sqref="N43">
    <cfRule type="cellIs" dxfId="1089" priority="1155" operator="greaterThan">
      <formula>0.9</formula>
    </cfRule>
    <cfRule type="cellIs" dxfId="1088" priority="1156" operator="greaterThan">
      <formula>0.85</formula>
    </cfRule>
  </conditionalFormatting>
  <conditionalFormatting sqref="E43">
    <cfRule type="expression" dxfId="1087" priority="1151">
      <formula>AND(IF(OR($Q43=1,$Q43=2),1,0),IF($X43&lt;=20,1,0))</formula>
    </cfRule>
    <cfRule type="expression" dxfId="1086" priority="1152">
      <formula>AND(IF($Q43=2,1,0),IF($X43&lt;30,1,0))</formula>
    </cfRule>
    <cfRule type="expression" dxfId="1085" priority="1153">
      <formula>AND(IF($Q43=3,1,0),IF($X43&lt;30,1,0))</formula>
    </cfRule>
    <cfRule type="expression" dxfId="1084" priority="1154">
      <formula>AND(IF($Q43=3,1,IF($Q43=4,1,0)),IF($F43&lt;=85,1,0))</formula>
    </cfRule>
  </conditionalFormatting>
  <conditionalFormatting sqref="X43">
    <cfRule type="expression" dxfId="1083" priority="1147">
      <formula>AND(IF(OR($Q43=1,$Q43=2),1,0),IF($X43&lt;=20,1,0))</formula>
    </cfRule>
    <cfRule type="expression" dxfId="1082" priority="1148">
      <formula>AND(IF($Q43=2,1,0),IF($X43&lt;30,1,0))</formula>
    </cfRule>
    <cfRule type="expression" dxfId="1081" priority="1149">
      <formula>AND(IF($Q43=3,1,0),IF($X43&lt;30,1,0))</formula>
    </cfRule>
    <cfRule type="expression" dxfId="1080" priority="1150">
      <formula>AND(IF($Q43=3,1,IF($Q43=4,1,0)),IF($F43&lt;=85,1,0))</formula>
    </cfRule>
  </conditionalFormatting>
  <conditionalFormatting sqref="AI43">
    <cfRule type="expression" dxfId="1079" priority="1143">
      <formula>AND(IF(OR($Q43=1,$Q43=2),1,0),IF($X43&lt;=20,1,0))</formula>
    </cfRule>
    <cfRule type="expression" dxfId="1078" priority="1144">
      <formula>AND(IF($Q43=2,1,0),IF($X43&lt;30,1,0))</formula>
    </cfRule>
    <cfRule type="expression" dxfId="1077" priority="1145">
      <formula>AND(IF($Q43=3,1,0),IF($X43&lt;30,1,0))</formula>
    </cfRule>
    <cfRule type="expression" dxfId="1076" priority="1146">
      <formula>AND(IF($Q43=3,1,IF($Q43=4,1,0)),IF($F43&lt;=85,1,0))</formula>
    </cfRule>
  </conditionalFormatting>
  <conditionalFormatting sqref="AV44">
    <cfRule type="expression" dxfId="1075" priority="1141">
      <formula>AV44="X"</formula>
    </cfRule>
    <cfRule type="expression" dxfId="1074" priority="1142">
      <formula>AV44="후보"</formula>
    </cfRule>
  </conditionalFormatting>
  <conditionalFormatting sqref="Z44">
    <cfRule type="colorScale" priority="1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073" priority="1138" operator="greaterThan">
      <formula>0.9</formula>
    </cfRule>
    <cfRule type="cellIs" dxfId="1072" priority="1139" operator="greaterThan">
      <formula>0.85</formula>
    </cfRule>
  </conditionalFormatting>
  <conditionalFormatting sqref="N44">
    <cfRule type="cellIs" dxfId="1071" priority="1136" operator="greaterThan">
      <formula>0.9</formula>
    </cfRule>
    <cfRule type="cellIs" dxfId="1070" priority="1137" operator="greaterThan">
      <formula>0.85</formula>
    </cfRule>
  </conditionalFormatting>
  <conditionalFormatting sqref="E44">
    <cfRule type="expression" dxfId="1069" priority="1132">
      <formula>AND(IF(OR($Q44=1,$Q44=2),1,0),IF($X44&lt;=20,1,0))</formula>
    </cfRule>
    <cfRule type="expression" dxfId="1068" priority="1133">
      <formula>AND(IF($Q44=2,1,0),IF($X44&lt;30,1,0))</formula>
    </cfRule>
    <cfRule type="expression" dxfId="1067" priority="1134">
      <formula>AND(IF($Q44=3,1,0),IF($X44&lt;30,1,0))</formula>
    </cfRule>
    <cfRule type="expression" dxfId="1066" priority="1135">
      <formula>AND(IF($Q44=3,1,IF($Q44=4,1,0)),IF($F44&lt;=85,1,0))</formula>
    </cfRule>
  </conditionalFormatting>
  <conditionalFormatting sqref="X44">
    <cfRule type="expression" dxfId="1065" priority="1128">
      <formula>AND(IF(OR($Q44=1,$Q44=2),1,0),IF($X44&lt;=20,1,0))</formula>
    </cfRule>
    <cfRule type="expression" dxfId="1064" priority="1129">
      <formula>AND(IF($Q44=2,1,0),IF($X44&lt;30,1,0))</formula>
    </cfRule>
    <cfRule type="expression" dxfId="1063" priority="1130">
      <formula>AND(IF($Q44=3,1,0),IF($X44&lt;30,1,0))</formula>
    </cfRule>
    <cfRule type="expression" dxfId="1062" priority="1131">
      <formula>AND(IF($Q44=3,1,IF($Q44=4,1,0)),IF($F44&lt;=85,1,0))</formula>
    </cfRule>
  </conditionalFormatting>
  <conditionalFormatting sqref="AI44">
    <cfRule type="expression" dxfId="1061" priority="1124">
      <formula>AND(IF(OR($Q44=1,$Q44=2),1,0),IF($X44&lt;=20,1,0))</formula>
    </cfRule>
    <cfRule type="expression" dxfId="1060" priority="1125">
      <formula>AND(IF($Q44=2,1,0),IF($X44&lt;30,1,0))</formula>
    </cfRule>
    <cfRule type="expression" dxfId="1059" priority="1126">
      <formula>AND(IF($Q44=3,1,0),IF($X44&lt;30,1,0))</formula>
    </cfRule>
    <cfRule type="expression" dxfId="1058" priority="1127">
      <formula>AND(IF($Q44=3,1,IF($Q44=4,1,0)),IF($F44&lt;=85,1,0))</formula>
    </cfRule>
  </conditionalFormatting>
  <conditionalFormatting sqref="AV45">
    <cfRule type="expression" dxfId="1057" priority="1122">
      <formula>AV45="X"</formula>
    </cfRule>
    <cfRule type="expression" dxfId="1056" priority="1123">
      <formula>AV45="후보"</formula>
    </cfRule>
  </conditionalFormatting>
  <conditionalFormatting sqref="Z45">
    <cfRule type="colorScale" priority="11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055" priority="1119" operator="greaterThan">
      <formula>0.9</formula>
    </cfRule>
    <cfRule type="cellIs" dxfId="1054" priority="1120" operator="greaterThan">
      <formula>0.85</formula>
    </cfRule>
  </conditionalFormatting>
  <conditionalFormatting sqref="N45">
    <cfRule type="cellIs" dxfId="1053" priority="1117" operator="greaterThan">
      <formula>0.9</formula>
    </cfRule>
    <cfRule type="cellIs" dxfId="1052" priority="1118" operator="greaterThan">
      <formula>0.85</formula>
    </cfRule>
  </conditionalFormatting>
  <conditionalFormatting sqref="E45">
    <cfRule type="expression" dxfId="1051" priority="1113">
      <formula>AND(IF(OR($Q45=1,$Q45=2),1,0),IF($X45&lt;=20,1,0))</formula>
    </cfRule>
    <cfRule type="expression" dxfId="1050" priority="1114">
      <formula>AND(IF($Q45=2,1,0),IF($X45&lt;30,1,0))</formula>
    </cfRule>
    <cfRule type="expression" dxfId="1049" priority="1115">
      <formula>AND(IF($Q45=3,1,0),IF($X45&lt;30,1,0))</formula>
    </cfRule>
    <cfRule type="expression" dxfId="1048" priority="1116">
      <formula>AND(IF($Q45=3,1,IF($Q45=4,1,0)),IF($F45&lt;=85,1,0))</formula>
    </cfRule>
  </conditionalFormatting>
  <conditionalFormatting sqref="X45">
    <cfRule type="expression" dxfId="1047" priority="1109">
      <formula>AND(IF(OR($Q45=1,$Q45=2),1,0),IF($X45&lt;=20,1,0))</formula>
    </cfRule>
    <cfRule type="expression" dxfId="1046" priority="1110">
      <formula>AND(IF($Q45=2,1,0),IF($X45&lt;30,1,0))</formula>
    </cfRule>
    <cfRule type="expression" dxfId="1045" priority="1111">
      <formula>AND(IF($Q45=3,1,0),IF($X45&lt;30,1,0))</formula>
    </cfRule>
    <cfRule type="expression" dxfId="1044" priority="1112">
      <formula>AND(IF($Q45=3,1,IF($Q45=4,1,0)),IF($F45&lt;=85,1,0))</formula>
    </cfRule>
  </conditionalFormatting>
  <conditionalFormatting sqref="AI45">
    <cfRule type="expression" dxfId="1043" priority="1105">
      <formula>AND(IF(OR($Q45=1,$Q45=2),1,0),IF($X45&lt;=20,1,0))</formula>
    </cfRule>
    <cfRule type="expression" dxfId="1042" priority="1106">
      <formula>AND(IF($Q45=2,1,0),IF($X45&lt;30,1,0))</formula>
    </cfRule>
    <cfRule type="expression" dxfId="1041" priority="1107">
      <formula>AND(IF($Q45=3,1,0),IF($X45&lt;30,1,0))</formula>
    </cfRule>
    <cfRule type="expression" dxfId="1040" priority="1108">
      <formula>AND(IF($Q45=3,1,IF($Q45=4,1,0)),IF($F45&lt;=85,1,0))</formula>
    </cfRule>
  </conditionalFormatting>
  <conditionalFormatting sqref="AV46">
    <cfRule type="expression" dxfId="1039" priority="1103">
      <formula>AV46="X"</formula>
    </cfRule>
    <cfRule type="expression" dxfId="1038" priority="1104">
      <formula>AV46="후보"</formula>
    </cfRule>
  </conditionalFormatting>
  <conditionalFormatting sqref="Z46">
    <cfRule type="colorScale" priority="1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037" priority="1100" operator="greaterThan">
      <formula>0.9</formula>
    </cfRule>
    <cfRule type="cellIs" dxfId="1036" priority="1101" operator="greaterThan">
      <formula>0.85</formula>
    </cfRule>
  </conditionalFormatting>
  <conditionalFormatting sqref="N46">
    <cfRule type="cellIs" dxfId="1035" priority="1098" operator="greaterThan">
      <formula>0.9</formula>
    </cfRule>
    <cfRule type="cellIs" dxfId="1034" priority="1099" operator="greaterThan">
      <formula>0.85</formula>
    </cfRule>
  </conditionalFormatting>
  <conditionalFormatting sqref="E46">
    <cfRule type="expression" dxfId="1033" priority="1094">
      <formula>AND(IF(OR($Q46=1,$Q46=2),1,0),IF($X46&lt;=20,1,0))</formula>
    </cfRule>
    <cfRule type="expression" dxfId="1032" priority="1095">
      <formula>AND(IF($Q46=2,1,0),IF($X46&lt;30,1,0))</formula>
    </cfRule>
    <cfRule type="expression" dxfId="1031" priority="1096">
      <formula>AND(IF($Q46=3,1,0),IF($X46&lt;30,1,0))</formula>
    </cfRule>
    <cfRule type="expression" dxfId="1030" priority="1097">
      <formula>AND(IF($Q46=3,1,IF($Q46=4,1,0)),IF($F46&lt;=85,1,0))</formula>
    </cfRule>
  </conditionalFormatting>
  <conditionalFormatting sqref="X46">
    <cfRule type="expression" dxfId="1029" priority="1090">
      <formula>AND(IF(OR($Q46=1,$Q46=2),1,0),IF($X46&lt;=20,1,0))</formula>
    </cfRule>
    <cfRule type="expression" dxfId="1028" priority="1091">
      <formula>AND(IF($Q46=2,1,0),IF($X46&lt;30,1,0))</formula>
    </cfRule>
    <cfRule type="expression" dxfId="1027" priority="1092">
      <formula>AND(IF($Q46=3,1,0),IF($X46&lt;30,1,0))</formula>
    </cfRule>
    <cfRule type="expression" dxfId="1026" priority="1093">
      <formula>AND(IF($Q46=3,1,IF($Q46=4,1,0)),IF($F46&lt;=85,1,0))</formula>
    </cfRule>
  </conditionalFormatting>
  <conditionalFormatting sqref="AI46">
    <cfRule type="expression" dxfId="1025" priority="1086">
      <formula>AND(IF(OR($Q46=1,$Q46=2),1,0),IF($X46&lt;=20,1,0))</formula>
    </cfRule>
    <cfRule type="expression" dxfId="1024" priority="1087">
      <formula>AND(IF($Q46=2,1,0),IF($X46&lt;30,1,0))</formula>
    </cfRule>
    <cfRule type="expression" dxfId="1023" priority="1088">
      <formula>AND(IF($Q46=3,1,0),IF($X46&lt;30,1,0))</formula>
    </cfRule>
    <cfRule type="expression" dxfId="1022" priority="1089">
      <formula>AND(IF($Q46=3,1,IF($Q46=4,1,0)),IF($F46&lt;=85,1,0))</formula>
    </cfRule>
  </conditionalFormatting>
  <conditionalFormatting sqref="AV47">
    <cfRule type="expression" dxfId="1021" priority="1084">
      <formula>AV47="X"</formula>
    </cfRule>
    <cfRule type="expression" dxfId="1020" priority="1085">
      <formula>AV47="후보"</formula>
    </cfRule>
  </conditionalFormatting>
  <conditionalFormatting sqref="Z47">
    <cfRule type="colorScale" priority="1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019" priority="1081" operator="greaterThan">
      <formula>0.9</formula>
    </cfRule>
    <cfRule type="cellIs" dxfId="1018" priority="1082" operator="greaterThan">
      <formula>0.85</formula>
    </cfRule>
  </conditionalFormatting>
  <conditionalFormatting sqref="N47">
    <cfRule type="cellIs" dxfId="1017" priority="1079" operator="greaterThan">
      <formula>0.9</formula>
    </cfRule>
    <cfRule type="cellIs" dxfId="1016" priority="1080" operator="greaterThan">
      <formula>0.85</formula>
    </cfRule>
  </conditionalFormatting>
  <conditionalFormatting sqref="E47">
    <cfRule type="expression" dxfId="1015" priority="1075">
      <formula>AND(IF(OR($Q47=1,$Q47=2),1,0),IF($X47&lt;=20,1,0))</formula>
    </cfRule>
    <cfRule type="expression" dxfId="1014" priority="1076">
      <formula>AND(IF($Q47=2,1,0),IF($X47&lt;30,1,0))</formula>
    </cfRule>
    <cfRule type="expression" dxfId="1013" priority="1077">
      <formula>AND(IF($Q47=3,1,0),IF($X47&lt;30,1,0))</formula>
    </cfRule>
    <cfRule type="expression" dxfId="1012" priority="1078">
      <formula>AND(IF($Q47=3,1,IF($Q47=4,1,0)),IF($F47&lt;=85,1,0))</formula>
    </cfRule>
  </conditionalFormatting>
  <conditionalFormatting sqref="X47">
    <cfRule type="expression" dxfId="1011" priority="1071">
      <formula>AND(IF(OR($Q47=1,$Q47=2),1,0),IF($X47&lt;=20,1,0))</formula>
    </cfRule>
    <cfRule type="expression" dxfId="1010" priority="1072">
      <formula>AND(IF($Q47=2,1,0),IF($X47&lt;30,1,0))</formula>
    </cfRule>
    <cfRule type="expression" dxfId="1009" priority="1073">
      <formula>AND(IF($Q47=3,1,0),IF($X47&lt;30,1,0))</formula>
    </cfRule>
    <cfRule type="expression" dxfId="1008" priority="1074">
      <formula>AND(IF($Q47=3,1,IF($Q47=4,1,0)),IF($F47&lt;=85,1,0))</formula>
    </cfRule>
  </conditionalFormatting>
  <conditionalFormatting sqref="AI47">
    <cfRule type="expression" dxfId="1007" priority="1067">
      <formula>AND(IF(OR($Q47=1,$Q47=2),1,0),IF($X47&lt;=20,1,0))</formula>
    </cfRule>
    <cfRule type="expression" dxfId="1006" priority="1068">
      <formula>AND(IF($Q47=2,1,0),IF($X47&lt;30,1,0))</formula>
    </cfRule>
    <cfRule type="expression" dxfId="1005" priority="1069">
      <formula>AND(IF($Q47=3,1,0),IF($X47&lt;30,1,0))</formula>
    </cfRule>
    <cfRule type="expression" dxfId="1004" priority="1070">
      <formula>AND(IF($Q47=3,1,IF($Q47=4,1,0)),IF($F47&lt;=85,1,0))</formula>
    </cfRule>
  </conditionalFormatting>
  <conditionalFormatting sqref="AV48">
    <cfRule type="expression" dxfId="1003" priority="1065">
      <formula>AV48="X"</formula>
    </cfRule>
    <cfRule type="expression" dxfId="1002" priority="1066">
      <formula>AV48="후보"</formula>
    </cfRule>
  </conditionalFormatting>
  <conditionalFormatting sqref="Z48">
    <cfRule type="colorScale" priority="1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001" priority="1062" operator="greaterThan">
      <formula>0.9</formula>
    </cfRule>
    <cfRule type="cellIs" dxfId="1000" priority="1063" operator="greaterThan">
      <formula>0.85</formula>
    </cfRule>
  </conditionalFormatting>
  <conditionalFormatting sqref="N48">
    <cfRule type="cellIs" dxfId="999" priority="1060" operator="greaterThan">
      <formula>0.9</formula>
    </cfRule>
    <cfRule type="cellIs" dxfId="998" priority="1061" operator="greaterThan">
      <formula>0.85</formula>
    </cfRule>
  </conditionalFormatting>
  <conditionalFormatting sqref="E48">
    <cfRule type="expression" dxfId="997" priority="1056">
      <formula>AND(IF(OR($Q48=1,$Q48=2),1,0),IF($X48&lt;=20,1,0))</formula>
    </cfRule>
    <cfRule type="expression" dxfId="996" priority="1057">
      <formula>AND(IF($Q48=2,1,0),IF($X48&lt;30,1,0))</formula>
    </cfRule>
    <cfRule type="expression" dxfId="995" priority="1058">
      <formula>AND(IF($Q48=3,1,0),IF($X48&lt;30,1,0))</formula>
    </cfRule>
    <cfRule type="expression" dxfId="994" priority="1059">
      <formula>AND(IF($Q48=3,1,IF($Q48=4,1,0)),IF($F48&lt;=85,1,0))</formula>
    </cfRule>
  </conditionalFormatting>
  <conditionalFormatting sqref="X48">
    <cfRule type="expression" dxfId="993" priority="1052">
      <formula>AND(IF(OR($Q48=1,$Q48=2),1,0),IF($X48&lt;=20,1,0))</formula>
    </cfRule>
    <cfRule type="expression" dxfId="992" priority="1053">
      <formula>AND(IF($Q48=2,1,0),IF($X48&lt;30,1,0))</formula>
    </cfRule>
    <cfRule type="expression" dxfId="991" priority="1054">
      <formula>AND(IF($Q48=3,1,0),IF($X48&lt;30,1,0))</formula>
    </cfRule>
    <cfRule type="expression" dxfId="990" priority="1055">
      <formula>AND(IF($Q48=3,1,IF($Q48=4,1,0)),IF($F48&lt;=85,1,0))</formula>
    </cfRule>
  </conditionalFormatting>
  <conditionalFormatting sqref="AI48">
    <cfRule type="expression" dxfId="989" priority="1048">
      <formula>AND(IF(OR($Q48=1,$Q48=2),1,0),IF($X48&lt;=20,1,0))</formula>
    </cfRule>
    <cfRule type="expression" dxfId="988" priority="1049">
      <formula>AND(IF($Q48=2,1,0),IF($X48&lt;30,1,0))</formula>
    </cfRule>
    <cfRule type="expression" dxfId="987" priority="1050">
      <formula>AND(IF($Q48=3,1,0),IF($X48&lt;30,1,0))</formula>
    </cfRule>
    <cfRule type="expression" dxfId="986" priority="1051">
      <formula>AND(IF($Q48=3,1,IF($Q48=4,1,0)),IF($F48&lt;=85,1,0))</formula>
    </cfRule>
  </conditionalFormatting>
  <conditionalFormatting sqref="AV49">
    <cfRule type="expression" dxfId="985" priority="1046">
      <formula>AV49="X"</formula>
    </cfRule>
    <cfRule type="expression" dxfId="984" priority="1047">
      <formula>AV49="후보"</formula>
    </cfRule>
  </conditionalFormatting>
  <conditionalFormatting sqref="Z49">
    <cfRule type="colorScale" priority="1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983" priority="1043" operator="greaterThan">
      <formula>0.9</formula>
    </cfRule>
    <cfRule type="cellIs" dxfId="982" priority="1044" operator="greaterThan">
      <formula>0.85</formula>
    </cfRule>
  </conditionalFormatting>
  <conditionalFormatting sqref="AV50">
    <cfRule type="expression" dxfId="981" priority="1041">
      <formula>AV50="X"</formula>
    </cfRule>
    <cfRule type="expression" dxfId="980" priority="1042">
      <formula>AV50="후보"</formula>
    </cfRule>
  </conditionalFormatting>
  <conditionalFormatting sqref="Z50">
    <cfRule type="colorScale" priority="1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979" priority="1038" operator="greaterThan">
      <formula>0.9</formula>
    </cfRule>
    <cfRule type="cellIs" dxfId="978" priority="1039" operator="greaterThan">
      <formula>0.85</formula>
    </cfRule>
  </conditionalFormatting>
  <conditionalFormatting sqref="N50">
    <cfRule type="cellIs" dxfId="977" priority="1036" operator="greaterThan">
      <formula>0.9</formula>
    </cfRule>
    <cfRule type="cellIs" dxfId="976" priority="1037" operator="greaterThan">
      <formula>0.85</formula>
    </cfRule>
  </conditionalFormatting>
  <conditionalFormatting sqref="E50">
    <cfRule type="expression" dxfId="975" priority="1032">
      <formula>AND(IF(OR($Q50=1,$Q50=2),1,0),IF($X50&lt;=20,1,0))</formula>
    </cfRule>
    <cfRule type="expression" dxfId="974" priority="1033">
      <formula>AND(IF($Q50=2,1,0),IF($X50&lt;30,1,0))</formula>
    </cfRule>
    <cfRule type="expression" dxfId="973" priority="1034">
      <formula>AND(IF($Q50=3,1,0),IF($X50&lt;30,1,0))</formula>
    </cfRule>
    <cfRule type="expression" dxfId="972" priority="1035">
      <formula>AND(IF($Q50=3,1,IF($Q50=4,1,0)),IF($F50&lt;=85,1,0))</formula>
    </cfRule>
  </conditionalFormatting>
  <conditionalFormatting sqref="X50">
    <cfRule type="expression" dxfId="971" priority="1028">
      <formula>AND(IF(OR($Q50=1,$Q50=2),1,0),IF($X50&lt;=20,1,0))</formula>
    </cfRule>
    <cfRule type="expression" dxfId="970" priority="1029">
      <formula>AND(IF($Q50=2,1,0),IF($X50&lt;30,1,0))</formula>
    </cfRule>
    <cfRule type="expression" dxfId="969" priority="1030">
      <formula>AND(IF($Q50=3,1,0),IF($X50&lt;30,1,0))</formula>
    </cfRule>
    <cfRule type="expression" dxfId="968" priority="1031">
      <formula>AND(IF($Q50=3,1,IF($Q50=4,1,0)),IF($F50&lt;=85,1,0))</formula>
    </cfRule>
  </conditionalFormatting>
  <conditionalFormatting sqref="AI50">
    <cfRule type="expression" dxfId="967" priority="1024">
      <formula>AND(IF(OR($Q50=1,$Q50=2),1,0),IF($X50&lt;=20,1,0))</formula>
    </cfRule>
    <cfRule type="expression" dxfId="966" priority="1025">
      <formula>AND(IF($Q50=2,1,0),IF($X50&lt;30,1,0))</formula>
    </cfRule>
    <cfRule type="expression" dxfId="965" priority="1026">
      <formula>AND(IF($Q50=3,1,0),IF($X50&lt;30,1,0))</formula>
    </cfRule>
    <cfRule type="expression" dxfId="964" priority="1027">
      <formula>AND(IF($Q50=3,1,IF($Q50=4,1,0)),IF($F50&lt;=85,1,0))</formula>
    </cfRule>
  </conditionalFormatting>
  <conditionalFormatting sqref="AV51">
    <cfRule type="expression" dxfId="963" priority="1022">
      <formula>AV51="X"</formula>
    </cfRule>
    <cfRule type="expression" dxfId="962" priority="1023">
      <formula>AV51="후보"</formula>
    </cfRule>
  </conditionalFormatting>
  <conditionalFormatting sqref="Z51">
    <cfRule type="colorScale" priority="1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961" priority="1019" operator="greaterThan">
      <formula>0.9</formula>
    </cfRule>
    <cfRule type="cellIs" dxfId="960" priority="1020" operator="greaterThan">
      <formula>0.85</formula>
    </cfRule>
  </conditionalFormatting>
  <conditionalFormatting sqref="N51">
    <cfRule type="cellIs" dxfId="959" priority="1017" operator="greaterThan">
      <formula>0.9</formula>
    </cfRule>
    <cfRule type="cellIs" dxfId="958" priority="1018" operator="greaterThan">
      <formula>0.85</formula>
    </cfRule>
  </conditionalFormatting>
  <conditionalFormatting sqref="E51">
    <cfRule type="expression" dxfId="957" priority="1013">
      <formula>AND(IF(OR($Q51=1,$Q51=2),1,0),IF($X51&lt;=20,1,0))</formula>
    </cfRule>
    <cfRule type="expression" dxfId="956" priority="1014">
      <formula>AND(IF($Q51=2,1,0),IF($X51&lt;30,1,0))</formula>
    </cfRule>
    <cfRule type="expression" dxfId="955" priority="1015">
      <formula>AND(IF($Q51=3,1,0),IF($X51&lt;30,1,0))</formula>
    </cfRule>
    <cfRule type="expression" dxfId="954" priority="1016">
      <formula>AND(IF($Q51=3,1,IF($Q51=4,1,0)),IF($F51&lt;=85,1,0))</formula>
    </cfRule>
  </conditionalFormatting>
  <conditionalFormatting sqref="X51">
    <cfRule type="expression" dxfId="953" priority="1009">
      <formula>AND(IF(OR($Q51=1,$Q51=2),1,0),IF($X51&lt;=20,1,0))</formula>
    </cfRule>
    <cfRule type="expression" dxfId="952" priority="1010">
      <formula>AND(IF($Q51=2,1,0),IF($X51&lt;30,1,0))</formula>
    </cfRule>
    <cfRule type="expression" dxfId="951" priority="1011">
      <formula>AND(IF($Q51=3,1,0),IF($X51&lt;30,1,0))</formula>
    </cfRule>
    <cfRule type="expression" dxfId="950" priority="1012">
      <formula>AND(IF($Q51=3,1,IF($Q51=4,1,0)),IF($F51&lt;=85,1,0))</formula>
    </cfRule>
  </conditionalFormatting>
  <conditionalFormatting sqref="AI51">
    <cfRule type="expression" dxfId="949" priority="1005">
      <formula>AND(IF(OR($Q51=1,$Q51=2),1,0),IF($X51&lt;=20,1,0))</formula>
    </cfRule>
    <cfRule type="expression" dxfId="948" priority="1006">
      <formula>AND(IF($Q51=2,1,0),IF($X51&lt;30,1,0))</formula>
    </cfRule>
    <cfRule type="expression" dxfId="947" priority="1007">
      <formula>AND(IF($Q51=3,1,0),IF($X51&lt;30,1,0))</formula>
    </cfRule>
    <cfRule type="expression" dxfId="946" priority="1008">
      <formula>AND(IF($Q51=3,1,IF($Q51=4,1,0)),IF($F51&lt;=85,1,0))</formula>
    </cfRule>
  </conditionalFormatting>
  <conditionalFormatting sqref="AV52">
    <cfRule type="expression" dxfId="945" priority="1003">
      <formula>AV52="X"</formula>
    </cfRule>
    <cfRule type="expression" dxfId="944" priority="1004">
      <formula>AV52="후보"</formula>
    </cfRule>
  </conditionalFormatting>
  <conditionalFormatting sqref="Z52">
    <cfRule type="colorScale" priority="1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943" priority="1000" operator="greaterThan">
      <formula>0.9</formula>
    </cfRule>
    <cfRule type="cellIs" dxfId="942" priority="1001" operator="greaterThan">
      <formula>0.85</formula>
    </cfRule>
  </conditionalFormatting>
  <conditionalFormatting sqref="N52">
    <cfRule type="cellIs" dxfId="941" priority="998" operator="greaterThan">
      <formula>0.9</formula>
    </cfRule>
    <cfRule type="cellIs" dxfId="940" priority="999" operator="greaterThan">
      <formula>0.85</formula>
    </cfRule>
  </conditionalFormatting>
  <conditionalFormatting sqref="E52">
    <cfRule type="expression" dxfId="939" priority="994">
      <formula>AND(IF(OR($Q52=1,$Q52=2),1,0),IF($X52&lt;=20,1,0))</formula>
    </cfRule>
    <cfRule type="expression" dxfId="938" priority="995">
      <formula>AND(IF($Q52=2,1,0),IF($X52&lt;30,1,0))</formula>
    </cfRule>
    <cfRule type="expression" dxfId="937" priority="996">
      <formula>AND(IF($Q52=3,1,0),IF($X52&lt;30,1,0))</formula>
    </cfRule>
    <cfRule type="expression" dxfId="936" priority="997">
      <formula>AND(IF($Q52=3,1,IF($Q52=4,1,0)),IF($F52&lt;=85,1,0))</formula>
    </cfRule>
  </conditionalFormatting>
  <conditionalFormatting sqref="X52">
    <cfRule type="expression" dxfId="935" priority="990">
      <formula>AND(IF(OR($Q52=1,$Q52=2),1,0),IF($X52&lt;=20,1,0))</formula>
    </cfRule>
    <cfRule type="expression" dxfId="934" priority="991">
      <formula>AND(IF($Q52=2,1,0),IF($X52&lt;30,1,0))</formula>
    </cfRule>
    <cfRule type="expression" dxfId="933" priority="992">
      <formula>AND(IF($Q52=3,1,0),IF($X52&lt;30,1,0))</formula>
    </cfRule>
    <cfRule type="expression" dxfId="932" priority="993">
      <formula>AND(IF($Q52=3,1,IF($Q52=4,1,0)),IF($F52&lt;=85,1,0))</formula>
    </cfRule>
  </conditionalFormatting>
  <conditionalFormatting sqref="AI52">
    <cfRule type="expression" dxfId="931" priority="986">
      <formula>AND(IF(OR($Q52=1,$Q52=2),1,0),IF($X52&lt;=20,1,0))</formula>
    </cfRule>
    <cfRule type="expression" dxfId="930" priority="987">
      <formula>AND(IF($Q52=2,1,0),IF($X52&lt;30,1,0))</formula>
    </cfRule>
    <cfRule type="expression" dxfId="929" priority="988">
      <formula>AND(IF($Q52=3,1,0),IF($X52&lt;30,1,0))</formula>
    </cfRule>
    <cfRule type="expression" dxfId="928" priority="989">
      <formula>AND(IF($Q52=3,1,IF($Q52=4,1,0)),IF($F52&lt;=85,1,0))</formula>
    </cfRule>
  </conditionalFormatting>
  <conditionalFormatting sqref="AV53">
    <cfRule type="expression" dxfId="927" priority="984">
      <formula>AV53="X"</formula>
    </cfRule>
    <cfRule type="expression" dxfId="926" priority="985">
      <formula>AV53="후보"</formula>
    </cfRule>
  </conditionalFormatting>
  <conditionalFormatting sqref="Z53">
    <cfRule type="colorScale" priority="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925" priority="981" operator="greaterThan">
      <formula>0.9</formula>
    </cfRule>
    <cfRule type="cellIs" dxfId="924" priority="982" operator="greaterThan">
      <formula>0.85</formula>
    </cfRule>
  </conditionalFormatting>
  <conditionalFormatting sqref="N53">
    <cfRule type="cellIs" dxfId="923" priority="979" operator="greaterThan">
      <formula>0.9</formula>
    </cfRule>
    <cfRule type="cellIs" dxfId="922" priority="980" operator="greaterThan">
      <formula>0.85</formula>
    </cfRule>
  </conditionalFormatting>
  <conditionalFormatting sqref="E53">
    <cfRule type="expression" dxfId="921" priority="975">
      <formula>AND(IF(OR($Q53=1,$Q53=2),1,0),IF($X53&lt;=20,1,0))</formula>
    </cfRule>
    <cfRule type="expression" dxfId="920" priority="976">
      <formula>AND(IF($Q53=2,1,0),IF($X53&lt;30,1,0))</formula>
    </cfRule>
    <cfRule type="expression" dxfId="919" priority="977">
      <formula>AND(IF($Q53=3,1,0),IF($X53&lt;30,1,0))</formula>
    </cfRule>
    <cfRule type="expression" dxfId="918" priority="978">
      <formula>AND(IF($Q53=3,1,IF($Q53=4,1,0)),IF($F53&lt;=85,1,0))</formula>
    </cfRule>
  </conditionalFormatting>
  <conditionalFormatting sqref="X53">
    <cfRule type="expression" dxfId="917" priority="971">
      <formula>AND(IF(OR($Q53=1,$Q53=2),1,0),IF($X53&lt;=20,1,0))</formula>
    </cfRule>
    <cfRule type="expression" dxfId="916" priority="972">
      <formula>AND(IF($Q53=2,1,0),IF($X53&lt;30,1,0))</formula>
    </cfRule>
    <cfRule type="expression" dxfId="915" priority="973">
      <formula>AND(IF($Q53=3,1,0),IF($X53&lt;30,1,0))</formula>
    </cfRule>
    <cfRule type="expression" dxfId="914" priority="974">
      <formula>AND(IF($Q53=3,1,IF($Q53=4,1,0)),IF($F53&lt;=85,1,0))</formula>
    </cfRule>
  </conditionalFormatting>
  <conditionalFormatting sqref="AI53">
    <cfRule type="expression" dxfId="913" priority="967">
      <formula>AND(IF(OR($Q53=1,$Q53=2),1,0),IF($X53&lt;=20,1,0))</formula>
    </cfRule>
    <cfRule type="expression" dxfId="912" priority="968">
      <formula>AND(IF($Q53=2,1,0),IF($X53&lt;30,1,0))</formula>
    </cfRule>
    <cfRule type="expression" dxfId="911" priority="969">
      <formula>AND(IF($Q53=3,1,0),IF($X53&lt;30,1,0))</formula>
    </cfRule>
    <cfRule type="expression" dxfId="910" priority="970">
      <formula>AND(IF($Q53=3,1,IF($Q53=4,1,0)),IF($F53&lt;=85,1,0))</formula>
    </cfRule>
  </conditionalFormatting>
  <conditionalFormatting sqref="AV54">
    <cfRule type="expression" dxfId="909" priority="965">
      <formula>AV54="X"</formula>
    </cfRule>
    <cfRule type="expression" dxfId="908" priority="966">
      <formula>AV54="후보"</formula>
    </cfRule>
  </conditionalFormatting>
  <conditionalFormatting sqref="Z54">
    <cfRule type="colorScale" priority="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907" priority="962" operator="greaterThan">
      <formula>0.9</formula>
    </cfRule>
    <cfRule type="cellIs" dxfId="906" priority="963" operator="greaterThan">
      <formula>0.85</formula>
    </cfRule>
  </conditionalFormatting>
  <conditionalFormatting sqref="N54">
    <cfRule type="cellIs" dxfId="905" priority="960" operator="greaterThan">
      <formula>0.9</formula>
    </cfRule>
    <cfRule type="cellIs" dxfId="904" priority="961" operator="greaterThan">
      <formula>0.85</formula>
    </cfRule>
  </conditionalFormatting>
  <conditionalFormatting sqref="E54">
    <cfRule type="expression" dxfId="903" priority="956">
      <formula>AND(IF(OR($Q54=1,$Q54=2),1,0),IF($X54&lt;=20,1,0))</formula>
    </cfRule>
    <cfRule type="expression" dxfId="902" priority="957">
      <formula>AND(IF($Q54=2,1,0),IF($X54&lt;30,1,0))</formula>
    </cfRule>
    <cfRule type="expression" dxfId="901" priority="958">
      <formula>AND(IF($Q54=3,1,0),IF($X54&lt;30,1,0))</formula>
    </cfRule>
    <cfRule type="expression" dxfId="900" priority="959">
      <formula>AND(IF($Q54=3,1,IF($Q54=4,1,0)),IF($F54&lt;=85,1,0))</formula>
    </cfRule>
  </conditionalFormatting>
  <conditionalFormatting sqref="X54">
    <cfRule type="expression" dxfId="899" priority="952">
      <formula>AND(IF(OR($Q54=1,$Q54=2),1,0),IF($X54&lt;=20,1,0))</formula>
    </cfRule>
    <cfRule type="expression" dxfId="898" priority="953">
      <formula>AND(IF($Q54=2,1,0),IF($X54&lt;30,1,0))</formula>
    </cfRule>
    <cfRule type="expression" dxfId="897" priority="954">
      <formula>AND(IF($Q54=3,1,0),IF($X54&lt;30,1,0))</formula>
    </cfRule>
    <cfRule type="expression" dxfId="896" priority="955">
      <formula>AND(IF($Q54=3,1,IF($Q54=4,1,0)),IF($F54&lt;=85,1,0))</formula>
    </cfRule>
  </conditionalFormatting>
  <conditionalFormatting sqref="AI54">
    <cfRule type="expression" dxfId="895" priority="948">
      <formula>AND(IF(OR($Q54=1,$Q54=2),1,0),IF($X54&lt;=20,1,0))</formula>
    </cfRule>
    <cfRule type="expression" dxfId="894" priority="949">
      <formula>AND(IF($Q54=2,1,0),IF($X54&lt;30,1,0))</formula>
    </cfRule>
    <cfRule type="expression" dxfId="893" priority="950">
      <formula>AND(IF($Q54=3,1,0),IF($X54&lt;30,1,0))</formula>
    </cfRule>
    <cfRule type="expression" dxfId="892" priority="951">
      <formula>AND(IF($Q54=3,1,IF($Q54=4,1,0)),IF($F54&lt;=85,1,0))</formula>
    </cfRule>
  </conditionalFormatting>
  <conditionalFormatting sqref="AV55">
    <cfRule type="expression" dxfId="891" priority="946">
      <formula>AV55="X"</formula>
    </cfRule>
    <cfRule type="expression" dxfId="890" priority="947">
      <formula>AV55="후보"</formula>
    </cfRule>
  </conditionalFormatting>
  <conditionalFormatting sqref="Z55">
    <cfRule type="colorScale" priority="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889" priority="943" operator="greaterThan">
      <formula>0.9</formula>
    </cfRule>
    <cfRule type="cellIs" dxfId="888" priority="944" operator="greaterThan">
      <formula>0.85</formula>
    </cfRule>
  </conditionalFormatting>
  <conditionalFormatting sqref="N55">
    <cfRule type="cellIs" dxfId="887" priority="941" operator="greaterThan">
      <formula>0.9</formula>
    </cfRule>
    <cfRule type="cellIs" dxfId="886" priority="942" operator="greaterThan">
      <formula>0.85</formula>
    </cfRule>
  </conditionalFormatting>
  <conditionalFormatting sqref="E55">
    <cfRule type="expression" dxfId="885" priority="937">
      <formula>AND(IF(OR($Q55=1,$Q55=2),1,0),IF($X55&lt;=20,1,0))</formula>
    </cfRule>
    <cfRule type="expression" dxfId="884" priority="938">
      <formula>AND(IF($Q55=2,1,0),IF($X55&lt;30,1,0))</formula>
    </cfRule>
    <cfRule type="expression" dxfId="883" priority="939">
      <formula>AND(IF($Q55=3,1,0),IF($X55&lt;30,1,0))</formula>
    </cfRule>
    <cfRule type="expression" dxfId="882" priority="940">
      <formula>AND(IF($Q55=3,1,IF($Q55=4,1,0)),IF($F55&lt;=85,1,0))</formula>
    </cfRule>
  </conditionalFormatting>
  <conditionalFormatting sqref="X55">
    <cfRule type="expression" dxfId="881" priority="933">
      <formula>AND(IF(OR($Q55=1,$Q55=2),1,0),IF($X55&lt;=20,1,0))</formula>
    </cfRule>
    <cfRule type="expression" dxfId="880" priority="934">
      <formula>AND(IF($Q55=2,1,0),IF($X55&lt;30,1,0))</formula>
    </cfRule>
    <cfRule type="expression" dxfId="879" priority="935">
      <formula>AND(IF($Q55=3,1,0),IF($X55&lt;30,1,0))</formula>
    </cfRule>
    <cfRule type="expression" dxfId="878" priority="936">
      <formula>AND(IF($Q55=3,1,IF($Q55=4,1,0)),IF($F55&lt;=85,1,0))</formula>
    </cfRule>
  </conditionalFormatting>
  <conditionalFormatting sqref="AI55">
    <cfRule type="expression" dxfId="877" priority="929">
      <formula>AND(IF(OR($Q55=1,$Q55=2),1,0),IF($X55&lt;=20,1,0))</formula>
    </cfRule>
    <cfRule type="expression" dxfId="876" priority="930">
      <formula>AND(IF($Q55=2,1,0),IF($X55&lt;30,1,0))</formula>
    </cfRule>
    <cfRule type="expression" dxfId="875" priority="931">
      <formula>AND(IF($Q55=3,1,0),IF($X55&lt;30,1,0))</formula>
    </cfRule>
    <cfRule type="expression" dxfId="874" priority="932">
      <formula>AND(IF($Q55=3,1,IF($Q55=4,1,0)),IF($F55&lt;=85,1,0))</formula>
    </cfRule>
  </conditionalFormatting>
  <conditionalFormatting sqref="AV56">
    <cfRule type="expression" dxfId="873" priority="927">
      <formula>AV56="X"</formula>
    </cfRule>
    <cfRule type="expression" dxfId="872" priority="928">
      <formula>AV56="후보"</formula>
    </cfRule>
  </conditionalFormatting>
  <conditionalFormatting sqref="Z56">
    <cfRule type="colorScale" priority="9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871" priority="924" operator="greaterThan">
      <formula>0.9</formula>
    </cfRule>
    <cfRule type="cellIs" dxfId="870" priority="925" operator="greaterThan">
      <formula>0.85</formula>
    </cfRule>
  </conditionalFormatting>
  <conditionalFormatting sqref="AV57">
    <cfRule type="expression" dxfId="869" priority="922">
      <formula>AV57="X"</formula>
    </cfRule>
    <cfRule type="expression" dxfId="868" priority="923">
      <formula>AV57="후보"</formula>
    </cfRule>
  </conditionalFormatting>
  <conditionalFormatting sqref="Z57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867" priority="919" operator="greaterThan">
      <formula>0.9</formula>
    </cfRule>
    <cfRule type="cellIs" dxfId="866" priority="920" operator="greaterThan">
      <formula>0.85</formula>
    </cfRule>
  </conditionalFormatting>
  <conditionalFormatting sqref="N57">
    <cfRule type="cellIs" dxfId="865" priority="917" operator="greaterThan">
      <formula>0.9</formula>
    </cfRule>
    <cfRule type="cellIs" dxfId="864" priority="918" operator="greaterThan">
      <formula>0.85</formula>
    </cfRule>
  </conditionalFormatting>
  <conditionalFormatting sqref="E57">
    <cfRule type="expression" dxfId="863" priority="913">
      <formula>AND(IF(OR($Q57=1,$Q57=2),1,0),IF($X57&lt;=20,1,0))</formula>
    </cfRule>
    <cfRule type="expression" dxfId="862" priority="914">
      <formula>AND(IF($Q57=2,1,0),IF($X57&lt;30,1,0))</formula>
    </cfRule>
    <cfRule type="expression" dxfId="861" priority="915">
      <formula>AND(IF($Q57=3,1,0),IF($X57&lt;30,1,0))</formula>
    </cfRule>
    <cfRule type="expression" dxfId="860" priority="916">
      <formula>AND(IF($Q57=3,1,IF($Q57=4,1,0)),IF($F57&lt;=85,1,0))</formula>
    </cfRule>
  </conditionalFormatting>
  <conditionalFormatting sqref="X57">
    <cfRule type="expression" dxfId="859" priority="909">
      <formula>AND(IF(OR($Q57=1,$Q57=2),1,0),IF($X57&lt;=20,1,0))</formula>
    </cfRule>
    <cfRule type="expression" dxfId="858" priority="910">
      <formula>AND(IF($Q57=2,1,0),IF($X57&lt;30,1,0))</formula>
    </cfRule>
    <cfRule type="expression" dxfId="857" priority="911">
      <formula>AND(IF($Q57=3,1,0),IF($X57&lt;30,1,0))</formula>
    </cfRule>
    <cfRule type="expression" dxfId="856" priority="912">
      <formula>AND(IF($Q57=3,1,IF($Q57=4,1,0)),IF($F57&lt;=85,1,0))</formula>
    </cfRule>
  </conditionalFormatting>
  <conditionalFormatting sqref="AI57">
    <cfRule type="expression" dxfId="855" priority="905">
      <formula>AND(IF(OR($Q57=1,$Q57=2),1,0),IF($X57&lt;=20,1,0))</formula>
    </cfRule>
    <cfRule type="expression" dxfId="854" priority="906">
      <formula>AND(IF($Q57=2,1,0),IF($X57&lt;30,1,0))</formula>
    </cfRule>
    <cfRule type="expression" dxfId="853" priority="907">
      <formula>AND(IF($Q57=3,1,0),IF($X57&lt;30,1,0))</formula>
    </cfRule>
    <cfRule type="expression" dxfId="852" priority="908">
      <formula>AND(IF($Q57=3,1,IF($Q57=4,1,0)),IF($F57&lt;=85,1,0))</formula>
    </cfRule>
  </conditionalFormatting>
  <conditionalFormatting sqref="AV58">
    <cfRule type="expression" dxfId="851" priority="903">
      <formula>AV58="X"</formula>
    </cfRule>
    <cfRule type="expression" dxfId="850" priority="904">
      <formula>AV58="후보"</formula>
    </cfRule>
  </conditionalFormatting>
  <conditionalFormatting sqref="Z58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849" priority="900" operator="greaterThan">
      <formula>0.9</formula>
    </cfRule>
    <cfRule type="cellIs" dxfId="848" priority="901" operator="greaterThan">
      <formula>0.85</formula>
    </cfRule>
  </conditionalFormatting>
  <conditionalFormatting sqref="N58">
    <cfRule type="cellIs" dxfId="847" priority="898" operator="greaterThan">
      <formula>0.9</formula>
    </cfRule>
    <cfRule type="cellIs" dxfId="846" priority="899" operator="greaterThan">
      <formula>0.85</formula>
    </cfRule>
  </conditionalFormatting>
  <conditionalFormatting sqref="E58">
    <cfRule type="expression" dxfId="845" priority="894">
      <formula>AND(IF(OR($Q58=1,$Q58=2),1,0),IF($X58&lt;=20,1,0))</formula>
    </cfRule>
    <cfRule type="expression" dxfId="844" priority="895">
      <formula>AND(IF($Q58=2,1,0),IF($X58&lt;30,1,0))</formula>
    </cfRule>
    <cfRule type="expression" dxfId="843" priority="896">
      <formula>AND(IF($Q58=3,1,0),IF($X58&lt;30,1,0))</formula>
    </cfRule>
    <cfRule type="expression" dxfId="842" priority="897">
      <formula>AND(IF($Q58=3,1,IF($Q58=4,1,0)),IF($F58&lt;=85,1,0))</formula>
    </cfRule>
  </conditionalFormatting>
  <conditionalFormatting sqref="X58">
    <cfRule type="expression" dxfId="841" priority="890">
      <formula>AND(IF(OR($Q58=1,$Q58=2),1,0),IF($X58&lt;=20,1,0))</formula>
    </cfRule>
    <cfRule type="expression" dxfId="840" priority="891">
      <formula>AND(IF($Q58=2,1,0),IF($X58&lt;30,1,0))</formula>
    </cfRule>
    <cfRule type="expression" dxfId="839" priority="892">
      <formula>AND(IF($Q58=3,1,0),IF($X58&lt;30,1,0))</formula>
    </cfRule>
    <cfRule type="expression" dxfId="838" priority="893">
      <formula>AND(IF($Q58=3,1,IF($Q58=4,1,0)),IF($F58&lt;=85,1,0))</formula>
    </cfRule>
  </conditionalFormatting>
  <conditionalFormatting sqref="AI58">
    <cfRule type="expression" dxfId="837" priority="886">
      <formula>AND(IF(OR($Q58=1,$Q58=2),1,0),IF($X58&lt;=20,1,0))</formula>
    </cfRule>
    <cfRule type="expression" dxfId="836" priority="887">
      <formula>AND(IF($Q58=2,1,0),IF($X58&lt;30,1,0))</formula>
    </cfRule>
    <cfRule type="expression" dxfId="835" priority="888">
      <formula>AND(IF($Q58=3,1,0),IF($X58&lt;30,1,0))</formula>
    </cfRule>
    <cfRule type="expression" dxfId="834" priority="889">
      <formula>AND(IF($Q58=3,1,IF($Q58=4,1,0)),IF($F58&lt;=85,1,0))</formula>
    </cfRule>
  </conditionalFormatting>
  <conditionalFormatting sqref="AV59">
    <cfRule type="expression" dxfId="833" priority="884">
      <formula>AV59="X"</formula>
    </cfRule>
    <cfRule type="expression" dxfId="832" priority="885">
      <formula>AV59="후보"</formula>
    </cfRule>
  </conditionalFormatting>
  <conditionalFormatting sqref="Z59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831" priority="881" operator="greaterThan">
      <formula>0.9</formula>
    </cfRule>
    <cfRule type="cellIs" dxfId="830" priority="882" operator="greaterThan">
      <formula>0.85</formula>
    </cfRule>
  </conditionalFormatting>
  <conditionalFormatting sqref="N59">
    <cfRule type="cellIs" dxfId="829" priority="879" operator="greaterThan">
      <formula>0.9</formula>
    </cfRule>
    <cfRule type="cellIs" dxfId="828" priority="880" operator="greaterThan">
      <formula>0.85</formula>
    </cfRule>
  </conditionalFormatting>
  <conditionalFormatting sqref="E59">
    <cfRule type="expression" dxfId="827" priority="875">
      <formula>AND(IF(OR($Q59=1,$Q59=2),1,0),IF($X59&lt;=20,1,0))</formula>
    </cfRule>
    <cfRule type="expression" dxfId="826" priority="876">
      <formula>AND(IF($Q59=2,1,0),IF($X59&lt;30,1,0))</formula>
    </cfRule>
    <cfRule type="expression" dxfId="825" priority="877">
      <formula>AND(IF($Q59=3,1,0),IF($X59&lt;30,1,0))</formula>
    </cfRule>
    <cfRule type="expression" dxfId="824" priority="878">
      <formula>AND(IF($Q59=3,1,IF($Q59=4,1,0)),IF($F59&lt;=85,1,0))</formula>
    </cfRule>
  </conditionalFormatting>
  <conditionalFormatting sqref="X59">
    <cfRule type="expression" dxfId="823" priority="871">
      <formula>AND(IF(OR($Q59=1,$Q59=2),1,0),IF($X59&lt;=20,1,0))</formula>
    </cfRule>
    <cfRule type="expression" dxfId="822" priority="872">
      <formula>AND(IF($Q59=2,1,0),IF($X59&lt;30,1,0))</formula>
    </cfRule>
    <cfRule type="expression" dxfId="821" priority="873">
      <formula>AND(IF($Q59=3,1,0),IF($X59&lt;30,1,0))</formula>
    </cfRule>
    <cfRule type="expression" dxfId="820" priority="874">
      <formula>AND(IF($Q59=3,1,IF($Q59=4,1,0)),IF($F59&lt;=85,1,0))</formula>
    </cfRule>
  </conditionalFormatting>
  <conditionalFormatting sqref="AI59">
    <cfRule type="expression" dxfId="819" priority="867">
      <formula>AND(IF(OR($Q59=1,$Q59=2),1,0),IF($X59&lt;=20,1,0))</formula>
    </cfRule>
    <cfRule type="expression" dxfId="818" priority="868">
      <formula>AND(IF($Q59=2,1,0),IF($X59&lt;30,1,0))</formula>
    </cfRule>
    <cfRule type="expression" dxfId="817" priority="869">
      <formula>AND(IF($Q59=3,1,0),IF($X59&lt;30,1,0))</formula>
    </cfRule>
    <cfRule type="expression" dxfId="816" priority="870">
      <formula>AND(IF($Q59=3,1,IF($Q59=4,1,0)),IF($F59&lt;=85,1,0))</formula>
    </cfRule>
  </conditionalFormatting>
  <conditionalFormatting sqref="AV60">
    <cfRule type="expression" dxfId="815" priority="865">
      <formula>AV60="X"</formula>
    </cfRule>
    <cfRule type="expression" dxfId="814" priority="866">
      <formula>AV60="후보"</formula>
    </cfRule>
  </conditionalFormatting>
  <conditionalFormatting sqref="Z60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813" priority="862" operator="greaterThan">
      <formula>0.9</formula>
    </cfRule>
    <cfRule type="cellIs" dxfId="812" priority="863" operator="greaterThan">
      <formula>0.85</formula>
    </cfRule>
  </conditionalFormatting>
  <conditionalFormatting sqref="AV61">
    <cfRule type="expression" dxfId="811" priority="860">
      <formula>AV61="X"</formula>
    </cfRule>
    <cfRule type="expression" dxfId="810" priority="861">
      <formula>AV61="후보"</formula>
    </cfRule>
  </conditionalFormatting>
  <conditionalFormatting sqref="Z61">
    <cfRule type="colorScale" priority="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809" priority="857" operator="greaterThan">
      <formula>0.9</formula>
    </cfRule>
    <cfRule type="cellIs" dxfId="808" priority="858" operator="greaterThan">
      <formula>0.85</formula>
    </cfRule>
  </conditionalFormatting>
  <conditionalFormatting sqref="N61">
    <cfRule type="cellIs" dxfId="807" priority="855" operator="greaterThan">
      <formula>0.9</formula>
    </cfRule>
    <cfRule type="cellIs" dxfId="806" priority="856" operator="greaterThan">
      <formula>0.85</formula>
    </cfRule>
  </conditionalFormatting>
  <conditionalFormatting sqref="E61">
    <cfRule type="expression" dxfId="805" priority="851">
      <formula>AND(IF(OR($Q61=1,$Q61=2),1,0),IF($X61&lt;=20,1,0))</formula>
    </cfRule>
    <cfRule type="expression" dxfId="804" priority="852">
      <formula>AND(IF($Q61=2,1,0),IF($X61&lt;30,1,0))</formula>
    </cfRule>
    <cfRule type="expression" dxfId="803" priority="853">
      <formula>AND(IF($Q61=3,1,0),IF($X61&lt;30,1,0))</formula>
    </cfRule>
    <cfRule type="expression" dxfId="802" priority="854">
      <formula>AND(IF($Q61=3,1,IF($Q61=4,1,0)),IF($F61&lt;=85,1,0))</formula>
    </cfRule>
  </conditionalFormatting>
  <conditionalFormatting sqref="X61">
    <cfRule type="expression" dxfId="801" priority="847">
      <formula>AND(IF(OR($Q61=1,$Q61=2),1,0),IF($X61&lt;=20,1,0))</formula>
    </cfRule>
    <cfRule type="expression" dxfId="800" priority="848">
      <formula>AND(IF($Q61=2,1,0),IF($X61&lt;30,1,0))</formula>
    </cfRule>
    <cfRule type="expression" dxfId="799" priority="849">
      <formula>AND(IF($Q61=3,1,0),IF($X61&lt;30,1,0))</formula>
    </cfRule>
    <cfRule type="expression" dxfId="798" priority="850">
      <formula>AND(IF($Q61=3,1,IF($Q61=4,1,0)),IF($F61&lt;=85,1,0))</formula>
    </cfRule>
  </conditionalFormatting>
  <conditionalFormatting sqref="AI61">
    <cfRule type="expression" dxfId="797" priority="843">
      <formula>AND(IF(OR($Q61=1,$Q61=2),1,0),IF($X61&lt;=20,1,0))</formula>
    </cfRule>
    <cfRule type="expression" dxfId="796" priority="844">
      <formula>AND(IF($Q61=2,1,0),IF($X61&lt;30,1,0))</formula>
    </cfRule>
    <cfRule type="expression" dxfId="795" priority="845">
      <formula>AND(IF($Q61=3,1,0),IF($X61&lt;30,1,0))</formula>
    </cfRule>
    <cfRule type="expression" dxfId="794" priority="846">
      <formula>AND(IF($Q61=3,1,IF($Q61=4,1,0)),IF($F61&lt;=85,1,0))</formula>
    </cfRule>
  </conditionalFormatting>
  <conditionalFormatting sqref="AV62">
    <cfRule type="expression" dxfId="793" priority="841">
      <formula>AV62="X"</formula>
    </cfRule>
    <cfRule type="expression" dxfId="792" priority="842">
      <formula>AV62="후보"</formula>
    </cfRule>
  </conditionalFormatting>
  <conditionalFormatting sqref="Z62">
    <cfRule type="colorScale" priority="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791" priority="838" operator="greaterThan">
      <formula>0.9</formula>
    </cfRule>
    <cfRule type="cellIs" dxfId="790" priority="839" operator="greaterThan">
      <formula>0.85</formula>
    </cfRule>
  </conditionalFormatting>
  <conditionalFormatting sqref="N62">
    <cfRule type="cellIs" dxfId="789" priority="836" operator="greaterThan">
      <formula>0.9</formula>
    </cfRule>
    <cfRule type="cellIs" dxfId="788" priority="837" operator="greaterThan">
      <formula>0.85</formula>
    </cfRule>
  </conditionalFormatting>
  <conditionalFormatting sqref="E62">
    <cfRule type="expression" dxfId="787" priority="832">
      <formula>AND(IF(OR($Q62=1,$Q62=2),1,0),IF($X62&lt;=20,1,0))</formula>
    </cfRule>
    <cfRule type="expression" dxfId="786" priority="833">
      <formula>AND(IF($Q62=2,1,0),IF($X62&lt;30,1,0))</formula>
    </cfRule>
    <cfRule type="expression" dxfId="785" priority="834">
      <formula>AND(IF($Q62=3,1,0),IF($X62&lt;30,1,0))</formula>
    </cfRule>
    <cfRule type="expression" dxfId="784" priority="835">
      <formula>AND(IF($Q62=3,1,IF($Q62=4,1,0)),IF($F62&lt;=85,1,0))</formula>
    </cfRule>
  </conditionalFormatting>
  <conditionalFormatting sqref="X62">
    <cfRule type="expression" dxfId="783" priority="828">
      <formula>AND(IF(OR($Q62=1,$Q62=2),1,0),IF($X62&lt;=20,1,0))</formula>
    </cfRule>
    <cfRule type="expression" dxfId="782" priority="829">
      <formula>AND(IF($Q62=2,1,0),IF($X62&lt;30,1,0))</formula>
    </cfRule>
    <cfRule type="expression" dxfId="781" priority="830">
      <formula>AND(IF($Q62=3,1,0),IF($X62&lt;30,1,0))</formula>
    </cfRule>
    <cfRule type="expression" dxfId="780" priority="831">
      <formula>AND(IF($Q62=3,1,IF($Q62=4,1,0)),IF($F62&lt;=85,1,0))</formula>
    </cfRule>
  </conditionalFormatting>
  <conditionalFormatting sqref="AI62">
    <cfRule type="expression" dxfId="779" priority="824">
      <formula>AND(IF(OR($Q62=1,$Q62=2),1,0),IF($X62&lt;=20,1,0))</formula>
    </cfRule>
    <cfRule type="expression" dxfId="778" priority="825">
      <formula>AND(IF($Q62=2,1,0),IF($X62&lt;30,1,0))</formula>
    </cfRule>
    <cfRule type="expression" dxfId="777" priority="826">
      <formula>AND(IF($Q62=3,1,0),IF($X62&lt;30,1,0))</formula>
    </cfRule>
    <cfRule type="expression" dxfId="776" priority="827">
      <formula>AND(IF($Q62=3,1,IF($Q62=4,1,0)),IF($F62&lt;=85,1,0))</formula>
    </cfRule>
  </conditionalFormatting>
  <conditionalFormatting sqref="AV63">
    <cfRule type="expression" dxfId="775" priority="822">
      <formula>AV63="X"</formula>
    </cfRule>
    <cfRule type="expression" dxfId="774" priority="823">
      <formula>AV63="후보"</formula>
    </cfRule>
  </conditionalFormatting>
  <conditionalFormatting sqref="Z63">
    <cfRule type="colorScale" priority="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773" priority="819" operator="greaterThan">
      <formula>0.9</formula>
    </cfRule>
    <cfRule type="cellIs" dxfId="772" priority="820" operator="greaterThan">
      <formula>0.85</formula>
    </cfRule>
  </conditionalFormatting>
  <conditionalFormatting sqref="N63">
    <cfRule type="cellIs" dxfId="771" priority="817" operator="greaterThan">
      <formula>0.9</formula>
    </cfRule>
    <cfRule type="cellIs" dxfId="770" priority="818" operator="greaterThan">
      <formula>0.85</formula>
    </cfRule>
  </conditionalFormatting>
  <conditionalFormatting sqref="E63">
    <cfRule type="expression" dxfId="769" priority="813">
      <formula>AND(IF(OR($Q63=1,$Q63=2),1,0),IF($X63&lt;=20,1,0))</formula>
    </cfRule>
    <cfRule type="expression" dxfId="768" priority="814">
      <formula>AND(IF($Q63=2,1,0),IF($X63&lt;30,1,0))</formula>
    </cfRule>
    <cfRule type="expression" dxfId="767" priority="815">
      <formula>AND(IF($Q63=3,1,0),IF($X63&lt;30,1,0))</formula>
    </cfRule>
    <cfRule type="expression" dxfId="766" priority="816">
      <formula>AND(IF($Q63=3,1,IF($Q63=4,1,0)),IF($F63&lt;=85,1,0))</formula>
    </cfRule>
  </conditionalFormatting>
  <conditionalFormatting sqref="X63">
    <cfRule type="expression" dxfId="765" priority="809">
      <formula>AND(IF(OR($Q63=1,$Q63=2),1,0),IF($X63&lt;=20,1,0))</formula>
    </cfRule>
    <cfRule type="expression" dxfId="764" priority="810">
      <formula>AND(IF($Q63=2,1,0),IF($X63&lt;30,1,0))</formula>
    </cfRule>
    <cfRule type="expression" dxfId="763" priority="811">
      <formula>AND(IF($Q63=3,1,0),IF($X63&lt;30,1,0))</formula>
    </cfRule>
    <cfRule type="expression" dxfId="762" priority="812">
      <formula>AND(IF($Q63=3,1,IF($Q63=4,1,0)),IF($F63&lt;=85,1,0))</formula>
    </cfRule>
  </conditionalFormatting>
  <conditionalFormatting sqref="AI63">
    <cfRule type="expression" dxfId="761" priority="805">
      <formula>AND(IF(OR($Q63=1,$Q63=2),1,0),IF($X63&lt;=20,1,0))</formula>
    </cfRule>
    <cfRule type="expression" dxfId="760" priority="806">
      <formula>AND(IF($Q63=2,1,0),IF($X63&lt;30,1,0))</formula>
    </cfRule>
    <cfRule type="expression" dxfId="759" priority="807">
      <formula>AND(IF($Q63=3,1,0),IF($X63&lt;30,1,0))</formula>
    </cfRule>
    <cfRule type="expression" dxfId="758" priority="808">
      <formula>AND(IF($Q63=3,1,IF($Q63=4,1,0)),IF($F63&lt;=85,1,0))</formula>
    </cfRule>
  </conditionalFormatting>
  <conditionalFormatting sqref="AV64">
    <cfRule type="expression" dxfId="757" priority="803">
      <formula>AV64="X"</formula>
    </cfRule>
    <cfRule type="expression" dxfId="756" priority="804">
      <formula>AV64="후보"</formula>
    </cfRule>
  </conditionalFormatting>
  <conditionalFormatting sqref="Z64">
    <cfRule type="colorScale" priority="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755" priority="800" operator="greaterThan">
      <formula>0.9</formula>
    </cfRule>
    <cfRule type="cellIs" dxfId="754" priority="801" operator="greaterThan">
      <formula>0.85</formula>
    </cfRule>
  </conditionalFormatting>
  <conditionalFormatting sqref="N64">
    <cfRule type="cellIs" dxfId="753" priority="798" operator="greaterThan">
      <formula>0.9</formula>
    </cfRule>
    <cfRule type="cellIs" dxfId="752" priority="799" operator="greaterThan">
      <formula>0.85</formula>
    </cfRule>
  </conditionalFormatting>
  <conditionalFormatting sqref="E64">
    <cfRule type="expression" dxfId="751" priority="794">
      <formula>AND(IF(OR($Q64=1,$Q64=2),1,0),IF($X64&lt;=20,1,0))</formula>
    </cfRule>
    <cfRule type="expression" dxfId="750" priority="795">
      <formula>AND(IF($Q64=2,1,0),IF($X64&lt;30,1,0))</formula>
    </cfRule>
    <cfRule type="expression" dxfId="749" priority="796">
      <formula>AND(IF($Q64=3,1,0),IF($X64&lt;30,1,0))</formula>
    </cfRule>
    <cfRule type="expression" dxfId="748" priority="797">
      <formula>AND(IF($Q64=3,1,IF($Q64=4,1,0)),IF($F64&lt;=85,1,0))</formula>
    </cfRule>
  </conditionalFormatting>
  <conditionalFormatting sqref="X64">
    <cfRule type="expression" dxfId="747" priority="790">
      <formula>AND(IF(OR($Q64=1,$Q64=2),1,0),IF($X64&lt;=20,1,0))</formula>
    </cfRule>
    <cfRule type="expression" dxfId="746" priority="791">
      <formula>AND(IF($Q64=2,1,0),IF($X64&lt;30,1,0))</formula>
    </cfRule>
    <cfRule type="expression" dxfId="745" priority="792">
      <formula>AND(IF($Q64=3,1,0),IF($X64&lt;30,1,0))</formula>
    </cfRule>
    <cfRule type="expression" dxfId="744" priority="793">
      <formula>AND(IF($Q64=3,1,IF($Q64=4,1,0)),IF($F64&lt;=85,1,0))</formula>
    </cfRule>
  </conditionalFormatting>
  <conditionalFormatting sqref="AI64">
    <cfRule type="expression" dxfId="743" priority="786">
      <formula>AND(IF(OR($Q64=1,$Q64=2),1,0),IF($X64&lt;=20,1,0))</formula>
    </cfRule>
    <cfRule type="expression" dxfId="742" priority="787">
      <formula>AND(IF($Q64=2,1,0),IF($X64&lt;30,1,0))</formula>
    </cfRule>
    <cfRule type="expression" dxfId="741" priority="788">
      <formula>AND(IF($Q64=3,1,0),IF($X64&lt;30,1,0))</formula>
    </cfRule>
    <cfRule type="expression" dxfId="740" priority="789">
      <formula>AND(IF($Q64=3,1,IF($Q64=4,1,0)),IF($F64&lt;=85,1,0))</formula>
    </cfRule>
  </conditionalFormatting>
  <conditionalFormatting sqref="AV65">
    <cfRule type="expression" dxfId="739" priority="784">
      <formula>AV65="X"</formula>
    </cfRule>
    <cfRule type="expression" dxfId="738" priority="785">
      <formula>AV65="후보"</formula>
    </cfRule>
  </conditionalFormatting>
  <conditionalFormatting sqref="Z65">
    <cfRule type="colorScale" priority="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737" priority="781" operator="greaterThan">
      <formula>0.9</formula>
    </cfRule>
    <cfRule type="cellIs" dxfId="736" priority="782" operator="greaterThan">
      <formula>0.85</formula>
    </cfRule>
  </conditionalFormatting>
  <conditionalFormatting sqref="N65">
    <cfRule type="cellIs" dxfId="735" priority="779" operator="greaterThan">
      <formula>0.9</formula>
    </cfRule>
    <cfRule type="cellIs" dxfId="734" priority="780" operator="greaterThan">
      <formula>0.85</formula>
    </cfRule>
  </conditionalFormatting>
  <conditionalFormatting sqref="E65">
    <cfRule type="expression" dxfId="733" priority="775">
      <formula>AND(IF(OR($Q65=1,$Q65=2),1,0),IF($X65&lt;=20,1,0))</formula>
    </cfRule>
    <cfRule type="expression" dxfId="732" priority="776">
      <formula>AND(IF($Q65=2,1,0),IF($X65&lt;30,1,0))</formula>
    </cfRule>
    <cfRule type="expression" dxfId="731" priority="777">
      <formula>AND(IF($Q65=3,1,0),IF($X65&lt;30,1,0))</formula>
    </cfRule>
    <cfRule type="expression" dxfId="730" priority="778">
      <formula>AND(IF($Q65=3,1,IF($Q65=4,1,0)),IF($F65&lt;=85,1,0))</formula>
    </cfRule>
  </conditionalFormatting>
  <conditionalFormatting sqref="X65">
    <cfRule type="expression" dxfId="729" priority="771">
      <formula>AND(IF(OR($Q65=1,$Q65=2),1,0),IF($X65&lt;=20,1,0))</formula>
    </cfRule>
    <cfRule type="expression" dxfId="728" priority="772">
      <formula>AND(IF($Q65=2,1,0),IF($X65&lt;30,1,0))</formula>
    </cfRule>
    <cfRule type="expression" dxfId="727" priority="773">
      <formula>AND(IF($Q65=3,1,0),IF($X65&lt;30,1,0))</formula>
    </cfRule>
    <cfRule type="expression" dxfId="726" priority="774">
      <formula>AND(IF($Q65=3,1,IF($Q65=4,1,0)),IF($F65&lt;=85,1,0))</formula>
    </cfRule>
  </conditionalFormatting>
  <conditionalFormatting sqref="AI65">
    <cfRule type="expression" dxfId="725" priority="767">
      <formula>AND(IF(OR($Q65=1,$Q65=2),1,0),IF($X65&lt;=20,1,0))</formula>
    </cfRule>
    <cfRule type="expression" dxfId="724" priority="768">
      <formula>AND(IF($Q65=2,1,0),IF($X65&lt;30,1,0))</formula>
    </cfRule>
    <cfRule type="expression" dxfId="723" priority="769">
      <formula>AND(IF($Q65=3,1,0),IF($X65&lt;30,1,0))</formula>
    </cfRule>
    <cfRule type="expression" dxfId="722" priority="770">
      <formula>AND(IF($Q65=3,1,IF($Q65=4,1,0)),IF($F65&lt;=85,1,0))</formula>
    </cfRule>
  </conditionalFormatting>
  <conditionalFormatting sqref="AV66">
    <cfRule type="expression" dxfId="721" priority="765">
      <formula>AV66="X"</formula>
    </cfRule>
    <cfRule type="expression" dxfId="720" priority="766">
      <formula>AV66="후보"</formula>
    </cfRule>
  </conditionalFormatting>
  <conditionalFormatting sqref="Z66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719" priority="762" operator="greaterThan">
      <formula>0.9</formula>
    </cfRule>
    <cfRule type="cellIs" dxfId="718" priority="763" operator="greaterThan">
      <formula>0.85</formula>
    </cfRule>
  </conditionalFormatting>
  <conditionalFormatting sqref="AV67">
    <cfRule type="expression" dxfId="717" priority="760">
      <formula>AV67="X"</formula>
    </cfRule>
    <cfRule type="expression" dxfId="716" priority="761">
      <formula>AV67="후보"</formula>
    </cfRule>
  </conditionalFormatting>
  <conditionalFormatting sqref="Z67">
    <cfRule type="colorScale" priority="7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715" priority="757" operator="greaterThan">
      <formula>0.9</formula>
    </cfRule>
    <cfRule type="cellIs" dxfId="714" priority="758" operator="greaterThan">
      <formula>0.85</formula>
    </cfRule>
  </conditionalFormatting>
  <conditionalFormatting sqref="N67">
    <cfRule type="cellIs" dxfId="713" priority="755" operator="greaterThan">
      <formula>0.9</formula>
    </cfRule>
    <cfRule type="cellIs" dxfId="712" priority="756" operator="greaterThan">
      <formula>0.85</formula>
    </cfRule>
  </conditionalFormatting>
  <conditionalFormatting sqref="E67">
    <cfRule type="expression" dxfId="711" priority="751">
      <formula>AND(IF(OR($Q67=1,$Q67=2),1,0),IF($X67&lt;=20,1,0))</formula>
    </cfRule>
    <cfRule type="expression" dxfId="710" priority="752">
      <formula>AND(IF($Q67=2,1,0),IF($X67&lt;30,1,0))</formula>
    </cfRule>
    <cfRule type="expression" dxfId="709" priority="753">
      <formula>AND(IF($Q67=3,1,0),IF($X67&lt;30,1,0))</formula>
    </cfRule>
    <cfRule type="expression" dxfId="708" priority="754">
      <formula>AND(IF($Q67=3,1,IF($Q67=4,1,0)),IF($F67&lt;=85,1,0))</formula>
    </cfRule>
  </conditionalFormatting>
  <conditionalFormatting sqref="X67">
    <cfRule type="expression" dxfId="707" priority="747">
      <formula>AND(IF(OR($Q67=1,$Q67=2),1,0),IF($X67&lt;=20,1,0))</formula>
    </cfRule>
    <cfRule type="expression" dxfId="706" priority="748">
      <formula>AND(IF($Q67=2,1,0),IF($X67&lt;30,1,0))</formula>
    </cfRule>
    <cfRule type="expression" dxfId="705" priority="749">
      <formula>AND(IF($Q67=3,1,0),IF($X67&lt;30,1,0))</formula>
    </cfRule>
    <cfRule type="expression" dxfId="704" priority="750">
      <formula>AND(IF($Q67=3,1,IF($Q67=4,1,0)),IF($F67&lt;=85,1,0))</formula>
    </cfRule>
  </conditionalFormatting>
  <conditionalFormatting sqref="AI67">
    <cfRule type="expression" dxfId="703" priority="743">
      <formula>AND(IF(OR($Q67=1,$Q67=2),1,0),IF($X67&lt;=20,1,0))</formula>
    </cfRule>
    <cfRule type="expression" dxfId="702" priority="744">
      <formula>AND(IF($Q67=2,1,0),IF($X67&lt;30,1,0))</formula>
    </cfRule>
    <cfRule type="expression" dxfId="701" priority="745">
      <formula>AND(IF($Q67=3,1,0),IF($X67&lt;30,1,0))</formula>
    </cfRule>
    <cfRule type="expression" dxfId="700" priority="746">
      <formula>AND(IF($Q67=3,1,IF($Q67=4,1,0)),IF($F67&lt;=85,1,0))</formula>
    </cfRule>
  </conditionalFormatting>
  <conditionalFormatting sqref="AV68">
    <cfRule type="expression" dxfId="699" priority="741">
      <formula>AV68="X"</formula>
    </cfRule>
    <cfRule type="expression" dxfId="698" priority="742">
      <formula>AV68="후보"</formula>
    </cfRule>
  </conditionalFormatting>
  <conditionalFormatting sqref="Z68">
    <cfRule type="colorScale" priority="7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697" priority="738" operator="greaterThan">
      <formula>0.9</formula>
    </cfRule>
    <cfRule type="cellIs" dxfId="696" priority="739" operator="greaterThan">
      <formula>0.85</formula>
    </cfRule>
  </conditionalFormatting>
  <conditionalFormatting sqref="N68">
    <cfRule type="cellIs" dxfId="695" priority="736" operator="greaterThan">
      <formula>0.9</formula>
    </cfRule>
    <cfRule type="cellIs" dxfId="694" priority="737" operator="greaterThan">
      <formula>0.85</formula>
    </cfRule>
  </conditionalFormatting>
  <conditionalFormatting sqref="E68">
    <cfRule type="expression" dxfId="693" priority="732">
      <formula>AND(IF(OR($Q68=1,$Q68=2),1,0),IF($X68&lt;=20,1,0))</formula>
    </cfRule>
    <cfRule type="expression" dxfId="692" priority="733">
      <formula>AND(IF($Q68=2,1,0),IF($X68&lt;30,1,0))</formula>
    </cfRule>
    <cfRule type="expression" dxfId="691" priority="734">
      <formula>AND(IF($Q68=3,1,0),IF($X68&lt;30,1,0))</formula>
    </cfRule>
    <cfRule type="expression" dxfId="690" priority="735">
      <formula>AND(IF($Q68=3,1,IF($Q68=4,1,0)),IF($F68&lt;=85,1,0))</formula>
    </cfRule>
  </conditionalFormatting>
  <conditionalFormatting sqref="X68">
    <cfRule type="expression" dxfId="689" priority="728">
      <formula>AND(IF(OR($Q68=1,$Q68=2),1,0),IF($X68&lt;=20,1,0))</formula>
    </cfRule>
    <cfRule type="expression" dxfId="688" priority="729">
      <formula>AND(IF($Q68=2,1,0),IF($X68&lt;30,1,0))</formula>
    </cfRule>
    <cfRule type="expression" dxfId="687" priority="730">
      <formula>AND(IF($Q68=3,1,0),IF($X68&lt;30,1,0))</formula>
    </cfRule>
    <cfRule type="expression" dxfId="686" priority="731">
      <formula>AND(IF($Q68=3,1,IF($Q68=4,1,0)),IF($F68&lt;=85,1,0))</formula>
    </cfRule>
  </conditionalFormatting>
  <conditionalFormatting sqref="AI68">
    <cfRule type="expression" dxfId="685" priority="724">
      <formula>AND(IF(OR($Q68=1,$Q68=2),1,0),IF($X68&lt;=20,1,0))</formula>
    </cfRule>
    <cfRule type="expression" dxfId="684" priority="725">
      <formula>AND(IF($Q68=2,1,0),IF($X68&lt;30,1,0))</formula>
    </cfRule>
    <cfRule type="expression" dxfId="683" priority="726">
      <formula>AND(IF($Q68=3,1,0),IF($X68&lt;30,1,0))</formula>
    </cfRule>
    <cfRule type="expression" dxfId="682" priority="727">
      <formula>AND(IF($Q68=3,1,IF($Q68=4,1,0)),IF($F68&lt;=85,1,0))</formula>
    </cfRule>
  </conditionalFormatting>
  <conditionalFormatting sqref="AV69">
    <cfRule type="expression" dxfId="681" priority="722">
      <formula>AV69="X"</formula>
    </cfRule>
    <cfRule type="expression" dxfId="680" priority="723">
      <formula>AV69="후보"</formula>
    </cfRule>
  </conditionalFormatting>
  <conditionalFormatting sqref="Z69">
    <cfRule type="colorScale" priority="7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679" priority="719" operator="greaterThan">
      <formula>0.9</formula>
    </cfRule>
    <cfRule type="cellIs" dxfId="678" priority="720" operator="greaterThan">
      <formula>0.85</formula>
    </cfRule>
  </conditionalFormatting>
  <conditionalFormatting sqref="N69">
    <cfRule type="cellIs" dxfId="677" priority="717" operator="greaterThan">
      <formula>0.9</formula>
    </cfRule>
    <cfRule type="cellIs" dxfId="676" priority="718" operator="greaterThan">
      <formula>0.85</formula>
    </cfRule>
  </conditionalFormatting>
  <conditionalFormatting sqref="E69">
    <cfRule type="expression" dxfId="675" priority="713">
      <formula>AND(IF(OR($Q69=1,$Q69=2),1,0),IF($X69&lt;=20,1,0))</formula>
    </cfRule>
    <cfRule type="expression" dxfId="674" priority="714">
      <formula>AND(IF($Q69=2,1,0),IF($X69&lt;30,1,0))</formula>
    </cfRule>
    <cfRule type="expression" dxfId="673" priority="715">
      <formula>AND(IF($Q69=3,1,0),IF($X69&lt;30,1,0))</formula>
    </cfRule>
    <cfRule type="expression" dxfId="672" priority="716">
      <formula>AND(IF($Q69=3,1,IF($Q69=4,1,0)),IF($F69&lt;=85,1,0))</formula>
    </cfRule>
  </conditionalFormatting>
  <conditionalFormatting sqref="X69">
    <cfRule type="expression" dxfId="671" priority="709">
      <formula>AND(IF(OR($Q69=1,$Q69=2),1,0),IF($X69&lt;=20,1,0))</formula>
    </cfRule>
    <cfRule type="expression" dxfId="670" priority="710">
      <formula>AND(IF($Q69=2,1,0),IF($X69&lt;30,1,0))</formula>
    </cfRule>
    <cfRule type="expression" dxfId="669" priority="711">
      <formula>AND(IF($Q69=3,1,0),IF($X69&lt;30,1,0))</formula>
    </cfRule>
    <cfRule type="expression" dxfId="668" priority="712">
      <formula>AND(IF($Q69=3,1,IF($Q69=4,1,0)),IF($F69&lt;=85,1,0))</formula>
    </cfRule>
  </conditionalFormatting>
  <conditionalFormatting sqref="AI69">
    <cfRule type="expression" dxfId="667" priority="705">
      <formula>AND(IF(OR($Q69=1,$Q69=2),1,0),IF($X69&lt;=20,1,0))</formula>
    </cfRule>
    <cfRule type="expression" dxfId="666" priority="706">
      <formula>AND(IF($Q69=2,1,0),IF($X69&lt;30,1,0))</formula>
    </cfRule>
    <cfRule type="expression" dxfId="665" priority="707">
      <formula>AND(IF($Q69=3,1,0),IF($X69&lt;30,1,0))</formula>
    </cfRule>
    <cfRule type="expression" dxfId="664" priority="708">
      <formula>AND(IF($Q69=3,1,IF($Q69=4,1,0)),IF($F69&lt;=85,1,0))</formula>
    </cfRule>
  </conditionalFormatting>
  <conditionalFormatting sqref="AV70">
    <cfRule type="expression" dxfId="663" priority="703">
      <formula>AV70="X"</formula>
    </cfRule>
    <cfRule type="expression" dxfId="662" priority="704">
      <formula>AV70="후보"</formula>
    </cfRule>
  </conditionalFormatting>
  <conditionalFormatting sqref="Z70">
    <cfRule type="colorScale" priority="7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661" priority="700" operator="greaterThan">
      <formula>0.9</formula>
    </cfRule>
    <cfRule type="cellIs" dxfId="660" priority="701" operator="greaterThan">
      <formula>0.85</formula>
    </cfRule>
  </conditionalFormatting>
  <conditionalFormatting sqref="N70">
    <cfRule type="cellIs" dxfId="659" priority="698" operator="greaterThan">
      <formula>0.9</formula>
    </cfRule>
    <cfRule type="cellIs" dxfId="658" priority="699" operator="greaterThan">
      <formula>0.85</formula>
    </cfRule>
  </conditionalFormatting>
  <conditionalFormatting sqref="E70">
    <cfRule type="expression" dxfId="657" priority="694">
      <formula>AND(IF(OR($Q70=1,$Q70=2),1,0),IF($X70&lt;=20,1,0))</formula>
    </cfRule>
    <cfRule type="expression" dxfId="656" priority="695">
      <formula>AND(IF($Q70=2,1,0),IF($X70&lt;30,1,0))</formula>
    </cfRule>
    <cfRule type="expression" dxfId="655" priority="696">
      <formula>AND(IF($Q70=3,1,0),IF($X70&lt;30,1,0))</formula>
    </cfRule>
    <cfRule type="expression" dxfId="654" priority="697">
      <formula>AND(IF($Q70=3,1,IF($Q70=4,1,0)),IF($F70&lt;=85,1,0))</formula>
    </cfRule>
  </conditionalFormatting>
  <conditionalFormatting sqref="X70">
    <cfRule type="expression" dxfId="653" priority="690">
      <formula>AND(IF(OR($Q70=1,$Q70=2),1,0),IF($X70&lt;=20,1,0))</formula>
    </cfRule>
    <cfRule type="expression" dxfId="652" priority="691">
      <formula>AND(IF($Q70=2,1,0),IF($X70&lt;30,1,0))</formula>
    </cfRule>
    <cfRule type="expression" dxfId="651" priority="692">
      <formula>AND(IF($Q70=3,1,0),IF($X70&lt;30,1,0))</formula>
    </cfRule>
    <cfRule type="expression" dxfId="650" priority="693">
      <formula>AND(IF($Q70=3,1,IF($Q70=4,1,0)),IF($F70&lt;=85,1,0))</formula>
    </cfRule>
  </conditionalFormatting>
  <conditionalFormatting sqref="AI70">
    <cfRule type="expression" dxfId="649" priority="686">
      <formula>AND(IF(OR($Q70=1,$Q70=2),1,0),IF($X70&lt;=20,1,0))</formula>
    </cfRule>
    <cfRule type="expression" dxfId="648" priority="687">
      <formula>AND(IF($Q70=2,1,0),IF($X70&lt;30,1,0))</formula>
    </cfRule>
    <cfRule type="expression" dxfId="647" priority="688">
      <formula>AND(IF($Q70=3,1,0),IF($X70&lt;30,1,0))</formula>
    </cfRule>
    <cfRule type="expression" dxfId="646" priority="689">
      <formula>AND(IF($Q70=3,1,IF($Q70=4,1,0)),IF($F70&lt;=85,1,0))</formula>
    </cfRule>
  </conditionalFormatting>
  <conditionalFormatting sqref="AV71">
    <cfRule type="expression" dxfId="645" priority="684">
      <formula>AV71="X"</formula>
    </cfRule>
    <cfRule type="expression" dxfId="644" priority="685">
      <formula>AV71="후보"</formula>
    </cfRule>
  </conditionalFormatting>
  <conditionalFormatting sqref="Z71">
    <cfRule type="colorScale" priority="6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643" priority="681" operator="greaterThan">
      <formula>0.9</formula>
    </cfRule>
    <cfRule type="cellIs" dxfId="642" priority="682" operator="greaterThan">
      <formula>0.85</formula>
    </cfRule>
  </conditionalFormatting>
  <conditionalFormatting sqref="N71">
    <cfRule type="cellIs" dxfId="641" priority="679" operator="greaterThan">
      <formula>0.9</formula>
    </cfRule>
    <cfRule type="cellIs" dxfId="640" priority="680" operator="greaterThan">
      <formula>0.85</formula>
    </cfRule>
  </conditionalFormatting>
  <conditionalFormatting sqref="E71">
    <cfRule type="expression" dxfId="639" priority="675">
      <formula>AND(IF(OR($Q71=1,$Q71=2),1,0),IF($X71&lt;=20,1,0))</formula>
    </cfRule>
    <cfRule type="expression" dxfId="638" priority="676">
      <formula>AND(IF($Q71=2,1,0),IF($X71&lt;30,1,0))</formula>
    </cfRule>
    <cfRule type="expression" dxfId="637" priority="677">
      <formula>AND(IF($Q71=3,1,0),IF($X71&lt;30,1,0))</formula>
    </cfRule>
    <cfRule type="expression" dxfId="636" priority="678">
      <formula>AND(IF($Q71=3,1,IF($Q71=4,1,0)),IF($F71&lt;=85,1,0))</formula>
    </cfRule>
  </conditionalFormatting>
  <conditionalFormatting sqref="X71">
    <cfRule type="expression" dxfId="635" priority="671">
      <formula>AND(IF(OR($Q71=1,$Q71=2),1,0),IF($X71&lt;=20,1,0))</formula>
    </cfRule>
    <cfRule type="expression" dxfId="634" priority="672">
      <formula>AND(IF($Q71=2,1,0),IF($X71&lt;30,1,0))</formula>
    </cfRule>
    <cfRule type="expression" dxfId="633" priority="673">
      <formula>AND(IF($Q71=3,1,0),IF($X71&lt;30,1,0))</formula>
    </cfRule>
    <cfRule type="expression" dxfId="632" priority="674">
      <formula>AND(IF($Q71=3,1,IF($Q71=4,1,0)),IF($F71&lt;=85,1,0))</formula>
    </cfRule>
  </conditionalFormatting>
  <conditionalFormatting sqref="AI71">
    <cfRule type="expression" dxfId="631" priority="667">
      <formula>AND(IF(OR($Q71=1,$Q71=2),1,0),IF($X71&lt;=20,1,0))</formula>
    </cfRule>
    <cfRule type="expression" dxfId="630" priority="668">
      <formula>AND(IF($Q71=2,1,0),IF($X71&lt;30,1,0))</formula>
    </cfRule>
    <cfRule type="expression" dxfId="629" priority="669">
      <formula>AND(IF($Q71=3,1,0),IF($X71&lt;30,1,0))</formula>
    </cfRule>
    <cfRule type="expression" dxfId="628" priority="670">
      <formula>AND(IF($Q71=3,1,IF($Q71=4,1,0)),IF($F71&lt;=85,1,0))</formula>
    </cfRule>
  </conditionalFormatting>
  <conditionalFormatting sqref="AV72">
    <cfRule type="expression" dxfId="627" priority="665">
      <formula>AV72="X"</formula>
    </cfRule>
    <cfRule type="expression" dxfId="626" priority="666">
      <formula>AV72="후보"</formula>
    </cfRule>
  </conditionalFormatting>
  <conditionalFormatting sqref="Z72">
    <cfRule type="colorScale" priority="6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625" priority="662" operator="greaterThan">
      <formula>0.9</formula>
    </cfRule>
    <cfRule type="cellIs" dxfId="624" priority="663" operator="greaterThan">
      <formula>0.85</formula>
    </cfRule>
  </conditionalFormatting>
  <conditionalFormatting sqref="N72">
    <cfRule type="cellIs" dxfId="623" priority="660" operator="greaterThan">
      <formula>0.9</formula>
    </cfRule>
    <cfRule type="cellIs" dxfId="622" priority="661" operator="greaterThan">
      <formula>0.85</formula>
    </cfRule>
  </conditionalFormatting>
  <conditionalFormatting sqref="E72">
    <cfRule type="expression" dxfId="621" priority="656">
      <formula>AND(IF(OR($Q72=1,$Q72=2),1,0),IF($X72&lt;=20,1,0))</formula>
    </cfRule>
    <cfRule type="expression" dxfId="620" priority="657">
      <formula>AND(IF($Q72=2,1,0),IF($X72&lt;30,1,0))</formula>
    </cfRule>
    <cfRule type="expression" dxfId="619" priority="658">
      <formula>AND(IF($Q72=3,1,0),IF($X72&lt;30,1,0))</formula>
    </cfRule>
    <cfRule type="expression" dxfId="618" priority="659">
      <formula>AND(IF($Q72=3,1,IF($Q72=4,1,0)),IF($F72&lt;=85,1,0))</formula>
    </cfRule>
  </conditionalFormatting>
  <conditionalFormatting sqref="X72">
    <cfRule type="expression" dxfId="617" priority="652">
      <formula>AND(IF(OR($Q72=1,$Q72=2),1,0),IF($X72&lt;=20,1,0))</formula>
    </cfRule>
    <cfRule type="expression" dxfId="616" priority="653">
      <formula>AND(IF($Q72=2,1,0),IF($X72&lt;30,1,0))</formula>
    </cfRule>
    <cfRule type="expression" dxfId="615" priority="654">
      <formula>AND(IF($Q72=3,1,0),IF($X72&lt;30,1,0))</formula>
    </cfRule>
    <cfRule type="expression" dxfId="614" priority="655">
      <formula>AND(IF($Q72=3,1,IF($Q72=4,1,0)),IF($F72&lt;=85,1,0))</formula>
    </cfRule>
  </conditionalFormatting>
  <conditionalFormatting sqref="AI72">
    <cfRule type="expression" dxfId="613" priority="648">
      <formula>AND(IF(OR($Q72=1,$Q72=2),1,0),IF($X72&lt;=20,1,0))</formula>
    </cfRule>
    <cfRule type="expression" dxfId="612" priority="649">
      <formula>AND(IF($Q72=2,1,0),IF($X72&lt;30,1,0))</formula>
    </cfRule>
    <cfRule type="expression" dxfId="611" priority="650">
      <formula>AND(IF($Q72=3,1,0),IF($X72&lt;30,1,0))</formula>
    </cfRule>
    <cfRule type="expression" dxfId="610" priority="651">
      <formula>AND(IF($Q72=3,1,IF($Q72=4,1,0)),IF($F72&lt;=85,1,0))</formula>
    </cfRule>
  </conditionalFormatting>
  <conditionalFormatting sqref="AV73">
    <cfRule type="expression" dxfId="609" priority="646">
      <formula>AV73="X"</formula>
    </cfRule>
    <cfRule type="expression" dxfId="608" priority="647">
      <formula>AV73="후보"</formula>
    </cfRule>
  </conditionalFormatting>
  <conditionalFormatting sqref="Z73">
    <cfRule type="colorScale" priority="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607" priority="643" operator="greaterThan">
      <formula>0.9</formula>
    </cfRule>
    <cfRule type="cellIs" dxfId="606" priority="644" operator="greaterThan">
      <formula>0.85</formula>
    </cfRule>
  </conditionalFormatting>
  <conditionalFormatting sqref="AV74">
    <cfRule type="expression" dxfId="605" priority="641">
      <formula>AV74="X"</formula>
    </cfRule>
    <cfRule type="expression" dxfId="604" priority="642">
      <formula>AV74="후보"</formula>
    </cfRule>
  </conditionalFormatting>
  <conditionalFormatting sqref="Z74">
    <cfRule type="colorScale" priority="6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603" priority="638" operator="greaterThan">
      <formula>0.9</formula>
    </cfRule>
    <cfRule type="cellIs" dxfId="602" priority="639" operator="greaterThan">
      <formula>0.85</formula>
    </cfRule>
  </conditionalFormatting>
  <conditionalFormatting sqref="N74">
    <cfRule type="cellIs" dxfId="601" priority="636" operator="greaterThan">
      <formula>0.9</formula>
    </cfRule>
    <cfRule type="cellIs" dxfId="600" priority="637" operator="greaterThan">
      <formula>0.85</formula>
    </cfRule>
  </conditionalFormatting>
  <conditionalFormatting sqref="E74">
    <cfRule type="expression" dxfId="599" priority="632">
      <formula>AND(IF(OR($Q74=1,$Q74=2),1,0),IF($X74&lt;=20,1,0))</formula>
    </cfRule>
    <cfRule type="expression" dxfId="598" priority="633">
      <formula>AND(IF($Q74=2,1,0),IF($X74&lt;30,1,0))</formula>
    </cfRule>
    <cfRule type="expression" dxfId="597" priority="634">
      <formula>AND(IF($Q74=3,1,0),IF($X74&lt;30,1,0))</formula>
    </cfRule>
    <cfRule type="expression" dxfId="596" priority="635">
      <formula>AND(IF($Q74=3,1,IF($Q74=4,1,0)),IF($F74&lt;=85,1,0))</formula>
    </cfRule>
  </conditionalFormatting>
  <conditionalFormatting sqref="X74">
    <cfRule type="expression" dxfId="595" priority="628">
      <formula>AND(IF(OR($Q74=1,$Q74=2),1,0),IF($X74&lt;=20,1,0))</formula>
    </cfRule>
    <cfRule type="expression" dxfId="594" priority="629">
      <formula>AND(IF($Q74=2,1,0),IF($X74&lt;30,1,0))</formula>
    </cfRule>
    <cfRule type="expression" dxfId="593" priority="630">
      <formula>AND(IF($Q74=3,1,0),IF($X74&lt;30,1,0))</formula>
    </cfRule>
    <cfRule type="expression" dxfId="592" priority="631">
      <formula>AND(IF($Q74=3,1,IF($Q74=4,1,0)),IF($F74&lt;=85,1,0))</formula>
    </cfRule>
  </conditionalFormatting>
  <conditionalFormatting sqref="AI74">
    <cfRule type="expression" dxfId="591" priority="624">
      <formula>AND(IF(OR($Q74=1,$Q74=2),1,0),IF($X74&lt;=20,1,0))</formula>
    </cfRule>
    <cfRule type="expression" dxfId="590" priority="625">
      <formula>AND(IF($Q74=2,1,0),IF($X74&lt;30,1,0))</formula>
    </cfRule>
    <cfRule type="expression" dxfId="589" priority="626">
      <formula>AND(IF($Q74=3,1,0),IF($X74&lt;30,1,0))</formula>
    </cfRule>
    <cfRule type="expression" dxfId="588" priority="627">
      <formula>AND(IF($Q74=3,1,IF($Q74=4,1,0)),IF($F74&lt;=85,1,0))</formula>
    </cfRule>
  </conditionalFormatting>
  <conditionalFormatting sqref="AV75">
    <cfRule type="expression" dxfId="587" priority="622">
      <formula>AV75="X"</formula>
    </cfRule>
    <cfRule type="expression" dxfId="586" priority="623">
      <formula>AV75="후보"</formula>
    </cfRule>
  </conditionalFormatting>
  <conditionalFormatting sqref="Z75">
    <cfRule type="colorScale" priority="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585" priority="619" operator="greaterThan">
      <formula>0.9</formula>
    </cfRule>
    <cfRule type="cellIs" dxfId="584" priority="620" operator="greaterThan">
      <formula>0.85</formula>
    </cfRule>
  </conditionalFormatting>
  <conditionalFormatting sqref="N75">
    <cfRule type="cellIs" dxfId="583" priority="617" operator="greaterThan">
      <formula>0.9</formula>
    </cfRule>
    <cfRule type="cellIs" dxfId="582" priority="618" operator="greaterThan">
      <formula>0.85</formula>
    </cfRule>
  </conditionalFormatting>
  <conditionalFormatting sqref="E75">
    <cfRule type="expression" dxfId="581" priority="613">
      <formula>AND(IF(OR($Q75=1,$Q75=2),1,0),IF($X75&lt;=20,1,0))</formula>
    </cfRule>
    <cfRule type="expression" dxfId="580" priority="614">
      <formula>AND(IF($Q75=2,1,0),IF($X75&lt;30,1,0))</formula>
    </cfRule>
    <cfRule type="expression" dxfId="579" priority="615">
      <formula>AND(IF($Q75=3,1,0),IF($X75&lt;30,1,0))</formula>
    </cfRule>
    <cfRule type="expression" dxfId="578" priority="616">
      <formula>AND(IF($Q75=3,1,IF($Q75=4,1,0)),IF($F75&lt;=85,1,0))</formula>
    </cfRule>
  </conditionalFormatting>
  <conditionalFormatting sqref="X75">
    <cfRule type="expression" dxfId="577" priority="609">
      <formula>AND(IF(OR($Q75=1,$Q75=2),1,0),IF($X75&lt;=20,1,0))</formula>
    </cfRule>
    <cfRule type="expression" dxfId="576" priority="610">
      <formula>AND(IF($Q75=2,1,0),IF($X75&lt;30,1,0))</formula>
    </cfRule>
    <cfRule type="expression" dxfId="575" priority="611">
      <formula>AND(IF($Q75=3,1,0),IF($X75&lt;30,1,0))</formula>
    </cfRule>
    <cfRule type="expression" dxfId="574" priority="612">
      <formula>AND(IF($Q75=3,1,IF($Q75=4,1,0)),IF($F75&lt;=85,1,0))</formula>
    </cfRule>
  </conditionalFormatting>
  <conditionalFormatting sqref="AI75">
    <cfRule type="expression" dxfId="573" priority="605">
      <formula>AND(IF(OR($Q75=1,$Q75=2),1,0),IF($X75&lt;=20,1,0))</formula>
    </cfRule>
    <cfRule type="expression" dxfId="572" priority="606">
      <formula>AND(IF($Q75=2,1,0),IF($X75&lt;30,1,0))</formula>
    </cfRule>
    <cfRule type="expression" dxfId="571" priority="607">
      <formula>AND(IF($Q75=3,1,0),IF($X75&lt;30,1,0))</formula>
    </cfRule>
    <cfRule type="expression" dxfId="570" priority="608">
      <formula>AND(IF($Q75=3,1,IF($Q75=4,1,0)),IF($F75&lt;=85,1,0))</formula>
    </cfRule>
  </conditionalFormatting>
  <conditionalFormatting sqref="AV76">
    <cfRule type="expression" dxfId="569" priority="603">
      <formula>AV76="X"</formula>
    </cfRule>
    <cfRule type="expression" dxfId="568" priority="604">
      <formula>AV76="후보"</formula>
    </cfRule>
  </conditionalFormatting>
  <conditionalFormatting sqref="Z76">
    <cfRule type="colorScale" priority="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567" priority="600" operator="greaterThan">
      <formula>0.9</formula>
    </cfRule>
    <cfRule type="cellIs" dxfId="566" priority="601" operator="greaterThan">
      <formula>0.85</formula>
    </cfRule>
  </conditionalFormatting>
  <conditionalFormatting sqref="N76">
    <cfRule type="cellIs" dxfId="565" priority="598" operator="greaterThan">
      <formula>0.9</formula>
    </cfRule>
    <cfRule type="cellIs" dxfId="564" priority="599" operator="greaterThan">
      <formula>0.85</formula>
    </cfRule>
  </conditionalFormatting>
  <conditionalFormatting sqref="E76">
    <cfRule type="expression" dxfId="563" priority="594">
      <formula>AND(IF(OR($Q76=1,$Q76=2),1,0),IF($X76&lt;=20,1,0))</formula>
    </cfRule>
    <cfRule type="expression" dxfId="562" priority="595">
      <formula>AND(IF($Q76=2,1,0),IF($X76&lt;30,1,0))</formula>
    </cfRule>
    <cfRule type="expression" dxfId="561" priority="596">
      <formula>AND(IF($Q76=3,1,0),IF($X76&lt;30,1,0))</formula>
    </cfRule>
    <cfRule type="expression" dxfId="560" priority="597">
      <formula>AND(IF($Q76=3,1,IF($Q76=4,1,0)),IF($F76&lt;=85,1,0))</formula>
    </cfRule>
  </conditionalFormatting>
  <conditionalFormatting sqref="X76">
    <cfRule type="expression" dxfId="559" priority="590">
      <formula>AND(IF(OR($Q76=1,$Q76=2),1,0),IF($X76&lt;=20,1,0))</formula>
    </cfRule>
    <cfRule type="expression" dxfId="558" priority="591">
      <formula>AND(IF($Q76=2,1,0),IF($X76&lt;30,1,0))</formula>
    </cfRule>
    <cfRule type="expression" dxfId="557" priority="592">
      <formula>AND(IF($Q76=3,1,0),IF($X76&lt;30,1,0))</formula>
    </cfRule>
    <cfRule type="expression" dxfId="556" priority="593">
      <formula>AND(IF($Q76=3,1,IF($Q76=4,1,0)),IF($F76&lt;=85,1,0))</formula>
    </cfRule>
  </conditionalFormatting>
  <conditionalFormatting sqref="AI76">
    <cfRule type="expression" dxfId="555" priority="586">
      <formula>AND(IF(OR($Q76=1,$Q76=2),1,0),IF($X76&lt;=20,1,0))</formula>
    </cfRule>
    <cfRule type="expression" dxfId="554" priority="587">
      <formula>AND(IF($Q76=2,1,0),IF($X76&lt;30,1,0))</formula>
    </cfRule>
    <cfRule type="expression" dxfId="553" priority="588">
      <formula>AND(IF($Q76=3,1,0),IF($X76&lt;30,1,0))</formula>
    </cfRule>
    <cfRule type="expression" dxfId="552" priority="589">
      <formula>AND(IF($Q76=3,1,IF($Q76=4,1,0)),IF($F76&lt;=85,1,0))</formula>
    </cfRule>
  </conditionalFormatting>
  <conditionalFormatting sqref="AV77">
    <cfRule type="expression" dxfId="551" priority="584">
      <formula>AV77="X"</formula>
    </cfRule>
    <cfRule type="expression" dxfId="550" priority="585">
      <formula>AV77="후보"</formula>
    </cfRule>
  </conditionalFormatting>
  <conditionalFormatting sqref="Z77">
    <cfRule type="colorScale" priority="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549" priority="581" operator="greaterThan">
      <formula>0.9</formula>
    </cfRule>
    <cfRule type="cellIs" dxfId="548" priority="582" operator="greaterThan">
      <formula>0.85</formula>
    </cfRule>
  </conditionalFormatting>
  <conditionalFormatting sqref="AV78">
    <cfRule type="expression" dxfId="547" priority="579">
      <formula>AV78="X"</formula>
    </cfRule>
    <cfRule type="expression" dxfId="546" priority="580">
      <formula>AV78="후보"</formula>
    </cfRule>
  </conditionalFormatting>
  <conditionalFormatting sqref="Z78">
    <cfRule type="colorScale" priority="5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545" priority="576" operator="greaterThan">
      <formula>0.9</formula>
    </cfRule>
    <cfRule type="cellIs" dxfId="544" priority="577" operator="greaterThan">
      <formula>0.85</formula>
    </cfRule>
  </conditionalFormatting>
  <conditionalFormatting sqref="N78">
    <cfRule type="cellIs" dxfId="543" priority="574" operator="greaterThan">
      <formula>0.9</formula>
    </cfRule>
    <cfRule type="cellIs" dxfId="542" priority="575" operator="greaterThan">
      <formula>0.85</formula>
    </cfRule>
  </conditionalFormatting>
  <conditionalFormatting sqref="E78">
    <cfRule type="expression" dxfId="541" priority="570">
      <formula>AND(IF(OR($Q78=1,$Q78=2),1,0),IF($X78&lt;=20,1,0))</formula>
    </cfRule>
    <cfRule type="expression" dxfId="540" priority="571">
      <formula>AND(IF($Q78=2,1,0),IF($X78&lt;30,1,0))</formula>
    </cfRule>
    <cfRule type="expression" dxfId="539" priority="572">
      <formula>AND(IF($Q78=3,1,0),IF($X78&lt;30,1,0))</formula>
    </cfRule>
    <cfRule type="expression" dxfId="538" priority="573">
      <formula>AND(IF($Q78=3,1,IF($Q78=4,1,0)),IF($F78&lt;=85,1,0))</formula>
    </cfRule>
  </conditionalFormatting>
  <conditionalFormatting sqref="X78">
    <cfRule type="expression" dxfId="537" priority="566">
      <formula>AND(IF(OR($Q78=1,$Q78=2),1,0),IF($X78&lt;=20,1,0))</formula>
    </cfRule>
    <cfRule type="expression" dxfId="536" priority="567">
      <formula>AND(IF($Q78=2,1,0),IF($X78&lt;30,1,0))</formula>
    </cfRule>
    <cfRule type="expression" dxfId="535" priority="568">
      <formula>AND(IF($Q78=3,1,0),IF($X78&lt;30,1,0))</formula>
    </cfRule>
    <cfRule type="expression" dxfId="534" priority="569">
      <formula>AND(IF($Q78=3,1,IF($Q78=4,1,0)),IF($F78&lt;=85,1,0))</formula>
    </cfRule>
  </conditionalFormatting>
  <conditionalFormatting sqref="AI78">
    <cfRule type="expression" dxfId="533" priority="562">
      <formula>AND(IF(OR($Q78=1,$Q78=2),1,0),IF($X78&lt;=20,1,0))</formula>
    </cfRule>
    <cfRule type="expression" dxfId="532" priority="563">
      <formula>AND(IF($Q78=2,1,0),IF($X78&lt;30,1,0))</formula>
    </cfRule>
    <cfRule type="expression" dxfId="531" priority="564">
      <formula>AND(IF($Q78=3,1,0),IF($X78&lt;30,1,0))</formula>
    </cfRule>
    <cfRule type="expression" dxfId="530" priority="565">
      <formula>AND(IF($Q78=3,1,IF($Q78=4,1,0)),IF($F78&lt;=85,1,0))</formula>
    </cfRule>
  </conditionalFormatting>
  <conditionalFormatting sqref="AV79">
    <cfRule type="expression" dxfId="529" priority="560">
      <formula>AV79="X"</formula>
    </cfRule>
    <cfRule type="expression" dxfId="528" priority="561">
      <formula>AV79="후보"</formula>
    </cfRule>
  </conditionalFormatting>
  <conditionalFormatting sqref="Z79">
    <cfRule type="colorScale" priority="5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527" priority="557" operator="greaterThan">
      <formula>0.9</formula>
    </cfRule>
    <cfRule type="cellIs" dxfId="526" priority="558" operator="greaterThan">
      <formula>0.85</formula>
    </cfRule>
  </conditionalFormatting>
  <conditionalFormatting sqref="N79">
    <cfRule type="cellIs" dxfId="525" priority="555" operator="greaterThan">
      <formula>0.9</formula>
    </cfRule>
    <cfRule type="cellIs" dxfId="524" priority="556" operator="greaterThan">
      <formula>0.85</formula>
    </cfRule>
  </conditionalFormatting>
  <conditionalFormatting sqref="E79">
    <cfRule type="expression" dxfId="523" priority="551">
      <formula>AND(IF(OR($Q79=1,$Q79=2),1,0),IF($X79&lt;=20,1,0))</formula>
    </cfRule>
    <cfRule type="expression" dxfId="522" priority="552">
      <formula>AND(IF($Q79=2,1,0),IF($X79&lt;30,1,0))</formula>
    </cfRule>
    <cfRule type="expression" dxfId="521" priority="553">
      <formula>AND(IF($Q79=3,1,0),IF($X79&lt;30,1,0))</formula>
    </cfRule>
    <cfRule type="expression" dxfId="520" priority="554">
      <formula>AND(IF($Q79=3,1,IF($Q79=4,1,0)),IF($F79&lt;=85,1,0))</formula>
    </cfRule>
  </conditionalFormatting>
  <conditionalFormatting sqref="X79">
    <cfRule type="expression" dxfId="519" priority="547">
      <formula>AND(IF(OR($Q79=1,$Q79=2),1,0),IF($X79&lt;=20,1,0))</formula>
    </cfRule>
    <cfRule type="expression" dxfId="518" priority="548">
      <formula>AND(IF($Q79=2,1,0),IF($X79&lt;30,1,0))</formula>
    </cfRule>
    <cfRule type="expression" dxfId="517" priority="549">
      <formula>AND(IF($Q79=3,1,0),IF($X79&lt;30,1,0))</formula>
    </cfRule>
    <cfRule type="expression" dxfId="516" priority="550">
      <formula>AND(IF($Q79=3,1,IF($Q79=4,1,0)),IF($F79&lt;=85,1,0))</formula>
    </cfRule>
  </conditionalFormatting>
  <conditionalFormatting sqref="AI79">
    <cfRule type="expression" dxfId="515" priority="543">
      <formula>AND(IF(OR($Q79=1,$Q79=2),1,0),IF($X79&lt;=20,1,0))</formula>
    </cfRule>
    <cfRule type="expression" dxfId="514" priority="544">
      <formula>AND(IF($Q79=2,1,0),IF($X79&lt;30,1,0))</formula>
    </cfRule>
    <cfRule type="expression" dxfId="513" priority="545">
      <formula>AND(IF($Q79=3,1,0),IF($X79&lt;30,1,0))</formula>
    </cfRule>
    <cfRule type="expression" dxfId="512" priority="546">
      <formula>AND(IF($Q79=3,1,IF($Q79=4,1,0)),IF($F79&lt;=85,1,0))</formula>
    </cfRule>
  </conditionalFormatting>
  <conditionalFormatting sqref="AV80">
    <cfRule type="expression" dxfId="511" priority="541">
      <formula>AV80="X"</formula>
    </cfRule>
    <cfRule type="expression" dxfId="510" priority="542">
      <formula>AV80="후보"</formula>
    </cfRule>
  </conditionalFormatting>
  <conditionalFormatting sqref="Z80">
    <cfRule type="colorScale" priority="5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509" priority="538" operator="greaterThan">
      <formula>0.9</formula>
    </cfRule>
    <cfRule type="cellIs" dxfId="508" priority="539" operator="greaterThan">
      <formula>0.85</formula>
    </cfRule>
  </conditionalFormatting>
  <conditionalFormatting sqref="N80">
    <cfRule type="cellIs" dxfId="507" priority="536" operator="greaterThan">
      <formula>0.9</formula>
    </cfRule>
    <cfRule type="cellIs" dxfId="506" priority="537" operator="greaterThan">
      <formula>0.85</formula>
    </cfRule>
  </conditionalFormatting>
  <conditionalFormatting sqref="E80">
    <cfRule type="expression" dxfId="505" priority="532">
      <formula>AND(IF(OR($Q80=1,$Q80=2),1,0),IF($X80&lt;=20,1,0))</formula>
    </cfRule>
    <cfRule type="expression" dxfId="504" priority="533">
      <formula>AND(IF($Q80=2,1,0),IF($X80&lt;30,1,0))</formula>
    </cfRule>
    <cfRule type="expression" dxfId="503" priority="534">
      <formula>AND(IF($Q80=3,1,0),IF($X80&lt;30,1,0))</formula>
    </cfRule>
    <cfRule type="expression" dxfId="502" priority="535">
      <formula>AND(IF($Q80=3,1,IF($Q80=4,1,0)),IF($F80&lt;=85,1,0))</formula>
    </cfRule>
  </conditionalFormatting>
  <conditionalFormatting sqref="X80">
    <cfRule type="expression" dxfId="501" priority="528">
      <formula>AND(IF(OR($Q80=1,$Q80=2),1,0),IF($X80&lt;=20,1,0))</formula>
    </cfRule>
    <cfRule type="expression" dxfId="500" priority="529">
      <formula>AND(IF($Q80=2,1,0),IF($X80&lt;30,1,0))</formula>
    </cfRule>
    <cfRule type="expression" dxfId="499" priority="530">
      <formula>AND(IF($Q80=3,1,0),IF($X80&lt;30,1,0))</formula>
    </cfRule>
    <cfRule type="expression" dxfId="498" priority="531">
      <formula>AND(IF($Q80=3,1,IF($Q80=4,1,0)),IF($F80&lt;=85,1,0))</formula>
    </cfRule>
  </conditionalFormatting>
  <conditionalFormatting sqref="AI80">
    <cfRule type="expression" dxfId="497" priority="524">
      <formula>AND(IF(OR($Q80=1,$Q80=2),1,0),IF($X80&lt;=20,1,0))</formula>
    </cfRule>
    <cfRule type="expression" dxfId="496" priority="525">
      <formula>AND(IF($Q80=2,1,0),IF($X80&lt;30,1,0))</formula>
    </cfRule>
    <cfRule type="expression" dxfId="495" priority="526">
      <formula>AND(IF($Q80=3,1,0),IF($X80&lt;30,1,0))</formula>
    </cfRule>
    <cfRule type="expression" dxfId="494" priority="527">
      <formula>AND(IF($Q80=3,1,IF($Q80=4,1,0)),IF($F80&lt;=85,1,0))</formula>
    </cfRule>
  </conditionalFormatting>
  <conditionalFormatting sqref="AV81">
    <cfRule type="expression" dxfId="493" priority="522">
      <formula>AV81="X"</formula>
    </cfRule>
    <cfRule type="expression" dxfId="492" priority="523">
      <formula>AV81="후보"</formula>
    </cfRule>
  </conditionalFormatting>
  <conditionalFormatting sqref="Z81">
    <cfRule type="colorScale" priority="5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491" priority="519" operator="greaterThan">
      <formula>0.9</formula>
    </cfRule>
    <cfRule type="cellIs" dxfId="490" priority="520" operator="greaterThan">
      <formula>0.85</formula>
    </cfRule>
  </conditionalFormatting>
  <conditionalFormatting sqref="N81">
    <cfRule type="cellIs" dxfId="489" priority="517" operator="greaterThan">
      <formula>0.9</formula>
    </cfRule>
    <cfRule type="cellIs" dxfId="488" priority="518" operator="greaterThan">
      <formula>0.85</formula>
    </cfRule>
  </conditionalFormatting>
  <conditionalFormatting sqref="E81">
    <cfRule type="expression" dxfId="487" priority="513">
      <formula>AND(IF(OR($Q81=1,$Q81=2),1,0),IF($X81&lt;=20,1,0))</formula>
    </cfRule>
    <cfRule type="expression" dxfId="486" priority="514">
      <formula>AND(IF($Q81=2,1,0),IF($X81&lt;30,1,0))</formula>
    </cfRule>
    <cfRule type="expression" dxfId="485" priority="515">
      <formula>AND(IF($Q81=3,1,0),IF($X81&lt;30,1,0))</formula>
    </cfRule>
    <cfRule type="expression" dxfId="484" priority="516">
      <formula>AND(IF($Q81=3,1,IF($Q81=4,1,0)),IF($F81&lt;=85,1,0))</formula>
    </cfRule>
  </conditionalFormatting>
  <conditionalFormatting sqref="X81">
    <cfRule type="expression" dxfId="483" priority="509">
      <formula>AND(IF(OR($Q81=1,$Q81=2),1,0),IF($X81&lt;=20,1,0))</formula>
    </cfRule>
    <cfRule type="expression" dxfId="482" priority="510">
      <formula>AND(IF($Q81=2,1,0),IF($X81&lt;30,1,0))</formula>
    </cfRule>
    <cfRule type="expression" dxfId="481" priority="511">
      <formula>AND(IF($Q81=3,1,0),IF($X81&lt;30,1,0))</formula>
    </cfRule>
    <cfRule type="expression" dxfId="480" priority="512">
      <formula>AND(IF($Q81=3,1,IF($Q81=4,1,0)),IF($F81&lt;=85,1,0))</formula>
    </cfRule>
  </conditionalFormatting>
  <conditionalFormatting sqref="AI81">
    <cfRule type="expression" dxfId="479" priority="505">
      <formula>AND(IF(OR($Q81=1,$Q81=2),1,0),IF($X81&lt;=20,1,0))</formula>
    </cfRule>
    <cfRule type="expression" dxfId="478" priority="506">
      <formula>AND(IF($Q81=2,1,0),IF($X81&lt;30,1,0))</formula>
    </cfRule>
    <cfRule type="expression" dxfId="477" priority="507">
      <formula>AND(IF($Q81=3,1,0),IF($X81&lt;30,1,0))</formula>
    </cfRule>
    <cfRule type="expression" dxfId="476" priority="508">
      <formula>AND(IF($Q81=3,1,IF($Q81=4,1,0)),IF($F81&lt;=85,1,0))</formula>
    </cfRule>
  </conditionalFormatting>
  <conditionalFormatting sqref="AV82">
    <cfRule type="expression" dxfId="475" priority="503">
      <formula>AV82="X"</formula>
    </cfRule>
    <cfRule type="expression" dxfId="474" priority="504">
      <formula>AV82="후보"</formula>
    </cfRule>
  </conditionalFormatting>
  <conditionalFormatting sqref="Z82">
    <cfRule type="colorScale" priority="5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473" priority="500" operator="greaterThan">
      <formula>0.9</formula>
    </cfRule>
    <cfRule type="cellIs" dxfId="472" priority="501" operator="greaterThan">
      <formula>0.85</formula>
    </cfRule>
  </conditionalFormatting>
  <conditionalFormatting sqref="N82">
    <cfRule type="cellIs" dxfId="471" priority="498" operator="greaterThan">
      <formula>0.9</formula>
    </cfRule>
    <cfRule type="cellIs" dxfId="470" priority="499" operator="greaterThan">
      <formula>0.85</formula>
    </cfRule>
  </conditionalFormatting>
  <conditionalFormatting sqref="E82">
    <cfRule type="expression" dxfId="469" priority="494">
      <formula>AND(IF(OR($Q82=1,$Q82=2),1,0),IF($X82&lt;=20,1,0))</formula>
    </cfRule>
    <cfRule type="expression" dxfId="468" priority="495">
      <formula>AND(IF($Q82=2,1,0),IF($X82&lt;30,1,0))</formula>
    </cfRule>
    <cfRule type="expression" dxfId="467" priority="496">
      <formula>AND(IF($Q82=3,1,0),IF($X82&lt;30,1,0))</formula>
    </cfRule>
    <cfRule type="expression" dxfId="466" priority="497">
      <formula>AND(IF($Q82=3,1,IF($Q82=4,1,0)),IF($F82&lt;=85,1,0))</formula>
    </cfRule>
  </conditionalFormatting>
  <conditionalFormatting sqref="X82">
    <cfRule type="expression" dxfId="465" priority="490">
      <formula>AND(IF(OR($Q82=1,$Q82=2),1,0),IF($X82&lt;=20,1,0))</formula>
    </cfRule>
    <cfRule type="expression" dxfId="464" priority="491">
      <formula>AND(IF($Q82=2,1,0),IF($X82&lt;30,1,0))</formula>
    </cfRule>
    <cfRule type="expression" dxfId="463" priority="492">
      <formula>AND(IF($Q82=3,1,0),IF($X82&lt;30,1,0))</formula>
    </cfRule>
    <cfRule type="expression" dxfId="462" priority="493">
      <formula>AND(IF($Q82=3,1,IF($Q82=4,1,0)),IF($F82&lt;=85,1,0))</formula>
    </cfRule>
  </conditionalFormatting>
  <conditionalFormatting sqref="AI82">
    <cfRule type="expression" dxfId="461" priority="486">
      <formula>AND(IF(OR($Q82=1,$Q82=2),1,0),IF($X82&lt;=20,1,0))</formula>
    </cfRule>
    <cfRule type="expression" dxfId="460" priority="487">
      <formula>AND(IF($Q82=2,1,0),IF($X82&lt;30,1,0))</formula>
    </cfRule>
    <cfRule type="expression" dxfId="459" priority="488">
      <formula>AND(IF($Q82=3,1,0),IF($X82&lt;30,1,0))</formula>
    </cfRule>
    <cfRule type="expression" dxfId="458" priority="489">
      <formula>AND(IF($Q82=3,1,IF($Q82=4,1,0)),IF($F82&lt;=85,1,0))</formula>
    </cfRule>
  </conditionalFormatting>
  <conditionalFormatting sqref="AV83">
    <cfRule type="expression" dxfId="457" priority="484">
      <formula>AV83="X"</formula>
    </cfRule>
    <cfRule type="expression" dxfId="456" priority="485">
      <formula>AV83="후보"</formula>
    </cfRule>
  </conditionalFormatting>
  <conditionalFormatting sqref="Z83">
    <cfRule type="colorScale" priority="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455" priority="481" operator="greaterThan">
      <formula>0.9</formula>
    </cfRule>
    <cfRule type="cellIs" dxfId="454" priority="482" operator="greaterThan">
      <formula>0.85</formula>
    </cfRule>
  </conditionalFormatting>
  <conditionalFormatting sqref="N83">
    <cfRule type="cellIs" dxfId="453" priority="479" operator="greaterThan">
      <formula>0.9</formula>
    </cfRule>
    <cfRule type="cellIs" dxfId="452" priority="480" operator="greaterThan">
      <formula>0.85</formula>
    </cfRule>
  </conditionalFormatting>
  <conditionalFormatting sqref="E83">
    <cfRule type="expression" dxfId="451" priority="475">
      <formula>AND(IF(OR($Q83=1,$Q83=2),1,0),IF($X83&lt;=20,1,0))</formula>
    </cfRule>
    <cfRule type="expression" dxfId="450" priority="476">
      <formula>AND(IF($Q83=2,1,0),IF($X83&lt;30,1,0))</formula>
    </cfRule>
    <cfRule type="expression" dxfId="449" priority="477">
      <formula>AND(IF($Q83=3,1,0),IF($X83&lt;30,1,0))</formula>
    </cfRule>
    <cfRule type="expression" dxfId="448" priority="478">
      <formula>AND(IF($Q83=3,1,IF($Q83=4,1,0)),IF($F83&lt;=85,1,0))</formula>
    </cfRule>
  </conditionalFormatting>
  <conditionalFormatting sqref="X83">
    <cfRule type="expression" dxfId="447" priority="471">
      <formula>AND(IF(OR($Q83=1,$Q83=2),1,0),IF($X83&lt;=20,1,0))</formula>
    </cfRule>
    <cfRule type="expression" dxfId="446" priority="472">
      <formula>AND(IF($Q83=2,1,0),IF($X83&lt;30,1,0))</formula>
    </cfRule>
    <cfRule type="expression" dxfId="445" priority="473">
      <formula>AND(IF($Q83=3,1,0),IF($X83&lt;30,1,0))</formula>
    </cfRule>
    <cfRule type="expression" dxfId="444" priority="474">
      <formula>AND(IF($Q83=3,1,IF($Q83=4,1,0)),IF($F83&lt;=85,1,0))</formula>
    </cfRule>
  </conditionalFormatting>
  <conditionalFormatting sqref="AI83">
    <cfRule type="expression" dxfId="443" priority="467">
      <formula>AND(IF(OR($Q83=1,$Q83=2),1,0),IF($X83&lt;=20,1,0))</formula>
    </cfRule>
    <cfRule type="expression" dxfId="442" priority="468">
      <formula>AND(IF($Q83=2,1,0),IF($X83&lt;30,1,0))</formula>
    </cfRule>
    <cfRule type="expression" dxfId="441" priority="469">
      <formula>AND(IF($Q83=3,1,0),IF($X83&lt;30,1,0))</formula>
    </cfRule>
    <cfRule type="expression" dxfId="440" priority="470">
      <formula>AND(IF($Q83=3,1,IF($Q83=4,1,0)),IF($F83&lt;=85,1,0))</formula>
    </cfRule>
  </conditionalFormatting>
  <conditionalFormatting sqref="AV84">
    <cfRule type="expression" dxfId="439" priority="465">
      <formula>AV84="X"</formula>
    </cfRule>
    <cfRule type="expression" dxfId="438" priority="466">
      <formula>AV84="후보"</formula>
    </cfRule>
  </conditionalFormatting>
  <conditionalFormatting sqref="Z84">
    <cfRule type="colorScale" priority="4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437" priority="462" operator="greaterThan">
      <formula>0.9</formula>
    </cfRule>
    <cfRule type="cellIs" dxfId="436" priority="463" operator="greaterThan">
      <formula>0.85</formula>
    </cfRule>
  </conditionalFormatting>
  <conditionalFormatting sqref="N84">
    <cfRule type="cellIs" dxfId="435" priority="460" operator="greaterThan">
      <formula>0.9</formula>
    </cfRule>
    <cfRule type="cellIs" dxfId="434" priority="461" operator="greaterThan">
      <formula>0.85</formula>
    </cfRule>
  </conditionalFormatting>
  <conditionalFormatting sqref="E84">
    <cfRule type="expression" dxfId="433" priority="456">
      <formula>AND(IF(OR($Q84=1,$Q84=2),1,0),IF($X84&lt;=20,1,0))</formula>
    </cfRule>
    <cfRule type="expression" dxfId="432" priority="457">
      <formula>AND(IF($Q84=2,1,0),IF($X84&lt;30,1,0))</formula>
    </cfRule>
    <cfRule type="expression" dxfId="431" priority="458">
      <formula>AND(IF($Q84=3,1,0),IF($X84&lt;30,1,0))</formula>
    </cfRule>
    <cfRule type="expression" dxfId="430" priority="459">
      <formula>AND(IF($Q84=3,1,IF($Q84=4,1,0)),IF($F84&lt;=85,1,0))</formula>
    </cfRule>
  </conditionalFormatting>
  <conditionalFormatting sqref="X84">
    <cfRule type="expression" dxfId="429" priority="452">
      <formula>AND(IF(OR($Q84=1,$Q84=2),1,0),IF($X84&lt;=20,1,0))</formula>
    </cfRule>
    <cfRule type="expression" dxfId="428" priority="453">
      <formula>AND(IF($Q84=2,1,0),IF($X84&lt;30,1,0))</formula>
    </cfRule>
    <cfRule type="expression" dxfId="427" priority="454">
      <formula>AND(IF($Q84=3,1,0),IF($X84&lt;30,1,0))</formula>
    </cfRule>
    <cfRule type="expression" dxfId="426" priority="455">
      <formula>AND(IF($Q84=3,1,IF($Q84=4,1,0)),IF($F84&lt;=85,1,0))</formula>
    </cfRule>
  </conditionalFormatting>
  <conditionalFormatting sqref="AI84">
    <cfRule type="expression" dxfId="425" priority="448">
      <formula>AND(IF(OR($Q84=1,$Q84=2),1,0),IF($X84&lt;=20,1,0))</formula>
    </cfRule>
    <cfRule type="expression" dxfId="424" priority="449">
      <formula>AND(IF($Q84=2,1,0),IF($X84&lt;30,1,0))</formula>
    </cfRule>
    <cfRule type="expression" dxfId="423" priority="450">
      <formula>AND(IF($Q84=3,1,0),IF($X84&lt;30,1,0))</formula>
    </cfRule>
    <cfRule type="expression" dxfId="422" priority="451">
      <formula>AND(IF($Q84=3,1,IF($Q84=4,1,0)),IF($F84&lt;=85,1,0))</formula>
    </cfRule>
  </conditionalFormatting>
  <conditionalFormatting sqref="AV85">
    <cfRule type="expression" dxfId="421" priority="446">
      <formula>AV85="X"</formula>
    </cfRule>
    <cfRule type="expression" dxfId="420" priority="447">
      <formula>AV85="후보"</formula>
    </cfRule>
  </conditionalFormatting>
  <conditionalFormatting sqref="Z85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419" priority="443" operator="greaterThan">
      <formula>0.9</formula>
    </cfRule>
    <cfRule type="cellIs" dxfId="418" priority="444" operator="greaterThan">
      <formula>0.85</formula>
    </cfRule>
  </conditionalFormatting>
  <conditionalFormatting sqref="AV86">
    <cfRule type="expression" dxfId="417" priority="441">
      <formula>AV86="X"</formula>
    </cfRule>
    <cfRule type="expression" dxfId="416" priority="442">
      <formula>AV86="후보"</formula>
    </cfRule>
  </conditionalFormatting>
  <conditionalFormatting sqref="Z86">
    <cfRule type="colorScale" priority="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415" priority="438" operator="greaterThan">
      <formula>0.9</formula>
    </cfRule>
    <cfRule type="cellIs" dxfId="414" priority="439" operator="greaterThan">
      <formula>0.85</formula>
    </cfRule>
  </conditionalFormatting>
  <conditionalFormatting sqref="N86">
    <cfRule type="cellIs" dxfId="413" priority="436" operator="greaterThan">
      <formula>0.9</formula>
    </cfRule>
    <cfRule type="cellIs" dxfId="412" priority="437" operator="greaterThan">
      <formula>0.85</formula>
    </cfRule>
  </conditionalFormatting>
  <conditionalFormatting sqref="E86">
    <cfRule type="expression" dxfId="411" priority="432">
      <formula>AND(IF(OR($Q86=1,$Q86=2),1,0),IF($X86&lt;=20,1,0))</formula>
    </cfRule>
    <cfRule type="expression" dxfId="410" priority="433">
      <formula>AND(IF($Q86=2,1,0),IF($X86&lt;30,1,0))</formula>
    </cfRule>
    <cfRule type="expression" dxfId="409" priority="434">
      <formula>AND(IF($Q86=3,1,0),IF($X86&lt;30,1,0))</formula>
    </cfRule>
    <cfRule type="expression" dxfId="408" priority="435">
      <formula>AND(IF($Q86=3,1,IF($Q86=4,1,0)),IF($F86&lt;=85,1,0))</formula>
    </cfRule>
  </conditionalFormatting>
  <conditionalFormatting sqref="X86">
    <cfRule type="expression" dxfId="407" priority="428">
      <formula>AND(IF(OR($Q86=1,$Q86=2),1,0),IF($X86&lt;=20,1,0))</formula>
    </cfRule>
    <cfRule type="expression" dxfId="406" priority="429">
      <formula>AND(IF($Q86=2,1,0),IF($X86&lt;30,1,0))</formula>
    </cfRule>
    <cfRule type="expression" dxfId="405" priority="430">
      <formula>AND(IF($Q86=3,1,0),IF($X86&lt;30,1,0))</formula>
    </cfRule>
    <cfRule type="expression" dxfId="404" priority="431">
      <formula>AND(IF($Q86=3,1,IF($Q86=4,1,0)),IF($F86&lt;=85,1,0))</formula>
    </cfRule>
  </conditionalFormatting>
  <conditionalFormatting sqref="AI86">
    <cfRule type="expression" dxfId="403" priority="424">
      <formula>AND(IF(OR($Q86=1,$Q86=2),1,0),IF($X86&lt;=20,1,0))</formula>
    </cfRule>
    <cfRule type="expression" dxfId="402" priority="425">
      <formula>AND(IF($Q86=2,1,0),IF($X86&lt;30,1,0))</formula>
    </cfRule>
    <cfRule type="expression" dxfId="401" priority="426">
      <formula>AND(IF($Q86=3,1,0),IF($X86&lt;30,1,0))</formula>
    </cfRule>
    <cfRule type="expression" dxfId="400" priority="427">
      <formula>AND(IF($Q86=3,1,IF($Q86=4,1,0)),IF($F86&lt;=85,1,0))</formula>
    </cfRule>
  </conditionalFormatting>
  <conditionalFormatting sqref="AV87">
    <cfRule type="expression" dxfId="399" priority="422">
      <formula>AV87="X"</formula>
    </cfRule>
    <cfRule type="expression" dxfId="398" priority="423">
      <formula>AV87="후보"</formula>
    </cfRule>
  </conditionalFormatting>
  <conditionalFormatting sqref="Z87">
    <cfRule type="colorScale" priority="4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397" priority="419" operator="greaterThan">
      <formula>0.9</formula>
    </cfRule>
    <cfRule type="cellIs" dxfId="396" priority="420" operator="greaterThan">
      <formula>0.85</formula>
    </cfRule>
  </conditionalFormatting>
  <conditionalFormatting sqref="N87">
    <cfRule type="cellIs" dxfId="395" priority="417" operator="greaterThan">
      <formula>0.9</formula>
    </cfRule>
    <cfRule type="cellIs" dxfId="394" priority="418" operator="greaterThan">
      <formula>0.85</formula>
    </cfRule>
  </conditionalFormatting>
  <conditionalFormatting sqref="E87">
    <cfRule type="expression" dxfId="393" priority="413">
      <formula>AND(IF(OR($Q87=1,$Q87=2),1,0),IF($X87&lt;=20,1,0))</formula>
    </cfRule>
    <cfRule type="expression" dxfId="392" priority="414">
      <formula>AND(IF($Q87=2,1,0),IF($X87&lt;30,1,0))</formula>
    </cfRule>
    <cfRule type="expression" dxfId="391" priority="415">
      <formula>AND(IF($Q87=3,1,0),IF($X87&lt;30,1,0))</formula>
    </cfRule>
    <cfRule type="expression" dxfId="390" priority="416">
      <formula>AND(IF($Q87=3,1,IF($Q87=4,1,0)),IF($F87&lt;=85,1,0))</formula>
    </cfRule>
  </conditionalFormatting>
  <conditionalFormatting sqref="X87">
    <cfRule type="expression" dxfId="389" priority="409">
      <formula>AND(IF(OR($Q87=1,$Q87=2),1,0),IF($X87&lt;=20,1,0))</formula>
    </cfRule>
    <cfRule type="expression" dxfId="388" priority="410">
      <formula>AND(IF($Q87=2,1,0),IF($X87&lt;30,1,0))</formula>
    </cfRule>
    <cfRule type="expression" dxfId="387" priority="411">
      <formula>AND(IF($Q87=3,1,0),IF($X87&lt;30,1,0))</formula>
    </cfRule>
    <cfRule type="expression" dxfId="386" priority="412">
      <formula>AND(IF($Q87=3,1,IF($Q87=4,1,0)),IF($F87&lt;=85,1,0))</formula>
    </cfRule>
  </conditionalFormatting>
  <conditionalFormatting sqref="AI87">
    <cfRule type="expression" dxfId="385" priority="405">
      <formula>AND(IF(OR($Q87=1,$Q87=2),1,0),IF($X87&lt;=20,1,0))</formula>
    </cfRule>
    <cfRule type="expression" dxfId="384" priority="406">
      <formula>AND(IF($Q87=2,1,0),IF($X87&lt;30,1,0))</formula>
    </cfRule>
    <cfRule type="expression" dxfId="383" priority="407">
      <formula>AND(IF($Q87=3,1,0),IF($X87&lt;30,1,0))</formula>
    </cfRule>
    <cfRule type="expression" dxfId="382" priority="408">
      <formula>AND(IF($Q87=3,1,IF($Q87=4,1,0)),IF($F87&lt;=85,1,0))</formula>
    </cfRule>
  </conditionalFormatting>
  <conditionalFormatting sqref="AV88">
    <cfRule type="expression" dxfId="381" priority="403">
      <formula>AV88="X"</formula>
    </cfRule>
    <cfRule type="expression" dxfId="380" priority="404">
      <formula>AV88="후보"</formula>
    </cfRule>
  </conditionalFormatting>
  <conditionalFormatting sqref="Z88">
    <cfRule type="colorScale" priority="4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379" priority="400" operator="greaterThan">
      <formula>0.9</formula>
    </cfRule>
    <cfRule type="cellIs" dxfId="378" priority="401" operator="greaterThan">
      <formula>0.85</formula>
    </cfRule>
  </conditionalFormatting>
  <conditionalFormatting sqref="N88">
    <cfRule type="cellIs" dxfId="377" priority="398" operator="greaterThan">
      <formula>0.9</formula>
    </cfRule>
    <cfRule type="cellIs" dxfId="376" priority="399" operator="greaterThan">
      <formula>0.85</formula>
    </cfRule>
  </conditionalFormatting>
  <conditionalFormatting sqref="E88">
    <cfRule type="expression" dxfId="375" priority="394">
      <formula>AND(IF(OR($Q88=1,$Q88=2),1,0),IF($X88&lt;=20,1,0))</formula>
    </cfRule>
    <cfRule type="expression" dxfId="374" priority="395">
      <formula>AND(IF($Q88=2,1,0),IF($X88&lt;30,1,0))</formula>
    </cfRule>
    <cfRule type="expression" dxfId="373" priority="396">
      <formula>AND(IF($Q88=3,1,0),IF($X88&lt;30,1,0))</formula>
    </cfRule>
    <cfRule type="expression" dxfId="372" priority="397">
      <formula>AND(IF($Q88=3,1,IF($Q88=4,1,0)),IF($F88&lt;=85,1,0))</formula>
    </cfRule>
  </conditionalFormatting>
  <conditionalFormatting sqref="X88">
    <cfRule type="expression" dxfId="371" priority="390">
      <formula>AND(IF(OR($Q88=1,$Q88=2),1,0),IF($X88&lt;=20,1,0))</formula>
    </cfRule>
    <cfRule type="expression" dxfId="370" priority="391">
      <formula>AND(IF($Q88=2,1,0),IF($X88&lt;30,1,0))</formula>
    </cfRule>
    <cfRule type="expression" dxfId="369" priority="392">
      <formula>AND(IF($Q88=3,1,0),IF($X88&lt;30,1,0))</formula>
    </cfRule>
    <cfRule type="expression" dxfId="368" priority="393">
      <formula>AND(IF($Q88=3,1,IF($Q88=4,1,0)),IF($F88&lt;=85,1,0))</formula>
    </cfRule>
  </conditionalFormatting>
  <conditionalFormatting sqref="AI88">
    <cfRule type="expression" dxfId="367" priority="386">
      <formula>AND(IF(OR($Q88=1,$Q88=2),1,0),IF($X88&lt;=20,1,0))</formula>
    </cfRule>
    <cfRule type="expression" dxfId="366" priority="387">
      <formula>AND(IF($Q88=2,1,0),IF($X88&lt;30,1,0))</formula>
    </cfRule>
    <cfRule type="expression" dxfId="365" priority="388">
      <formula>AND(IF($Q88=3,1,0),IF($X88&lt;30,1,0))</formula>
    </cfRule>
    <cfRule type="expression" dxfId="364" priority="389">
      <formula>AND(IF($Q88=3,1,IF($Q88=4,1,0)),IF($F88&lt;=85,1,0))</formula>
    </cfRule>
  </conditionalFormatting>
  <conditionalFormatting sqref="AV89">
    <cfRule type="expression" dxfId="363" priority="384">
      <formula>AV89="X"</formula>
    </cfRule>
    <cfRule type="expression" dxfId="362" priority="385">
      <formula>AV89="후보"</formula>
    </cfRule>
  </conditionalFormatting>
  <conditionalFormatting sqref="Z89">
    <cfRule type="colorScale" priority="3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361" priority="381" operator="greaterThan">
      <formula>0.9</formula>
    </cfRule>
    <cfRule type="cellIs" dxfId="360" priority="382" operator="greaterThan">
      <formula>0.85</formula>
    </cfRule>
  </conditionalFormatting>
  <conditionalFormatting sqref="N89">
    <cfRule type="cellIs" dxfId="359" priority="379" operator="greaterThan">
      <formula>0.9</formula>
    </cfRule>
    <cfRule type="cellIs" dxfId="358" priority="380" operator="greaterThan">
      <formula>0.85</formula>
    </cfRule>
  </conditionalFormatting>
  <conditionalFormatting sqref="E89">
    <cfRule type="expression" dxfId="357" priority="375">
      <formula>AND(IF(OR($Q89=1,$Q89=2),1,0),IF($X89&lt;=20,1,0))</formula>
    </cfRule>
    <cfRule type="expression" dxfId="356" priority="376">
      <formula>AND(IF($Q89=2,1,0),IF($X89&lt;30,1,0))</formula>
    </cfRule>
    <cfRule type="expression" dxfId="355" priority="377">
      <formula>AND(IF($Q89=3,1,0),IF($X89&lt;30,1,0))</formula>
    </cfRule>
    <cfRule type="expression" dxfId="354" priority="378">
      <formula>AND(IF($Q89=3,1,IF($Q89=4,1,0)),IF($F89&lt;=85,1,0))</formula>
    </cfRule>
  </conditionalFormatting>
  <conditionalFormatting sqref="X89">
    <cfRule type="expression" dxfId="353" priority="371">
      <formula>AND(IF(OR($Q89=1,$Q89=2),1,0),IF($X89&lt;=20,1,0))</formula>
    </cfRule>
    <cfRule type="expression" dxfId="352" priority="372">
      <formula>AND(IF($Q89=2,1,0),IF($X89&lt;30,1,0))</formula>
    </cfRule>
    <cfRule type="expression" dxfId="351" priority="373">
      <formula>AND(IF($Q89=3,1,0),IF($X89&lt;30,1,0))</formula>
    </cfRule>
    <cfRule type="expression" dxfId="350" priority="374">
      <formula>AND(IF($Q89=3,1,IF($Q89=4,1,0)),IF($F89&lt;=85,1,0))</formula>
    </cfRule>
  </conditionalFormatting>
  <conditionalFormatting sqref="AI89">
    <cfRule type="expression" dxfId="349" priority="367">
      <formula>AND(IF(OR($Q89=1,$Q89=2),1,0),IF($X89&lt;=20,1,0))</formula>
    </cfRule>
    <cfRule type="expression" dxfId="348" priority="368">
      <formula>AND(IF($Q89=2,1,0),IF($X89&lt;30,1,0))</formula>
    </cfRule>
    <cfRule type="expression" dxfId="347" priority="369">
      <formula>AND(IF($Q89=3,1,0),IF($X89&lt;30,1,0))</formula>
    </cfRule>
    <cfRule type="expression" dxfId="346" priority="370">
      <formula>AND(IF($Q89=3,1,IF($Q89=4,1,0)),IF($F89&lt;=85,1,0))</formula>
    </cfRule>
  </conditionalFormatting>
  <conditionalFormatting sqref="AV90">
    <cfRule type="expression" dxfId="345" priority="365">
      <formula>AV90="X"</formula>
    </cfRule>
    <cfRule type="expression" dxfId="344" priority="366">
      <formula>AV90="후보"</formula>
    </cfRule>
  </conditionalFormatting>
  <conditionalFormatting sqref="Z90">
    <cfRule type="colorScale" priority="3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343" priority="362" operator="greaterThan">
      <formula>0.9</formula>
    </cfRule>
    <cfRule type="cellIs" dxfId="342" priority="363" operator="greaterThan">
      <formula>0.85</formula>
    </cfRule>
  </conditionalFormatting>
  <conditionalFormatting sqref="N90">
    <cfRule type="cellIs" dxfId="341" priority="360" operator="greaterThan">
      <formula>0.9</formula>
    </cfRule>
    <cfRule type="cellIs" dxfId="340" priority="361" operator="greaterThan">
      <formula>0.85</formula>
    </cfRule>
  </conditionalFormatting>
  <conditionalFormatting sqref="E90">
    <cfRule type="expression" dxfId="339" priority="356">
      <formula>AND(IF(OR($Q90=1,$Q90=2),1,0),IF($X90&lt;=20,1,0))</formula>
    </cfRule>
    <cfRule type="expression" dxfId="338" priority="357">
      <formula>AND(IF($Q90=2,1,0),IF($X90&lt;30,1,0))</formula>
    </cfRule>
    <cfRule type="expression" dxfId="337" priority="358">
      <formula>AND(IF($Q90=3,1,0),IF($X90&lt;30,1,0))</formula>
    </cfRule>
    <cfRule type="expression" dxfId="336" priority="359">
      <formula>AND(IF($Q90=3,1,IF($Q90=4,1,0)),IF($F90&lt;=85,1,0))</formula>
    </cfRule>
  </conditionalFormatting>
  <conditionalFormatting sqref="X90">
    <cfRule type="expression" dxfId="335" priority="352">
      <formula>AND(IF(OR($Q90=1,$Q90=2),1,0),IF($X90&lt;=20,1,0))</formula>
    </cfRule>
    <cfRule type="expression" dxfId="334" priority="353">
      <formula>AND(IF($Q90=2,1,0),IF($X90&lt;30,1,0))</formula>
    </cfRule>
    <cfRule type="expression" dxfId="333" priority="354">
      <formula>AND(IF($Q90=3,1,0),IF($X90&lt;30,1,0))</formula>
    </cfRule>
    <cfRule type="expression" dxfId="332" priority="355">
      <formula>AND(IF($Q90=3,1,IF($Q90=4,1,0)),IF($F90&lt;=85,1,0))</formula>
    </cfRule>
  </conditionalFormatting>
  <conditionalFormatting sqref="AI90">
    <cfRule type="expression" dxfId="331" priority="348">
      <formula>AND(IF(OR($Q90=1,$Q90=2),1,0),IF($X90&lt;=20,1,0))</formula>
    </cfRule>
    <cfRule type="expression" dxfId="330" priority="349">
      <formula>AND(IF($Q90=2,1,0),IF($X90&lt;30,1,0))</formula>
    </cfRule>
    <cfRule type="expression" dxfId="329" priority="350">
      <formula>AND(IF($Q90=3,1,0),IF($X90&lt;30,1,0))</formula>
    </cfRule>
    <cfRule type="expression" dxfId="328" priority="351">
      <formula>AND(IF($Q90=3,1,IF($Q90=4,1,0)),IF($F90&lt;=85,1,0))</formula>
    </cfRule>
  </conditionalFormatting>
  <conditionalFormatting sqref="AV91">
    <cfRule type="expression" dxfId="327" priority="346">
      <formula>AV91="X"</formula>
    </cfRule>
    <cfRule type="expression" dxfId="326" priority="347">
      <formula>AV91="후보"</formula>
    </cfRule>
  </conditionalFormatting>
  <conditionalFormatting sqref="Z91">
    <cfRule type="colorScale" priority="3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325" priority="343" operator="greaterThan">
      <formula>0.9</formula>
    </cfRule>
    <cfRule type="cellIs" dxfId="324" priority="344" operator="greaterThan">
      <formula>0.85</formula>
    </cfRule>
  </conditionalFormatting>
  <conditionalFormatting sqref="N91">
    <cfRule type="cellIs" dxfId="323" priority="341" operator="greaterThan">
      <formula>0.9</formula>
    </cfRule>
    <cfRule type="cellIs" dxfId="322" priority="342" operator="greaterThan">
      <formula>0.85</formula>
    </cfRule>
  </conditionalFormatting>
  <conditionalFormatting sqref="E91">
    <cfRule type="expression" dxfId="321" priority="337">
      <formula>AND(IF(OR($Q91=1,$Q91=2),1,0),IF($X91&lt;=20,1,0))</formula>
    </cfRule>
    <cfRule type="expression" dxfId="320" priority="338">
      <formula>AND(IF($Q91=2,1,0),IF($X91&lt;30,1,0))</formula>
    </cfRule>
    <cfRule type="expression" dxfId="319" priority="339">
      <formula>AND(IF($Q91=3,1,0),IF($X91&lt;30,1,0))</formula>
    </cfRule>
    <cfRule type="expression" dxfId="318" priority="340">
      <formula>AND(IF($Q91=3,1,IF($Q91=4,1,0)),IF($F91&lt;=85,1,0))</formula>
    </cfRule>
  </conditionalFormatting>
  <conditionalFormatting sqref="X91">
    <cfRule type="expression" dxfId="317" priority="333">
      <formula>AND(IF(OR($Q91=1,$Q91=2),1,0),IF($X91&lt;=20,1,0))</formula>
    </cfRule>
    <cfRule type="expression" dxfId="316" priority="334">
      <formula>AND(IF($Q91=2,1,0),IF($X91&lt;30,1,0))</formula>
    </cfRule>
    <cfRule type="expression" dxfId="315" priority="335">
      <formula>AND(IF($Q91=3,1,0),IF($X91&lt;30,1,0))</formula>
    </cfRule>
    <cfRule type="expression" dxfId="314" priority="336">
      <formula>AND(IF($Q91=3,1,IF($Q91=4,1,0)),IF($F91&lt;=85,1,0))</formula>
    </cfRule>
  </conditionalFormatting>
  <conditionalFormatting sqref="AI91">
    <cfRule type="expression" dxfId="313" priority="329">
      <formula>AND(IF(OR($Q91=1,$Q91=2),1,0),IF($X91&lt;=20,1,0))</formula>
    </cfRule>
    <cfRule type="expression" dxfId="312" priority="330">
      <formula>AND(IF($Q91=2,1,0),IF($X91&lt;30,1,0))</formula>
    </cfRule>
    <cfRule type="expression" dxfId="311" priority="331">
      <formula>AND(IF($Q91=3,1,0),IF($X91&lt;30,1,0))</formula>
    </cfRule>
    <cfRule type="expression" dxfId="310" priority="332">
      <formula>AND(IF($Q91=3,1,IF($Q91=4,1,0)),IF($F91&lt;=85,1,0))</formula>
    </cfRule>
  </conditionalFormatting>
  <conditionalFormatting sqref="AV92">
    <cfRule type="expression" dxfId="309" priority="327">
      <formula>AV92="X"</formula>
    </cfRule>
    <cfRule type="expression" dxfId="308" priority="328">
      <formula>AV92="후보"</formula>
    </cfRule>
  </conditionalFormatting>
  <conditionalFormatting sqref="Z92">
    <cfRule type="colorScale" priority="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307" priority="324" operator="greaterThan">
      <formula>0.9</formula>
    </cfRule>
    <cfRule type="cellIs" dxfId="306" priority="325" operator="greaterThan">
      <formula>0.85</formula>
    </cfRule>
  </conditionalFormatting>
  <conditionalFormatting sqref="N92">
    <cfRule type="cellIs" dxfId="305" priority="322" operator="greaterThan">
      <formula>0.9</formula>
    </cfRule>
    <cfRule type="cellIs" dxfId="304" priority="323" operator="greaterThan">
      <formula>0.85</formula>
    </cfRule>
  </conditionalFormatting>
  <conditionalFormatting sqref="E92">
    <cfRule type="expression" dxfId="303" priority="318">
      <formula>AND(IF(OR($Q92=1,$Q92=2),1,0),IF($X92&lt;=20,1,0))</formula>
    </cfRule>
    <cfRule type="expression" dxfId="302" priority="319">
      <formula>AND(IF($Q92=2,1,0),IF($X92&lt;30,1,0))</formula>
    </cfRule>
    <cfRule type="expression" dxfId="301" priority="320">
      <formula>AND(IF($Q92=3,1,0),IF($X92&lt;30,1,0))</formula>
    </cfRule>
    <cfRule type="expression" dxfId="300" priority="321">
      <formula>AND(IF($Q92=3,1,IF($Q92=4,1,0)),IF($F92&lt;=85,1,0))</formula>
    </cfRule>
  </conditionalFormatting>
  <conditionalFormatting sqref="X92">
    <cfRule type="expression" dxfId="299" priority="314">
      <formula>AND(IF(OR($Q92=1,$Q92=2),1,0),IF($X92&lt;=20,1,0))</formula>
    </cfRule>
    <cfRule type="expression" dxfId="298" priority="315">
      <formula>AND(IF($Q92=2,1,0),IF($X92&lt;30,1,0))</formula>
    </cfRule>
    <cfRule type="expression" dxfId="297" priority="316">
      <formula>AND(IF($Q92=3,1,0),IF($X92&lt;30,1,0))</formula>
    </cfRule>
    <cfRule type="expression" dxfId="296" priority="317">
      <formula>AND(IF($Q92=3,1,IF($Q92=4,1,0)),IF($F92&lt;=85,1,0))</formula>
    </cfRule>
  </conditionalFormatting>
  <conditionalFormatting sqref="AI92">
    <cfRule type="expression" dxfId="295" priority="310">
      <formula>AND(IF(OR($Q92=1,$Q92=2),1,0),IF($X92&lt;=20,1,0))</formula>
    </cfRule>
    <cfRule type="expression" dxfId="294" priority="311">
      <formula>AND(IF($Q92=2,1,0),IF($X92&lt;30,1,0))</formula>
    </cfRule>
    <cfRule type="expression" dxfId="293" priority="312">
      <formula>AND(IF($Q92=3,1,0),IF($X92&lt;30,1,0))</formula>
    </cfRule>
    <cfRule type="expression" dxfId="292" priority="313">
      <formula>AND(IF($Q92=3,1,IF($Q92=4,1,0)),IF($F92&lt;=85,1,0))</formula>
    </cfRule>
  </conditionalFormatting>
  <conditionalFormatting sqref="AV93">
    <cfRule type="expression" dxfId="291" priority="308">
      <formula>AV93="X"</formula>
    </cfRule>
    <cfRule type="expression" dxfId="290" priority="309">
      <formula>AV93="후보"</formula>
    </cfRule>
  </conditionalFormatting>
  <conditionalFormatting sqref="Z93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89" priority="305" operator="greaterThan">
      <formula>0.9</formula>
    </cfRule>
    <cfRule type="cellIs" dxfId="288" priority="306" operator="greaterThan">
      <formula>0.85</formula>
    </cfRule>
  </conditionalFormatting>
  <conditionalFormatting sqref="N93">
    <cfRule type="cellIs" dxfId="287" priority="303" operator="greaterThan">
      <formula>0.9</formula>
    </cfRule>
    <cfRule type="cellIs" dxfId="286" priority="304" operator="greaterThan">
      <formula>0.85</formula>
    </cfRule>
  </conditionalFormatting>
  <conditionalFormatting sqref="E93">
    <cfRule type="expression" dxfId="285" priority="299">
      <formula>AND(IF(OR($Q93=1,$Q93=2),1,0),IF($X93&lt;=20,1,0))</formula>
    </cfRule>
    <cfRule type="expression" dxfId="284" priority="300">
      <formula>AND(IF($Q93=2,1,0),IF($X93&lt;30,1,0))</formula>
    </cfRule>
    <cfRule type="expression" dxfId="283" priority="301">
      <formula>AND(IF($Q93=3,1,0),IF($X93&lt;30,1,0))</formula>
    </cfRule>
    <cfRule type="expression" dxfId="282" priority="302">
      <formula>AND(IF($Q93=3,1,IF($Q93=4,1,0)),IF($F93&lt;=85,1,0))</formula>
    </cfRule>
  </conditionalFormatting>
  <conditionalFormatting sqref="X93">
    <cfRule type="expression" dxfId="281" priority="295">
      <formula>AND(IF(OR($Q93=1,$Q93=2),1,0),IF($X93&lt;=20,1,0))</formula>
    </cfRule>
    <cfRule type="expression" dxfId="280" priority="296">
      <formula>AND(IF($Q93=2,1,0),IF($X93&lt;30,1,0))</formula>
    </cfRule>
    <cfRule type="expression" dxfId="279" priority="297">
      <formula>AND(IF($Q93=3,1,0),IF($X93&lt;30,1,0))</formula>
    </cfRule>
    <cfRule type="expression" dxfId="278" priority="298">
      <formula>AND(IF($Q93=3,1,IF($Q93=4,1,0)),IF($F93&lt;=85,1,0))</formula>
    </cfRule>
  </conditionalFormatting>
  <conditionalFormatting sqref="AI93">
    <cfRule type="expression" dxfId="277" priority="291">
      <formula>AND(IF(OR($Q93=1,$Q93=2),1,0),IF($X93&lt;=20,1,0))</formula>
    </cfRule>
    <cfRule type="expression" dxfId="276" priority="292">
      <formula>AND(IF($Q93=2,1,0),IF($X93&lt;30,1,0))</formula>
    </cfRule>
    <cfRule type="expression" dxfId="275" priority="293">
      <formula>AND(IF($Q93=3,1,0),IF($X93&lt;30,1,0))</formula>
    </cfRule>
    <cfRule type="expression" dxfId="274" priority="294">
      <formula>AND(IF($Q93=3,1,IF($Q93=4,1,0)),IF($F93&lt;=85,1,0))</formula>
    </cfRule>
  </conditionalFormatting>
  <conditionalFormatting sqref="AV94">
    <cfRule type="expression" dxfId="273" priority="289">
      <formula>AV94="X"</formula>
    </cfRule>
    <cfRule type="expression" dxfId="272" priority="290">
      <formula>AV94="후보"</formula>
    </cfRule>
  </conditionalFormatting>
  <conditionalFormatting sqref="Z94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71" priority="286" operator="greaterThan">
      <formula>0.9</formula>
    </cfRule>
    <cfRule type="cellIs" dxfId="270" priority="287" operator="greaterThan">
      <formula>0.85</formula>
    </cfRule>
  </conditionalFormatting>
  <conditionalFormatting sqref="N94">
    <cfRule type="cellIs" dxfId="269" priority="284" operator="greaterThan">
      <formula>0.9</formula>
    </cfRule>
    <cfRule type="cellIs" dxfId="268" priority="285" operator="greaterThan">
      <formula>0.85</formula>
    </cfRule>
  </conditionalFormatting>
  <conditionalFormatting sqref="E94">
    <cfRule type="expression" dxfId="267" priority="280">
      <formula>AND(IF(OR($Q94=1,$Q94=2),1,0),IF($X94&lt;=20,1,0))</formula>
    </cfRule>
    <cfRule type="expression" dxfId="266" priority="281">
      <formula>AND(IF($Q94=2,1,0),IF($X94&lt;30,1,0))</formula>
    </cfRule>
    <cfRule type="expression" dxfId="265" priority="282">
      <formula>AND(IF($Q94=3,1,0),IF($X94&lt;30,1,0))</formula>
    </cfRule>
    <cfRule type="expression" dxfId="264" priority="283">
      <formula>AND(IF($Q94=3,1,IF($Q94=4,1,0)),IF($F94&lt;=85,1,0))</formula>
    </cfRule>
  </conditionalFormatting>
  <conditionalFormatting sqref="X94">
    <cfRule type="expression" dxfId="263" priority="276">
      <formula>AND(IF(OR($Q94=1,$Q94=2),1,0),IF($X94&lt;=20,1,0))</formula>
    </cfRule>
    <cfRule type="expression" dxfId="262" priority="277">
      <formula>AND(IF($Q94=2,1,0),IF($X94&lt;30,1,0))</formula>
    </cfRule>
    <cfRule type="expression" dxfId="261" priority="278">
      <formula>AND(IF($Q94=3,1,0),IF($X94&lt;30,1,0))</formula>
    </cfRule>
    <cfRule type="expression" dxfId="260" priority="279">
      <formula>AND(IF($Q94=3,1,IF($Q94=4,1,0)),IF($F94&lt;=85,1,0))</formula>
    </cfRule>
  </conditionalFormatting>
  <conditionalFormatting sqref="AI94">
    <cfRule type="expression" dxfId="259" priority="272">
      <formula>AND(IF(OR($Q94=1,$Q94=2),1,0),IF($X94&lt;=20,1,0))</formula>
    </cfRule>
    <cfRule type="expression" dxfId="258" priority="273">
      <formula>AND(IF($Q94=2,1,0),IF($X94&lt;30,1,0))</formula>
    </cfRule>
    <cfRule type="expression" dxfId="257" priority="274">
      <formula>AND(IF($Q94=3,1,0),IF($X94&lt;30,1,0))</formula>
    </cfRule>
    <cfRule type="expression" dxfId="256" priority="275">
      <formula>AND(IF($Q94=3,1,IF($Q94=4,1,0)),IF($F94&lt;=85,1,0))</formula>
    </cfRule>
  </conditionalFormatting>
  <conditionalFormatting sqref="AV95">
    <cfRule type="expression" dxfId="255" priority="270">
      <formula>AV95="X"</formula>
    </cfRule>
    <cfRule type="expression" dxfId="254" priority="271">
      <formula>AV95="후보"</formula>
    </cfRule>
  </conditionalFormatting>
  <conditionalFormatting sqref="Z95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53" priority="267" operator="greaterThan">
      <formula>0.9</formula>
    </cfRule>
    <cfRule type="cellIs" dxfId="252" priority="268" operator="greaterThan">
      <formula>0.85</formula>
    </cfRule>
  </conditionalFormatting>
  <conditionalFormatting sqref="N95">
    <cfRule type="cellIs" dxfId="251" priority="265" operator="greaterThan">
      <formula>0.9</formula>
    </cfRule>
    <cfRule type="cellIs" dxfId="250" priority="266" operator="greaterThan">
      <formula>0.85</formula>
    </cfRule>
  </conditionalFormatting>
  <conditionalFormatting sqref="E95">
    <cfRule type="expression" dxfId="249" priority="261">
      <formula>AND(IF(OR($Q95=1,$Q95=2),1,0),IF($X95&lt;=20,1,0))</formula>
    </cfRule>
    <cfRule type="expression" dxfId="248" priority="262">
      <formula>AND(IF($Q95=2,1,0),IF($X95&lt;30,1,0))</formula>
    </cfRule>
    <cfRule type="expression" dxfId="247" priority="263">
      <formula>AND(IF($Q95=3,1,0),IF($X95&lt;30,1,0))</formula>
    </cfRule>
    <cfRule type="expression" dxfId="246" priority="264">
      <formula>AND(IF($Q95=3,1,IF($Q95=4,1,0)),IF($F95&lt;=85,1,0))</formula>
    </cfRule>
  </conditionalFormatting>
  <conditionalFormatting sqref="X95">
    <cfRule type="expression" dxfId="245" priority="257">
      <formula>AND(IF(OR($Q95=1,$Q95=2),1,0),IF($X95&lt;=20,1,0))</formula>
    </cfRule>
    <cfRule type="expression" dxfId="244" priority="258">
      <formula>AND(IF($Q95=2,1,0),IF($X95&lt;30,1,0))</formula>
    </cfRule>
    <cfRule type="expression" dxfId="243" priority="259">
      <formula>AND(IF($Q95=3,1,0),IF($X95&lt;30,1,0))</formula>
    </cfRule>
    <cfRule type="expression" dxfId="242" priority="260">
      <formula>AND(IF($Q95=3,1,IF($Q95=4,1,0)),IF($F95&lt;=85,1,0))</formula>
    </cfRule>
  </conditionalFormatting>
  <conditionalFormatting sqref="AI95">
    <cfRule type="expression" dxfId="241" priority="253">
      <formula>AND(IF(OR($Q95=1,$Q95=2),1,0),IF($X95&lt;=20,1,0))</formula>
    </cfRule>
    <cfRule type="expression" dxfId="240" priority="254">
      <formula>AND(IF($Q95=2,1,0),IF($X95&lt;30,1,0))</formula>
    </cfRule>
    <cfRule type="expression" dxfId="239" priority="255">
      <formula>AND(IF($Q95=3,1,0),IF($X95&lt;30,1,0))</formula>
    </cfRule>
    <cfRule type="expression" dxfId="238" priority="256">
      <formula>AND(IF($Q95=3,1,IF($Q95=4,1,0)),IF($F95&lt;=85,1,0))</formula>
    </cfRule>
  </conditionalFormatting>
  <conditionalFormatting sqref="AV96">
    <cfRule type="expression" dxfId="237" priority="251">
      <formula>AV96="X"</formula>
    </cfRule>
    <cfRule type="expression" dxfId="236" priority="252">
      <formula>AV96="후보"</formula>
    </cfRule>
  </conditionalFormatting>
  <conditionalFormatting sqref="Z96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 N96">
    <cfRule type="cellIs" dxfId="235" priority="248" operator="greaterThan">
      <formula>0.9</formula>
    </cfRule>
    <cfRule type="cellIs" dxfId="234" priority="249" operator="greaterThan">
      <formula>0.85</formula>
    </cfRule>
  </conditionalFormatting>
  <conditionalFormatting sqref="AV97">
    <cfRule type="expression" dxfId="233" priority="246">
      <formula>AV97="X"</formula>
    </cfRule>
    <cfRule type="expression" dxfId="232" priority="247">
      <formula>AV97="후보"</formula>
    </cfRule>
  </conditionalFormatting>
  <conditionalFormatting sqref="Z97">
    <cfRule type="colorScale" priority="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31" priority="243" operator="greaterThan">
      <formula>0.9</formula>
    </cfRule>
    <cfRule type="cellIs" dxfId="230" priority="244" operator="greaterThan">
      <formula>0.85</formula>
    </cfRule>
  </conditionalFormatting>
  <conditionalFormatting sqref="N97">
    <cfRule type="cellIs" dxfId="229" priority="241" operator="greaterThan">
      <formula>0.9</formula>
    </cfRule>
    <cfRule type="cellIs" dxfId="228" priority="242" operator="greaterThan">
      <formula>0.85</formula>
    </cfRule>
  </conditionalFormatting>
  <conditionalFormatting sqref="E97">
    <cfRule type="expression" dxfId="227" priority="237">
      <formula>AND(IF(OR($Q97=1,$Q97=2),1,0),IF($X97&lt;=20,1,0))</formula>
    </cfRule>
    <cfRule type="expression" dxfId="226" priority="238">
      <formula>AND(IF($Q97=2,1,0),IF($X97&lt;30,1,0))</formula>
    </cfRule>
    <cfRule type="expression" dxfId="225" priority="239">
      <formula>AND(IF($Q97=3,1,0),IF($X97&lt;30,1,0))</formula>
    </cfRule>
    <cfRule type="expression" dxfId="224" priority="240">
      <formula>AND(IF($Q97=3,1,IF($Q97=4,1,0)),IF($F97&lt;=85,1,0))</formula>
    </cfRule>
  </conditionalFormatting>
  <conditionalFormatting sqref="X97">
    <cfRule type="expression" dxfId="223" priority="233">
      <formula>AND(IF(OR($Q97=1,$Q97=2),1,0),IF($X97&lt;=20,1,0))</formula>
    </cfRule>
    <cfRule type="expression" dxfId="222" priority="234">
      <formula>AND(IF($Q97=2,1,0),IF($X97&lt;30,1,0))</formula>
    </cfRule>
    <cfRule type="expression" dxfId="221" priority="235">
      <formula>AND(IF($Q97=3,1,0),IF($X97&lt;30,1,0))</formula>
    </cfRule>
    <cfRule type="expression" dxfId="220" priority="236">
      <formula>AND(IF($Q97=3,1,IF($Q97=4,1,0)),IF($F97&lt;=85,1,0))</formula>
    </cfRule>
  </conditionalFormatting>
  <conditionalFormatting sqref="AI97">
    <cfRule type="expression" dxfId="219" priority="229">
      <formula>AND(IF(OR($Q97=1,$Q97=2),1,0),IF($X97&lt;=20,1,0))</formula>
    </cfRule>
    <cfRule type="expression" dxfId="218" priority="230">
      <formula>AND(IF($Q97=2,1,0),IF($X97&lt;30,1,0))</formula>
    </cfRule>
    <cfRule type="expression" dxfId="217" priority="231">
      <formula>AND(IF($Q97=3,1,0),IF($X97&lt;30,1,0))</formula>
    </cfRule>
    <cfRule type="expression" dxfId="216" priority="232">
      <formula>AND(IF($Q97=3,1,IF($Q97=4,1,0)),IF($F97&lt;=85,1,0))</formula>
    </cfRule>
  </conditionalFormatting>
  <conditionalFormatting sqref="AV98">
    <cfRule type="expression" dxfId="215" priority="227">
      <formula>AV98="X"</formula>
    </cfRule>
    <cfRule type="expression" dxfId="214" priority="228">
      <formula>AV98="후보"</formula>
    </cfRule>
  </conditionalFormatting>
  <conditionalFormatting sqref="Z98">
    <cfRule type="colorScale" priority="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13" priority="224" operator="greaterThan">
      <formula>0.9</formula>
    </cfRule>
    <cfRule type="cellIs" dxfId="212" priority="225" operator="greaterThan">
      <formula>0.85</formula>
    </cfRule>
  </conditionalFormatting>
  <conditionalFormatting sqref="N98">
    <cfRule type="cellIs" dxfId="211" priority="222" operator="greaterThan">
      <formula>0.9</formula>
    </cfRule>
    <cfRule type="cellIs" dxfId="210" priority="223" operator="greaterThan">
      <formula>0.85</formula>
    </cfRule>
  </conditionalFormatting>
  <conditionalFormatting sqref="E98">
    <cfRule type="expression" dxfId="209" priority="218">
      <formula>AND(IF(OR($Q98=1,$Q98=2),1,0),IF($X98&lt;=20,1,0))</formula>
    </cfRule>
    <cfRule type="expression" dxfId="208" priority="219">
      <formula>AND(IF($Q98=2,1,0),IF($X98&lt;30,1,0))</formula>
    </cfRule>
    <cfRule type="expression" dxfId="207" priority="220">
      <formula>AND(IF($Q98=3,1,0),IF($X98&lt;30,1,0))</formula>
    </cfRule>
    <cfRule type="expression" dxfId="206" priority="221">
      <formula>AND(IF($Q98=3,1,IF($Q98=4,1,0)),IF($F98&lt;=85,1,0))</formula>
    </cfRule>
  </conditionalFormatting>
  <conditionalFormatting sqref="X98">
    <cfRule type="expression" dxfId="205" priority="214">
      <formula>AND(IF(OR($Q98=1,$Q98=2),1,0),IF($X98&lt;=20,1,0))</formula>
    </cfRule>
    <cfRule type="expression" dxfId="204" priority="215">
      <formula>AND(IF($Q98=2,1,0),IF($X98&lt;30,1,0))</formula>
    </cfRule>
    <cfRule type="expression" dxfId="203" priority="216">
      <formula>AND(IF($Q98=3,1,0),IF($X98&lt;30,1,0))</formula>
    </cfRule>
    <cfRule type="expression" dxfId="202" priority="217">
      <formula>AND(IF($Q98=3,1,IF($Q98=4,1,0)),IF($F98&lt;=85,1,0))</formula>
    </cfRule>
  </conditionalFormatting>
  <conditionalFormatting sqref="AI98">
    <cfRule type="expression" dxfId="201" priority="210">
      <formula>AND(IF(OR($Q98=1,$Q98=2),1,0),IF($X98&lt;=20,1,0))</formula>
    </cfRule>
    <cfRule type="expression" dxfId="200" priority="211">
      <formula>AND(IF($Q98=2,1,0),IF($X98&lt;30,1,0))</formula>
    </cfRule>
    <cfRule type="expression" dxfId="199" priority="212">
      <formula>AND(IF($Q98=3,1,0),IF($X98&lt;30,1,0))</formula>
    </cfRule>
    <cfRule type="expression" dxfId="198" priority="213">
      <formula>AND(IF($Q98=3,1,IF($Q98=4,1,0)),IF($F98&lt;=85,1,0))</formula>
    </cfRule>
  </conditionalFormatting>
  <conditionalFormatting sqref="AV99">
    <cfRule type="expression" dxfId="197" priority="208">
      <formula>AV99="X"</formula>
    </cfRule>
    <cfRule type="expression" dxfId="196" priority="209">
      <formula>AV99="후보"</formula>
    </cfRule>
  </conditionalFormatting>
  <conditionalFormatting sqref="Z99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95" priority="205" operator="greaterThan">
      <formula>0.9</formula>
    </cfRule>
    <cfRule type="cellIs" dxfId="194" priority="206" operator="greaterThan">
      <formula>0.85</formula>
    </cfRule>
  </conditionalFormatting>
  <conditionalFormatting sqref="N99">
    <cfRule type="cellIs" dxfId="193" priority="203" operator="greaterThan">
      <formula>0.9</formula>
    </cfRule>
    <cfRule type="cellIs" dxfId="192" priority="204" operator="greaterThan">
      <formula>0.85</formula>
    </cfRule>
  </conditionalFormatting>
  <conditionalFormatting sqref="E99">
    <cfRule type="expression" dxfId="191" priority="199">
      <formula>AND(IF(OR($Q99=1,$Q99=2),1,0),IF($X99&lt;=20,1,0))</formula>
    </cfRule>
    <cfRule type="expression" dxfId="190" priority="200">
      <formula>AND(IF($Q99=2,1,0),IF($X99&lt;30,1,0))</formula>
    </cfRule>
    <cfRule type="expression" dxfId="189" priority="201">
      <formula>AND(IF($Q99=3,1,0),IF($X99&lt;30,1,0))</formula>
    </cfRule>
    <cfRule type="expression" dxfId="188" priority="202">
      <formula>AND(IF($Q99=3,1,IF($Q99=4,1,0)),IF($F99&lt;=85,1,0))</formula>
    </cfRule>
  </conditionalFormatting>
  <conditionalFormatting sqref="X99">
    <cfRule type="expression" dxfId="187" priority="195">
      <formula>AND(IF(OR($Q99=1,$Q99=2),1,0),IF($X99&lt;=20,1,0))</formula>
    </cfRule>
    <cfRule type="expression" dxfId="186" priority="196">
      <formula>AND(IF($Q99=2,1,0),IF($X99&lt;30,1,0))</formula>
    </cfRule>
    <cfRule type="expression" dxfId="185" priority="197">
      <formula>AND(IF($Q99=3,1,0),IF($X99&lt;30,1,0))</formula>
    </cfRule>
    <cfRule type="expression" dxfId="184" priority="198">
      <formula>AND(IF($Q99=3,1,IF($Q99=4,1,0)),IF($F99&lt;=85,1,0))</formula>
    </cfRule>
  </conditionalFormatting>
  <conditionalFormatting sqref="AI99">
    <cfRule type="expression" dxfId="183" priority="191">
      <formula>AND(IF(OR($Q99=1,$Q99=2),1,0),IF($X99&lt;=20,1,0))</formula>
    </cfRule>
    <cfRule type="expression" dxfId="182" priority="192">
      <formula>AND(IF($Q99=2,1,0),IF($X99&lt;30,1,0))</formula>
    </cfRule>
    <cfRule type="expression" dxfId="181" priority="193">
      <formula>AND(IF($Q99=3,1,0),IF($X99&lt;30,1,0))</formula>
    </cfRule>
    <cfRule type="expression" dxfId="180" priority="194">
      <formula>AND(IF($Q99=3,1,IF($Q99=4,1,0)),IF($F99&lt;=85,1,0))</formula>
    </cfRule>
  </conditionalFormatting>
  <conditionalFormatting sqref="AV100">
    <cfRule type="expression" dxfId="179" priority="189">
      <formula>AV100="X"</formula>
    </cfRule>
    <cfRule type="expression" dxfId="178" priority="190">
      <formula>AV100="후보"</formula>
    </cfRule>
  </conditionalFormatting>
  <conditionalFormatting sqref="Z100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77" priority="186" operator="greaterThan">
      <formula>0.9</formula>
    </cfRule>
    <cfRule type="cellIs" dxfId="176" priority="187" operator="greaterThan">
      <formula>0.85</formula>
    </cfRule>
  </conditionalFormatting>
  <conditionalFormatting sqref="N100">
    <cfRule type="cellIs" dxfId="175" priority="184" operator="greaterThan">
      <formula>0.9</formula>
    </cfRule>
    <cfRule type="cellIs" dxfId="174" priority="185" operator="greaterThan">
      <formula>0.85</formula>
    </cfRule>
  </conditionalFormatting>
  <conditionalFormatting sqref="E100">
    <cfRule type="expression" dxfId="173" priority="180">
      <formula>AND(IF(OR($Q100=1,$Q100=2),1,0),IF($X100&lt;=20,1,0))</formula>
    </cfRule>
    <cfRule type="expression" dxfId="172" priority="181">
      <formula>AND(IF($Q100=2,1,0),IF($X100&lt;30,1,0))</formula>
    </cfRule>
    <cfRule type="expression" dxfId="171" priority="182">
      <formula>AND(IF($Q100=3,1,0),IF($X100&lt;30,1,0))</formula>
    </cfRule>
    <cfRule type="expression" dxfId="170" priority="183">
      <formula>AND(IF($Q100=3,1,IF($Q100=4,1,0)),IF($F100&lt;=85,1,0))</formula>
    </cfRule>
  </conditionalFormatting>
  <conditionalFormatting sqref="X100">
    <cfRule type="expression" dxfId="169" priority="176">
      <formula>AND(IF(OR($Q100=1,$Q100=2),1,0),IF($X100&lt;=20,1,0))</formula>
    </cfRule>
    <cfRule type="expression" dxfId="168" priority="177">
      <formula>AND(IF($Q100=2,1,0),IF($X100&lt;30,1,0))</formula>
    </cfRule>
    <cfRule type="expression" dxfId="167" priority="178">
      <formula>AND(IF($Q100=3,1,0),IF($X100&lt;30,1,0))</formula>
    </cfRule>
    <cfRule type="expression" dxfId="166" priority="179">
      <formula>AND(IF($Q100=3,1,IF($Q100=4,1,0)),IF($F100&lt;=85,1,0))</formula>
    </cfRule>
  </conditionalFormatting>
  <conditionalFormatting sqref="AI100">
    <cfRule type="expression" dxfId="165" priority="172">
      <formula>AND(IF(OR($Q100=1,$Q100=2),1,0),IF($X100&lt;=20,1,0))</formula>
    </cfRule>
    <cfRule type="expression" dxfId="164" priority="173">
      <formula>AND(IF($Q100=2,1,0),IF($X100&lt;30,1,0))</formula>
    </cfRule>
    <cfRule type="expression" dxfId="163" priority="174">
      <formula>AND(IF($Q100=3,1,0),IF($X100&lt;30,1,0))</formula>
    </cfRule>
    <cfRule type="expression" dxfId="162" priority="175">
      <formula>AND(IF($Q100=3,1,IF($Q100=4,1,0)),IF($F100&lt;=85,1,0))</formula>
    </cfRule>
  </conditionalFormatting>
  <conditionalFormatting sqref="AV101">
    <cfRule type="expression" dxfId="161" priority="170">
      <formula>AV101="X"</formula>
    </cfRule>
    <cfRule type="expression" dxfId="160" priority="171">
      <formula>AV101="후보"</formula>
    </cfRule>
  </conditionalFormatting>
  <conditionalFormatting sqref="Z101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59" priority="167" operator="greaterThan">
      <formula>0.9</formula>
    </cfRule>
    <cfRule type="cellIs" dxfId="158" priority="168" operator="greaterThan">
      <formula>0.85</formula>
    </cfRule>
  </conditionalFormatting>
  <conditionalFormatting sqref="N101">
    <cfRule type="cellIs" dxfId="157" priority="165" operator="greaterThan">
      <formula>0.9</formula>
    </cfRule>
    <cfRule type="cellIs" dxfId="156" priority="166" operator="greaterThan">
      <formula>0.85</formula>
    </cfRule>
  </conditionalFormatting>
  <conditionalFormatting sqref="E101">
    <cfRule type="expression" dxfId="155" priority="161">
      <formula>AND(IF(OR($Q101=1,$Q101=2),1,0),IF($X101&lt;=20,1,0))</formula>
    </cfRule>
    <cfRule type="expression" dxfId="154" priority="162">
      <formula>AND(IF($Q101=2,1,0),IF($X101&lt;30,1,0))</formula>
    </cfRule>
    <cfRule type="expression" dxfId="153" priority="163">
      <formula>AND(IF($Q101=3,1,0),IF($X101&lt;30,1,0))</formula>
    </cfRule>
    <cfRule type="expression" dxfId="152" priority="164">
      <formula>AND(IF($Q101=3,1,IF($Q101=4,1,0)),IF($F101&lt;=85,1,0))</formula>
    </cfRule>
  </conditionalFormatting>
  <conditionalFormatting sqref="X101">
    <cfRule type="expression" dxfId="151" priority="157">
      <formula>AND(IF(OR($Q101=1,$Q101=2),1,0),IF($X101&lt;=20,1,0))</formula>
    </cfRule>
    <cfRule type="expression" dxfId="150" priority="158">
      <formula>AND(IF($Q101=2,1,0),IF($X101&lt;30,1,0))</formula>
    </cfRule>
    <cfRule type="expression" dxfId="149" priority="159">
      <formula>AND(IF($Q101=3,1,0),IF($X101&lt;30,1,0))</formula>
    </cfRule>
    <cfRule type="expression" dxfId="148" priority="160">
      <formula>AND(IF($Q101=3,1,IF($Q101=4,1,0)),IF($F101&lt;=85,1,0))</formula>
    </cfRule>
  </conditionalFormatting>
  <conditionalFormatting sqref="AI101">
    <cfRule type="expression" dxfId="147" priority="153">
      <formula>AND(IF(OR($Q101=1,$Q101=2),1,0),IF($X101&lt;=20,1,0))</formula>
    </cfRule>
    <cfRule type="expression" dxfId="146" priority="154">
      <formula>AND(IF($Q101=2,1,0),IF($X101&lt;30,1,0))</formula>
    </cfRule>
    <cfRule type="expression" dxfId="145" priority="155">
      <formula>AND(IF($Q101=3,1,0),IF($X101&lt;30,1,0))</formula>
    </cfRule>
    <cfRule type="expression" dxfId="144" priority="156">
      <formula>AND(IF($Q101=3,1,IF($Q101=4,1,0)),IF($F101&lt;=85,1,0))</formula>
    </cfRule>
  </conditionalFormatting>
  <conditionalFormatting sqref="AV102">
    <cfRule type="expression" dxfId="143" priority="151">
      <formula>AV102="X"</formula>
    </cfRule>
    <cfRule type="expression" dxfId="142" priority="152">
      <formula>AV102="후보"</formula>
    </cfRule>
  </conditionalFormatting>
  <conditionalFormatting sqref="Z102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41" priority="148" operator="greaterThan">
      <formula>0.9</formula>
    </cfRule>
    <cfRule type="cellIs" dxfId="140" priority="149" operator="greaterThan">
      <formula>0.85</formula>
    </cfRule>
  </conditionalFormatting>
  <conditionalFormatting sqref="N102">
    <cfRule type="cellIs" dxfId="139" priority="146" operator="greaterThan">
      <formula>0.9</formula>
    </cfRule>
    <cfRule type="cellIs" dxfId="138" priority="147" operator="greaterThan">
      <formula>0.85</formula>
    </cfRule>
  </conditionalFormatting>
  <conditionalFormatting sqref="E102">
    <cfRule type="expression" dxfId="137" priority="142">
      <formula>AND(IF(OR($Q102=1,$Q102=2),1,0),IF($X102&lt;=20,1,0))</formula>
    </cfRule>
    <cfRule type="expression" dxfId="136" priority="143">
      <formula>AND(IF($Q102=2,1,0),IF($X102&lt;30,1,0))</formula>
    </cfRule>
    <cfRule type="expression" dxfId="135" priority="144">
      <formula>AND(IF($Q102=3,1,0),IF($X102&lt;30,1,0))</formula>
    </cfRule>
    <cfRule type="expression" dxfId="134" priority="145">
      <formula>AND(IF($Q102=3,1,IF($Q102=4,1,0)),IF($F102&lt;=85,1,0))</formula>
    </cfRule>
  </conditionalFormatting>
  <conditionalFormatting sqref="X102">
    <cfRule type="expression" dxfId="133" priority="138">
      <formula>AND(IF(OR($Q102=1,$Q102=2),1,0),IF($X102&lt;=20,1,0))</formula>
    </cfRule>
    <cfRule type="expression" dxfId="132" priority="139">
      <formula>AND(IF($Q102=2,1,0),IF($X102&lt;30,1,0))</formula>
    </cfRule>
    <cfRule type="expression" dxfId="131" priority="140">
      <formula>AND(IF($Q102=3,1,0),IF($X102&lt;30,1,0))</formula>
    </cfRule>
    <cfRule type="expression" dxfId="130" priority="141">
      <formula>AND(IF($Q102=3,1,IF($Q102=4,1,0)),IF($F102&lt;=85,1,0))</formula>
    </cfRule>
  </conditionalFormatting>
  <conditionalFormatting sqref="AI102">
    <cfRule type="expression" dxfId="129" priority="134">
      <formula>AND(IF(OR($Q102=1,$Q102=2),1,0),IF($X102&lt;=20,1,0))</formula>
    </cfRule>
    <cfRule type="expression" dxfId="128" priority="135">
      <formula>AND(IF($Q102=2,1,0),IF($X102&lt;30,1,0))</formula>
    </cfRule>
    <cfRule type="expression" dxfId="127" priority="136">
      <formula>AND(IF($Q102=3,1,0),IF($X102&lt;30,1,0))</formula>
    </cfRule>
    <cfRule type="expression" dxfId="126" priority="137">
      <formula>AND(IF($Q102=3,1,IF($Q102=4,1,0)),IF($F102&lt;=85,1,0))</formula>
    </cfRule>
  </conditionalFormatting>
  <conditionalFormatting sqref="AV103">
    <cfRule type="expression" dxfId="125" priority="132">
      <formula>AV103="X"</formula>
    </cfRule>
    <cfRule type="expression" dxfId="124" priority="133">
      <formula>AV103="후보"</formula>
    </cfRule>
  </conditionalFormatting>
  <conditionalFormatting sqref="Z103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23" priority="129" operator="greaterThan">
      <formula>0.9</formula>
    </cfRule>
    <cfRule type="cellIs" dxfId="122" priority="130" operator="greaterThan">
      <formula>0.85</formula>
    </cfRule>
  </conditionalFormatting>
  <conditionalFormatting sqref="N103">
    <cfRule type="cellIs" dxfId="121" priority="127" operator="greaterThan">
      <formula>0.9</formula>
    </cfRule>
    <cfRule type="cellIs" dxfId="120" priority="128" operator="greaterThan">
      <formula>0.85</formula>
    </cfRule>
  </conditionalFormatting>
  <conditionalFormatting sqref="E103">
    <cfRule type="expression" dxfId="119" priority="123">
      <formula>AND(IF(OR($Q103=1,$Q103=2),1,0),IF($X103&lt;=20,1,0))</formula>
    </cfRule>
    <cfRule type="expression" dxfId="118" priority="124">
      <formula>AND(IF($Q103=2,1,0),IF($X103&lt;30,1,0))</formula>
    </cfRule>
    <cfRule type="expression" dxfId="117" priority="125">
      <formula>AND(IF($Q103=3,1,0),IF($X103&lt;30,1,0))</formula>
    </cfRule>
    <cfRule type="expression" dxfId="116" priority="126">
      <formula>AND(IF($Q103=3,1,IF($Q103=4,1,0)),IF($F103&lt;=85,1,0))</formula>
    </cfRule>
  </conditionalFormatting>
  <conditionalFormatting sqref="X103">
    <cfRule type="expression" dxfId="115" priority="119">
      <formula>AND(IF(OR($Q103=1,$Q103=2),1,0),IF($X103&lt;=20,1,0))</formula>
    </cfRule>
    <cfRule type="expression" dxfId="114" priority="120">
      <formula>AND(IF($Q103=2,1,0),IF($X103&lt;30,1,0))</formula>
    </cfRule>
    <cfRule type="expression" dxfId="113" priority="121">
      <formula>AND(IF($Q103=3,1,0),IF($X103&lt;30,1,0))</formula>
    </cfRule>
    <cfRule type="expression" dxfId="112" priority="122">
      <formula>AND(IF($Q103=3,1,IF($Q103=4,1,0)),IF($F103&lt;=85,1,0))</formula>
    </cfRule>
  </conditionalFormatting>
  <conditionalFormatting sqref="AI103">
    <cfRule type="expression" dxfId="111" priority="115">
      <formula>AND(IF(OR($Q103=1,$Q103=2),1,0),IF($X103&lt;=20,1,0))</formula>
    </cfRule>
    <cfRule type="expression" dxfId="110" priority="116">
      <formula>AND(IF($Q103=2,1,0),IF($X103&lt;30,1,0))</formula>
    </cfRule>
    <cfRule type="expression" dxfId="109" priority="117">
      <formula>AND(IF($Q103=3,1,0),IF($X103&lt;30,1,0))</formula>
    </cfRule>
    <cfRule type="expression" dxfId="108" priority="118">
      <formula>AND(IF($Q103=3,1,IF($Q103=4,1,0)),IF($F103&lt;=85,1,0))</formula>
    </cfRule>
  </conditionalFormatting>
  <conditionalFormatting sqref="AV104">
    <cfRule type="expression" dxfId="107" priority="113">
      <formula>AV104="X"</formula>
    </cfRule>
    <cfRule type="expression" dxfId="106" priority="114">
      <formula>AV104="후보"</formula>
    </cfRule>
  </conditionalFormatting>
  <conditionalFormatting sqref="Z104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05" priority="110" operator="greaterThan">
      <formula>0.9</formula>
    </cfRule>
    <cfRule type="cellIs" dxfId="104" priority="111" operator="greaterThan">
      <formula>0.85</formula>
    </cfRule>
  </conditionalFormatting>
  <conditionalFormatting sqref="N104">
    <cfRule type="cellIs" dxfId="103" priority="108" operator="greaterThan">
      <formula>0.9</formula>
    </cfRule>
    <cfRule type="cellIs" dxfId="102" priority="109" operator="greaterThan">
      <formula>0.85</formula>
    </cfRule>
  </conditionalFormatting>
  <conditionalFormatting sqref="E104">
    <cfRule type="expression" dxfId="101" priority="104">
      <formula>AND(IF(OR($Q104=1,$Q104=2),1,0),IF($X104&lt;=20,1,0))</formula>
    </cfRule>
    <cfRule type="expression" dxfId="100" priority="105">
      <formula>AND(IF($Q104=2,1,0),IF($X104&lt;30,1,0))</formula>
    </cfRule>
    <cfRule type="expression" dxfId="99" priority="106">
      <formula>AND(IF($Q104=3,1,0),IF($X104&lt;30,1,0))</formula>
    </cfRule>
    <cfRule type="expression" dxfId="98" priority="107">
      <formula>AND(IF($Q104=3,1,IF($Q104=4,1,0)),IF($F104&lt;=85,1,0))</formula>
    </cfRule>
  </conditionalFormatting>
  <conditionalFormatting sqref="X104">
    <cfRule type="expression" dxfId="97" priority="100">
      <formula>AND(IF(OR($Q104=1,$Q104=2),1,0),IF($X104&lt;=20,1,0))</formula>
    </cfRule>
    <cfRule type="expression" dxfId="96" priority="101">
      <formula>AND(IF($Q104=2,1,0),IF($X104&lt;30,1,0))</formula>
    </cfRule>
    <cfRule type="expression" dxfId="95" priority="102">
      <formula>AND(IF($Q104=3,1,0),IF($X104&lt;30,1,0))</formula>
    </cfRule>
    <cfRule type="expression" dxfId="94" priority="103">
      <formula>AND(IF($Q104=3,1,IF($Q104=4,1,0)),IF($F104&lt;=85,1,0))</formula>
    </cfRule>
  </conditionalFormatting>
  <conditionalFormatting sqref="AI104">
    <cfRule type="expression" dxfId="93" priority="96">
      <formula>AND(IF(OR($Q104=1,$Q104=2),1,0),IF($X104&lt;=20,1,0))</formula>
    </cfRule>
    <cfRule type="expression" dxfId="92" priority="97">
      <formula>AND(IF($Q104=2,1,0),IF($X104&lt;30,1,0))</formula>
    </cfRule>
    <cfRule type="expression" dxfId="91" priority="98">
      <formula>AND(IF($Q104=3,1,0),IF($X104&lt;30,1,0))</formula>
    </cfRule>
    <cfRule type="expression" dxfId="90" priority="99">
      <formula>AND(IF($Q104=3,1,IF($Q104=4,1,0)),IF($F104&lt;=85,1,0))</formula>
    </cfRule>
  </conditionalFormatting>
  <conditionalFormatting sqref="AV105">
    <cfRule type="expression" dxfId="89" priority="94">
      <formula>AV105="X"</formula>
    </cfRule>
    <cfRule type="expression" dxfId="88" priority="95">
      <formula>AV105="후보"</formula>
    </cfRule>
  </conditionalFormatting>
  <conditionalFormatting sqref="Z105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87" priority="91" operator="greaterThan">
      <formula>0.9</formula>
    </cfRule>
    <cfRule type="cellIs" dxfId="86" priority="92" operator="greaterThan">
      <formula>0.85</formula>
    </cfRule>
  </conditionalFormatting>
  <conditionalFormatting sqref="N105">
    <cfRule type="cellIs" dxfId="85" priority="89" operator="greaterThan">
      <formula>0.9</formula>
    </cfRule>
    <cfRule type="cellIs" dxfId="84" priority="90" operator="greaterThan">
      <formula>0.85</formula>
    </cfRule>
  </conditionalFormatting>
  <conditionalFormatting sqref="E105">
    <cfRule type="expression" dxfId="83" priority="85">
      <formula>AND(IF(OR($Q105=1,$Q105=2),1,0),IF($X105&lt;=20,1,0))</formula>
    </cfRule>
    <cfRule type="expression" dxfId="82" priority="86">
      <formula>AND(IF($Q105=2,1,0),IF($X105&lt;30,1,0))</formula>
    </cfRule>
    <cfRule type="expression" dxfId="81" priority="87">
      <formula>AND(IF($Q105=3,1,0),IF($X105&lt;30,1,0))</formula>
    </cfRule>
    <cfRule type="expression" dxfId="80" priority="88">
      <formula>AND(IF($Q105=3,1,IF($Q105=4,1,0)),IF($F105&lt;=85,1,0))</formula>
    </cfRule>
  </conditionalFormatting>
  <conditionalFormatting sqref="X105">
    <cfRule type="expression" dxfId="79" priority="81">
      <formula>AND(IF(OR($Q105=1,$Q105=2),1,0),IF($X105&lt;=20,1,0))</formula>
    </cfRule>
    <cfRule type="expression" dxfId="78" priority="82">
      <formula>AND(IF($Q105=2,1,0),IF($X105&lt;30,1,0))</formula>
    </cfRule>
    <cfRule type="expression" dxfId="77" priority="83">
      <formula>AND(IF($Q105=3,1,0),IF($X105&lt;30,1,0))</formula>
    </cfRule>
    <cfRule type="expression" dxfId="76" priority="84">
      <formula>AND(IF($Q105=3,1,IF($Q105=4,1,0)),IF($F105&lt;=85,1,0))</formula>
    </cfRule>
  </conditionalFormatting>
  <conditionalFormatting sqref="AI105">
    <cfRule type="expression" dxfId="75" priority="77">
      <formula>AND(IF(OR($Q105=1,$Q105=2),1,0),IF($X105&lt;=20,1,0))</formula>
    </cfRule>
    <cfRule type="expression" dxfId="74" priority="78">
      <formula>AND(IF($Q105=2,1,0),IF($X105&lt;30,1,0))</formula>
    </cfRule>
    <cfRule type="expression" dxfId="73" priority="79">
      <formula>AND(IF($Q105=3,1,0),IF($X105&lt;30,1,0))</formula>
    </cfRule>
    <cfRule type="expression" dxfId="72" priority="80">
      <formula>AND(IF($Q105=3,1,IF($Q105=4,1,0)),IF($F105&lt;=85,1,0))</formula>
    </cfRule>
  </conditionalFormatting>
  <conditionalFormatting sqref="AV106">
    <cfRule type="expression" dxfId="71" priority="75">
      <formula>AV106="X"</formula>
    </cfRule>
    <cfRule type="expression" dxfId="70" priority="76">
      <formula>AV106="후보"</formula>
    </cfRule>
  </conditionalFormatting>
  <conditionalFormatting sqref="Z106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106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106">
    <cfRule type="expression" dxfId="65" priority="66">
      <formula>AND(IF(OR($Q106=1,$Q106=2),1,0),IF($X106&lt;=20,1,0))</formula>
    </cfRule>
    <cfRule type="expression" dxfId="64" priority="67">
      <formula>AND(IF($Q106=2,1,0),IF($X106&lt;30,1,0))</formula>
    </cfRule>
    <cfRule type="expression" dxfId="63" priority="68">
      <formula>AND(IF($Q106=3,1,0),IF($X106&lt;30,1,0))</formula>
    </cfRule>
    <cfRule type="expression" dxfId="62" priority="69">
      <formula>AND(IF($Q106=3,1,IF($Q106=4,1,0)),IF($F106&lt;=85,1,0))</formula>
    </cfRule>
  </conditionalFormatting>
  <conditionalFormatting sqref="X106">
    <cfRule type="expression" dxfId="61" priority="62">
      <formula>AND(IF(OR($Q106=1,$Q106=2),1,0),IF($X106&lt;=20,1,0))</formula>
    </cfRule>
    <cfRule type="expression" dxfId="60" priority="63">
      <formula>AND(IF($Q106=2,1,0),IF($X106&lt;30,1,0))</formula>
    </cfRule>
    <cfRule type="expression" dxfId="59" priority="64">
      <formula>AND(IF($Q106=3,1,0),IF($X106&lt;30,1,0))</formula>
    </cfRule>
    <cfRule type="expression" dxfId="58" priority="65">
      <formula>AND(IF($Q106=3,1,IF($Q106=4,1,0)),IF($F106&lt;=85,1,0))</formula>
    </cfRule>
  </conditionalFormatting>
  <conditionalFormatting sqref="AI106">
    <cfRule type="expression" dxfId="57" priority="58">
      <formula>AND(IF(OR($Q106=1,$Q106=2),1,0),IF($X106&lt;=20,1,0))</formula>
    </cfRule>
    <cfRule type="expression" dxfId="56" priority="59">
      <formula>AND(IF($Q106=2,1,0),IF($X106&lt;30,1,0))</formula>
    </cfRule>
    <cfRule type="expression" dxfId="55" priority="60">
      <formula>AND(IF($Q106=3,1,0),IF($X106&lt;30,1,0))</formula>
    </cfRule>
    <cfRule type="expression" dxfId="54" priority="61">
      <formula>AND(IF($Q106=3,1,IF($Q106=4,1,0)),IF($F106&lt;=85,1,0))</formula>
    </cfRule>
  </conditionalFormatting>
  <conditionalFormatting sqref="AV107">
    <cfRule type="expression" dxfId="53" priority="56">
      <formula>AV107="X"</formula>
    </cfRule>
    <cfRule type="expression" dxfId="52" priority="57">
      <formula>AV107="후보"</formula>
    </cfRule>
  </conditionalFormatting>
  <conditionalFormatting sqref="Z10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107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107">
    <cfRule type="expression" dxfId="47" priority="47">
      <formula>AND(IF(OR($Q107=1,$Q107=2),1,0),IF($X107&lt;=20,1,0))</formula>
    </cfRule>
    <cfRule type="expression" dxfId="46" priority="48">
      <formula>AND(IF($Q107=2,1,0),IF($X107&lt;30,1,0))</formula>
    </cfRule>
    <cfRule type="expression" dxfId="45" priority="49">
      <formula>AND(IF($Q107=3,1,0),IF($X107&lt;30,1,0))</formula>
    </cfRule>
    <cfRule type="expression" dxfId="44" priority="50">
      <formula>AND(IF($Q107=3,1,IF($Q107=4,1,0)),IF($F107&lt;=85,1,0))</formula>
    </cfRule>
  </conditionalFormatting>
  <conditionalFormatting sqref="X107">
    <cfRule type="expression" dxfId="43" priority="43">
      <formula>AND(IF(OR($Q107=1,$Q107=2),1,0),IF($X107&lt;=20,1,0))</formula>
    </cfRule>
    <cfRule type="expression" dxfId="42" priority="44">
      <formula>AND(IF($Q107=2,1,0),IF($X107&lt;30,1,0))</formula>
    </cfRule>
    <cfRule type="expression" dxfId="41" priority="45">
      <formula>AND(IF($Q107=3,1,0),IF($X107&lt;30,1,0))</formula>
    </cfRule>
    <cfRule type="expression" dxfId="40" priority="46">
      <formula>AND(IF($Q107=3,1,IF($Q107=4,1,0)),IF($F107&lt;=85,1,0))</formula>
    </cfRule>
  </conditionalFormatting>
  <conditionalFormatting sqref="AI107">
    <cfRule type="expression" dxfId="39" priority="39">
      <formula>AND(IF(OR($Q107=1,$Q107=2),1,0),IF($X107&lt;=20,1,0))</formula>
    </cfRule>
    <cfRule type="expression" dxfId="38" priority="40">
      <formula>AND(IF($Q107=2,1,0),IF($X107&lt;30,1,0))</formula>
    </cfRule>
    <cfRule type="expression" dxfId="37" priority="41">
      <formula>AND(IF($Q107=3,1,0),IF($X107&lt;30,1,0))</formula>
    </cfRule>
    <cfRule type="expression" dxfId="36" priority="42">
      <formula>AND(IF($Q107=3,1,IF($Q107=4,1,0)),IF($F107&lt;=85,1,0))</formula>
    </cfRule>
  </conditionalFormatting>
  <conditionalFormatting sqref="AV108">
    <cfRule type="expression" dxfId="35" priority="37">
      <formula>AV108="X"</formula>
    </cfRule>
    <cfRule type="expression" dxfId="34" priority="38">
      <formula>AV108="후보"</formula>
    </cfRule>
  </conditionalFormatting>
  <conditionalFormatting sqref="Z10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108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108">
    <cfRule type="expression" dxfId="29" priority="28">
      <formula>AND(IF(OR($Q108=1,$Q108=2),1,0),IF($X108&lt;=20,1,0))</formula>
    </cfRule>
    <cfRule type="expression" dxfId="28" priority="29">
      <formula>AND(IF($Q108=2,1,0),IF($X108&lt;30,1,0))</formula>
    </cfRule>
    <cfRule type="expression" dxfId="27" priority="30">
      <formula>AND(IF($Q108=3,1,0),IF($X108&lt;30,1,0))</formula>
    </cfRule>
    <cfRule type="expression" dxfId="26" priority="31">
      <formula>AND(IF($Q108=3,1,IF($Q108=4,1,0)),IF($F108&lt;=85,1,0))</formula>
    </cfRule>
  </conditionalFormatting>
  <conditionalFormatting sqref="X108">
    <cfRule type="expression" dxfId="25" priority="24">
      <formula>AND(IF(OR($Q108=1,$Q108=2),1,0),IF($X108&lt;=20,1,0))</formula>
    </cfRule>
    <cfRule type="expression" dxfId="24" priority="25">
      <formula>AND(IF($Q108=2,1,0),IF($X108&lt;30,1,0))</formula>
    </cfRule>
    <cfRule type="expression" dxfId="23" priority="26">
      <formula>AND(IF($Q108=3,1,0),IF($X108&lt;30,1,0))</formula>
    </cfRule>
    <cfRule type="expression" dxfId="22" priority="27">
      <formula>AND(IF($Q108=3,1,IF($Q108=4,1,0)),IF($F108&lt;=85,1,0))</formula>
    </cfRule>
  </conditionalFormatting>
  <conditionalFormatting sqref="AI108">
    <cfRule type="expression" dxfId="21" priority="20">
      <formula>AND(IF(OR($Q108=1,$Q108=2),1,0),IF($X108&lt;=20,1,0))</formula>
    </cfRule>
    <cfRule type="expression" dxfId="20" priority="21">
      <formula>AND(IF($Q108=2,1,0),IF($X108&lt;30,1,0))</formula>
    </cfRule>
    <cfRule type="expression" dxfId="19" priority="22">
      <formula>AND(IF($Q108=3,1,0),IF($X108&lt;30,1,0))</formula>
    </cfRule>
    <cfRule type="expression" dxfId="18" priority="23">
      <formula>AND(IF($Q108=3,1,IF($Q108=4,1,0)),IF($F108&lt;=85,1,0))</formula>
    </cfRule>
  </conditionalFormatting>
  <conditionalFormatting sqref="AV109">
    <cfRule type="expression" dxfId="17" priority="18">
      <formula>AV109="X"</formula>
    </cfRule>
    <cfRule type="expression" dxfId="16" priority="19">
      <formula>AV109="후보"</formula>
    </cfRule>
  </conditionalFormatting>
  <conditionalFormatting sqref="Z10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109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109">
    <cfRule type="expression" dxfId="11" priority="9">
      <formula>AND(IF(OR($Q109=1,$Q109=2),1,0),IF($X109&lt;=20,1,0))</formula>
    </cfRule>
    <cfRule type="expression" dxfId="10" priority="10">
      <formula>AND(IF($Q109=2,1,0),IF($X109&lt;30,1,0))</formula>
    </cfRule>
    <cfRule type="expression" dxfId="9" priority="11">
      <formula>AND(IF($Q109=3,1,0),IF($X109&lt;30,1,0))</formula>
    </cfRule>
    <cfRule type="expression" dxfId="8" priority="12">
      <formula>AND(IF($Q109=3,1,IF($Q109=4,1,0)),IF($F109&lt;=85,1,0))</formula>
    </cfRule>
  </conditionalFormatting>
  <conditionalFormatting sqref="X109">
    <cfRule type="expression" dxfId="7" priority="5">
      <formula>AND(IF(OR($Q109=1,$Q109=2),1,0),IF($X109&lt;=20,1,0))</formula>
    </cfRule>
    <cfRule type="expression" dxfId="6" priority="6">
      <formula>AND(IF($Q109=2,1,0),IF($X109&lt;30,1,0))</formula>
    </cfRule>
    <cfRule type="expression" dxfId="5" priority="7">
      <formula>AND(IF($Q109=3,1,0),IF($X109&lt;30,1,0))</formula>
    </cfRule>
    <cfRule type="expression" dxfId="4" priority="8">
      <formula>AND(IF($Q109=3,1,IF($Q109=4,1,0)),IF($F109&lt;=85,1,0))</formula>
    </cfRule>
  </conditionalFormatting>
  <conditionalFormatting sqref="AI109">
    <cfRule type="expression" dxfId="3" priority="1">
      <formula>AND(IF(OR($Q109=1,$Q109=2),1,0),IF($X109&lt;=20,1,0))</formula>
    </cfRule>
    <cfRule type="expression" dxfId="2" priority="2">
      <formula>AND(IF($Q109=2,1,0),IF($X109&lt;30,1,0))</formula>
    </cfRule>
    <cfRule type="expression" dxfId="1" priority="3">
      <formula>AND(IF($Q109=3,1,0),IF($X109&lt;30,1,0))</formula>
    </cfRule>
    <cfRule type="expression" dxfId="0" priority="4">
      <formula>AND(IF($Q109=3,1,IF($Q109=4,1,0)),IF($F109&lt;=85,1,0))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7603" priority="5349">
      <formula>AV4="X"</formula>
    </cfRule>
    <cfRule type="expression" dxfId="7602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601" priority="5346" operator="greaterThan">
      <formula>0.9</formula>
    </cfRule>
    <cfRule type="cellIs" dxfId="7600" priority="5347" operator="greaterThan">
      <formula>0.85</formula>
    </cfRule>
  </conditionalFormatting>
  <conditionalFormatting sqref="N1:N2">
    <cfRule type="cellIs" dxfId="7599" priority="5344" operator="greaterThan">
      <formula>0.9</formula>
    </cfRule>
    <cfRule type="cellIs" dxfId="7598" priority="5345" operator="greaterThan">
      <formula>0.85</formula>
    </cfRule>
  </conditionalFormatting>
  <conditionalFormatting sqref="N6">
    <cfRule type="cellIs" dxfId="7597" priority="17" operator="greaterThan">
      <formula>0.9</formula>
    </cfRule>
    <cfRule type="cellIs" dxfId="7596" priority="18" operator="greaterThan">
      <formula>0.85</formula>
    </cfRule>
  </conditionalFormatting>
  <conditionalFormatting sqref="E6">
    <cfRule type="expression" dxfId="7595" priority="9">
      <formula>AND(IF(OR($Q6=1,$Q6=2),1,0),IF($X6&lt;=20,1,0))</formula>
    </cfRule>
    <cfRule type="expression" dxfId="7594" priority="10">
      <formula>AND(IF($Q6=2,1,0),IF($X6&lt;30,1,0))</formula>
    </cfRule>
    <cfRule type="expression" dxfId="7593" priority="11">
      <formula>AND(IF($Q6=3,1,0),IF($X6&lt;30,1,0))</formula>
    </cfRule>
    <cfRule type="expression" dxfId="7592" priority="12">
      <formula>AND(IF($Q6=3,1,IF($Q6=4,1,0)),IF($F6&lt;=85,1,0))</formula>
    </cfRule>
  </conditionalFormatting>
  <conditionalFormatting sqref="X6">
    <cfRule type="expression" dxfId="7591" priority="5">
      <formula>AND(IF(OR($Q6=1,$Q6=2),1,0),IF($X6&lt;=20,1,0))</formula>
    </cfRule>
    <cfRule type="expression" dxfId="7590" priority="6">
      <formula>AND(IF($Q6=2,1,0),IF($X6&lt;30,1,0))</formula>
    </cfRule>
    <cfRule type="expression" dxfId="7589" priority="7">
      <formula>AND(IF($Q6=3,1,0),IF($X6&lt;30,1,0))</formula>
    </cfRule>
    <cfRule type="expression" dxfId="7588" priority="8">
      <formula>AND(IF($Q6=3,1,IF($Q6=4,1,0)),IF($F6&lt;=85,1,0))</formula>
    </cfRule>
  </conditionalFormatting>
  <conditionalFormatting sqref="AI6">
    <cfRule type="expression" dxfId="7587" priority="1">
      <formula>AND(IF(OR($Q6=1,$Q6=2),1,0),IF($X6&lt;=20,1,0))</formula>
    </cfRule>
    <cfRule type="expression" dxfId="7586" priority="2">
      <formula>AND(IF($Q6=2,1,0),IF($X6&lt;30,1,0))</formula>
    </cfRule>
    <cfRule type="expression" dxfId="7585" priority="3">
      <formula>AND(IF($Q6=3,1,0),IF($X6&lt;30,1,0))</formula>
    </cfRule>
    <cfRule type="expression" dxfId="758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관교동</vt:lpstr>
      <vt:lpstr>도화동</vt:lpstr>
      <vt:lpstr>숭의동</vt:lpstr>
      <vt:lpstr>용현동</vt:lpstr>
      <vt:lpstr>주안동</vt:lpstr>
      <vt:lpstr>학익동</vt:lpstr>
      <vt:lpstr>양식</vt:lpstr>
      <vt:lpstr>관교동!Print_Area</vt:lpstr>
      <vt:lpstr>단지추출!Print_Area</vt:lpstr>
      <vt:lpstr>단지추출_가격표용!Print_Area</vt:lpstr>
      <vt:lpstr>도화동!Print_Area</vt:lpstr>
      <vt:lpstr>숭의동!Print_Area</vt:lpstr>
      <vt:lpstr>양식!Print_Area</vt:lpstr>
      <vt:lpstr>용현동!Print_Area</vt:lpstr>
      <vt:lpstr>주안동!Print_Area</vt:lpstr>
      <vt:lpstr>학익동!Print_Area</vt:lpstr>
      <vt:lpstr>관교동!Print_Titles</vt:lpstr>
      <vt:lpstr>단지추출!Print_Titles</vt:lpstr>
      <vt:lpstr>단지추출_가격표용!Print_Titles</vt:lpstr>
      <vt:lpstr>도화동!Print_Titles</vt:lpstr>
      <vt:lpstr>숭의동!Print_Titles</vt:lpstr>
      <vt:lpstr>양식!Print_Titles</vt:lpstr>
      <vt:lpstr>용현동!Print_Titles</vt:lpstr>
      <vt:lpstr>주안동!Print_Titles</vt:lpstr>
      <vt:lpstr>학익동!Print_Titles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2022-04-03T14:41:53Z</dcterms:modified>
</cp:coreProperties>
</file>